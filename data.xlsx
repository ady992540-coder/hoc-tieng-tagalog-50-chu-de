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hoc-tieng-tagalog-50-chu-de\"/>
    </mc:Choice>
  </mc:AlternateContent>
  <bookViews>
    <workbookView xWindow="0" yWindow="0" windowWidth="17256" windowHeight="5844" firstSheet="42" activeTab="45"/>
  </bookViews>
  <sheets>
    <sheet name="chude01" sheetId="1" r:id="rId1"/>
    <sheet name="chude02" sheetId="2" r:id="rId2"/>
    <sheet name="chude03" sheetId="3" r:id="rId3"/>
    <sheet name="chude04" sheetId="4" r:id="rId4"/>
    <sheet name="chude05" sheetId="5" r:id="rId5"/>
    <sheet name="chude06" sheetId="6" r:id="rId6"/>
    <sheet name="chude07" sheetId="7" r:id="rId7"/>
    <sheet name="chude08" sheetId="8" r:id="rId8"/>
    <sheet name="chude09" sheetId="9" r:id="rId9"/>
    <sheet name="chude10" sheetId="10" r:id="rId10"/>
    <sheet name="chude11" sheetId="11" r:id="rId11"/>
    <sheet name="chude12" sheetId="12" r:id="rId12"/>
    <sheet name="chude13" sheetId="13" r:id="rId13"/>
    <sheet name="chude14" sheetId="14" r:id="rId14"/>
    <sheet name="chude15" sheetId="15" r:id="rId15"/>
    <sheet name="chude16" sheetId="16" r:id="rId16"/>
    <sheet name="chude17" sheetId="17" r:id="rId17"/>
    <sheet name="chude18" sheetId="18" r:id="rId18"/>
    <sheet name="chude19" sheetId="19" r:id="rId19"/>
    <sheet name="chude20" sheetId="20" r:id="rId20"/>
    <sheet name="chude21" sheetId="21" r:id="rId21"/>
    <sheet name="chude22" sheetId="22" r:id="rId22"/>
    <sheet name="chude23" sheetId="23" r:id="rId23"/>
    <sheet name="chude24" sheetId="24" r:id="rId24"/>
    <sheet name="chude25" sheetId="25" r:id="rId25"/>
    <sheet name="chude26" sheetId="26" r:id="rId26"/>
    <sheet name="chude27" sheetId="27" r:id="rId27"/>
    <sheet name="chude28" sheetId="28" r:id="rId28"/>
    <sheet name="chude29" sheetId="29" r:id="rId29"/>
    <sheet name="chude30" sheetId="30" r:id="rId30"/>
    <sheet name="chude31" sheetId="31" r:id="rId31"/>
    <sheet name="chude32" sheetId="32" r:id="rId32"/>
    <sheet name="chude33" sheetId="33" r:id="rId33"/>
    <sheet name="chude34" sheetId="34" r:id="rId34"/>
    <sheet name="chude35" sheetId="35" r:id="rId35"/>
    <sheet name="chude36" sheetId="36" r:id="rId36"/>
    <sheet name="chude37" sheetId="37" r:id="rId37"/>
    <sheet name="chude38" sheetId="38" r:id="rId38"/>
    <sheet name="chude39" sheetId="39" r:id="rId39"/>
    <sheet name="chude40" sheetId="40" r:id="rId40"/>
    <sheet name="chude41" sheetId="41" r:id="rId41"/>
    <sheet name="chude42" sheetId="42" r:id="rId42"/>
    <sheet name="chude43" sheetId="43" r:id="rId43"/>
    <sheet name="chude44" sheetId="44" r:id="rId44"/>
    <sheet name="chude45" sheetId="45" r:id="rId45"/>
    <sheet name="chude46" sheetId="46" r:id="rId46"/>
    <sheet name="chude47" sheetId="47" r:id="rId47"/>
    <sheet name="chude48" sheetId="48" r:id="rId48"/>
    <sheet name="chude49" sheetId="49" r:id="rId49"/>
    <sheet name="chude50" sheetId="50" r:id="rId50"/>
  </sheets>
  <definedNames>
    <definedName name="_xlnm._FilterDatabase" localSheetId="1" hidden="1">chude02!$A$1:$B$51</definedName>
    <definedName name="_xlnm._FilterDatabase" localSheetId="5" hidden="1">chude06!$D$1:$D$96</definedName>
  </definedNames>
  <calcPr calcId="152511"/>
</workbook>
</file>

<file path=xl/calcChain.xml><?xml version="1.0" encoding="utf-8"?>
<calcChain xmlns="http://schemas.openxmlformats.org/spreadsheetml/2006/main">
  <c r="E50" i="50" l="1"/>
  <c r="E34" i="50"/>
  <c r="E18" i="50"/>
  <c r="E2" i="50"/>
  <c r="E36" i="49"/>
  <c r="E20" i="49"/>
  <c r="E4" i="49"/>
  <c r="E38" i="48"/>
  <c r="E22" i="48"/>
  <c r="E6" i="48"/>
  <c r="E40" i="47"/>
  <c r="E24" i="47"/>
  <c r="E8" i="47"/>
  <c r="E42" i="46"/>
  <c r="E26" i="46"/>
  <c r="E10" i="46"/>
  <c r="E43" i="45"/>
  <c r="E27" i="45"/>
  <c r="E11" i="45"/>
  <c r="E45" i="44"/>
  <c r="E29" i="44"/>
  <c r="E13" i="44"/>
  <c r="E47" i="43"/>
  <c r="E31" i="43"/>
  <c r="E15" i="43"/>
  <c r="E49" i="42"/>
  <c r="E33" i="42"/>
  <c r="E17" i="42"/>
  <c r="E51" i="41"/>
  <c r="E35" i="41"/>
  <c r="E19" i="41"/>
  <c r="E3" i="41"/>
  <c r="E37" i="40"/>
  <c r="E21" i="40"/>
  <c r="E5" i="40"/>
  <c r="E39" i="39"/>
  <c r="E23" i="39"/>
  <c r="E7" i="39"/>
  <c r="E41" i="38"/>
  <c r="E25" i="38"/>
  <c r="E9" i="38"/>
  <c r="E43" i="37"/>
  <c r="E27" i="37"/>
  <c r="E11" i="37"/>
  <c r="E45" i="36"/>
  <c r="E29" i="36"/>
  <c r="E13" i="36"/>
  <c r="E47" i="35"/>
  <c r="E31" i="35"/>
  <c r="E15" i="35"/>
  <c r="E49" i="34"/>
  <c r="E33" i="34"/>
  <c r="E17" i="34"/>
  <c r="E51" i="33"/>
  <c r="E35" i="33"/>
  <c r="E19" i="33"/>
  <c r="E3" i="33"/>
  <c r="E37" i="32"/>
  <c r="E21" i="32"/>
  <c r="E5" i="32"/>
  <c r="E39" i="31"/>
  <c r="E23" i="31"/>
  <c r="E7" i="31"/>
  <c r="E41" i="30"/>
  <c r="E25" i="30"/>
  <c r="E9" i="30"/>
  <c r="E43" i="29"/>
  <c r="E27" i="29"/>
  <c r="E11" i="29"/>
  <c r="E45" i="28"/>
  <c r="E29" i="28"/>
  <c r="E13" i="28"/>
  <c r="E47" i="27"/>
  <c r="E31" i="27"/>
  <c r="E15" i="27"/>
  <c r="E49" i="26"/>
  <c r="E33" i="26"/>
  <c r="E17" i="26"/>
  <c r="E51" i="25"/>
  <c r="E35" i="25"/>
  <c r="E19" i="25"/>
  <c r="E3" i="25"/>
  <c r="E37" i="24"/>
  <c r="E21" i="24"/>
  <c r="E5" i="24"/>
  <c r="E39" i="23"/>
  <c r="E23" i="23"/>
  <c r="E7" i="23"/>
  <c r="E41" i="22"/>
  <c r="E25" i="22"/>
  <c r="E9" i="22"/>
  <c r="E43" i="21"/>
  <c r="E27" i="21"/>
  <c r="E11" i="21"/>
  <c r="E45" i="20"/>
  <c r="E29" i="20"/>
  <c r="E13" i="20"/>
  <c r="E46" i="19"/>
  <c r="E30" i="19"/>
  <c r="E14" i="19"/>
  <c r="E48" i="18"/>
  <c r="E32" i="18"/>
  <c r="E16" i="18"/>
  <c r="E50" i="17"/>
  <c r="E34" i="17"/>
  <c r="E18" i="17"/>
  <c r="E2" i="17"/>
  <c r="E36" i="16"/>
  <c r="E20" i="16"/>
  <c r="E4" i="16"/>
  <c r="E38" i="15"/>
  <c r="E22" i="15"/>
  <c r="E6" i="15"/>
  <c r="E40" i="14"/>
  <c r="E24" i="14"/>
  <c r="E8" i="14"/>
  <c r="E42" i="13"/>
  <c r="E26" i="13"/>
  <c r="E10" i="13"/>
  <c r="E44" i="12"/>
  <c r="E28" i="12"/>
  <c r="E12" i="12"/>
  <c r="E46" i="11"/>
  <c r="E30" i="11"/>
  <c r="E14" i="11"/>
  <c r="E48" i="10"/>
  <c r="E32" i="10"/>
  <c r="E49" i="50"/>
  <c r="E48" i="50"/>
  <c r="E47" i="50"/>
  <c r="E46" i="50"/>
  <c r="E45" i="50"/>
  <c r="E44" i="50"/>
  <c r="E28" i="50"/>
  <c r="E12" i="50"/>
  <c r="E46" i="49"/>
  <c r="E30" i="49"/>
  <c r="E14" i="49"/>
  <c r="E48" i="48"/>
  <c r="E32" i="48"/>
  <c r="E16" i="48"/>
  <c r="E50" i="47"/>
  <c r="E34" i="47"/>
  <c r="E18" i="47"/>
  <c r="E2" i="47"/>
  <c r="E36" i="46"/>
  <c r="E20" i="46"/>
  <c r="E4" i="46"/>
  <c r="E37" i="45"/>
  <c r="E21" i="45"/>
  <c r="E5" i="45"/>
  <c r="E39" i="44"/>
  <c r="E23" i="44"/>
  <c r="E7" i="44"/>
  <c r="E41" i="43"/>
  <c r="E25" i="43"/>
  <c r="E9" i="43"/>
  <c r="E43" i="42"/>
  <c r="E27" i="42"/>
  <c r="E11" i="42"/>
  <c r="E45" i="41"/>
  <c r="E29" i="41"/>
  <c r="E13" i="41"/>
  <c r="E47" i="40"/>
  <c r="E31" i="40"/>
  <c r="E15" i="40"/>
  <c r="E49" i="39"/>
  <c r="E33" i="39"/>
  <c r="E17" i="39"/>
  <c r="E51" i="38"/>
  <c r="E35" i="38"/>
  <c r="E19" i="38"/>
  <c r="E3" i="38"/>
  <c r="E37" i="37"/>
  <c r="E21" i="37"/>
  <c r="E5" i="37"/>
  <c r="E39" i="36"/>
  <c r="E23" i="36"/>
  <c r="E7" i="36"/>
  <c r="E41" i="35"/>
  <c r="E25" i="35"/>
  <c r="E9" i="35"/>
  <c r="E43" i="34"/>
  <c r="E27" i="34"/>
  <c r="E11" i="34"/>
  <c r="E45" i="33"/>
  <c r="E29" i="33"/>
  <c r="E13" i="33"/>
  <c r="E47" i="32"/>
  <c r="E31" i="32"/>
  <c r="E15" i="32"/>
  <c r="E49" i="31"/>
  <c r="E33" i="31"/>
  <c r="E17" i="31"/>
  <c r="E51" i="30"/>
  <c r="E35" i="30"/>
  <c r="E19" i="30"/>
  <c r="E3" i="30"/>
  <c r="E37" i="29"/>
  <c r="E21" i="29"/>
  <c r="E5" i="29"/>
  <c r="E39" i="28"/>
  <c r="E23" i="28"/>
  <c r="E7" i="28"/>
  <c r="E41" i="27"/>
  <c r="E25" i="27"/>
  <c r="E9" i="27"/>
  <c r="E43" i="26"/>
  <c r="E27" i="26"/>
  <c r="E11" i="26"/>
  <c r="E45" i="25"/>
  <c r="E29" i="25"/>
  <c r="E13" i="25"/>
  <c r="E47" i="24"/>
  <c r="E31" i="24"/>
  <c r="E15" i="24"/>
  <c r="E49" i="23"/>
  <c r="E33" i="23"/>
  <c r="E17" i="23"/>
  <c r="E51" i="22"/>
  <c r="E35" i="22"/>
  <c r="E19" i="22"/>
  <c r="E3" i="22"/>
  <c r="E37" i="21"/>
  <c r="E21" i="21"/>
  <c r="E5" i="21"/>
  <c r="E39" i="20"/>
  <c r="E23" i="20"/>
  <c r="E7" i="20"/>
  <c r="E40" i="19"/>
  <c r="E24" i="19"/>
  <c r="E8" i="19"/>
  <c r="E42" i="18"/>
  <c r="E26" i="18"/>
  <c r="E10" i="18"/>
  <c r="E44" i="17"/>
  <c r="E28" i="17"/>
  <c r="E12" i="17"/>
  <c r="E46" i="16"/>
  <c r="E30" i="16"/>
  <c r="E14" i="16"/>
  <c r="E48" i="15"/>
  <c r="E32" i="15"/>
  <c r="E16" i="15"/>
  <c r="E50" i="14"/>
  <c r="E34" i="14"/>
  <c r="E18" i="14"/>
  <c r="E2" i="14"/>
  <c r="E36" i="13"/>
  <c r="E20" i="13"/>
  <c r="E4" i="13"/>
  <c r="E38" i="12"/>
  <c r="E22" i="12"/>
  <c r="E6" i="12"/>
  <c r="E43" i="50"/>
  <c r="E27" i="50"/>
  <c r="E11" i="50"/>
  <c r="E45" i="49"/>
  <c r="E29" i="49"/>
  <c r="E13" i="49"/>
  <c r="E47" i="48"/>
  <c r="E31" i="48"/>
  <c r="E15" i="48"/>
  <c r="E49" i="47"/>
  <c r="E33" i="47"/>
  <c r="E17" i="47"/>
  <c r="E51" i="46"/>
  <c r="E35" i="46"/>
  <c r="E19" i="46"/>
  <c r="E3" i="46"/>
  <c r="E36" i="45"/>
  <c r="E20" i="45"/>
  <c r="E4" i="45"/>
  <c r="E38" i="44"/>
  <c r="E22" i="44"/>
  <c r="E6" i="44"/>
  <c r="E40" i="43"/>
  <c r="E24" i="43"/>
  <c r="E8" i="43"/>
  <c r="E42" i="42"/>
  <c r="E26" i="42"/>
  <c r="E10" i="42"/>
  <c r="E44" i="41"/>
  <c r="E28" i="41"/>
  <c r="E12" i="41"/>
  <c r="E46" i="40"/>
  <c r="E30" i="40"/>
  <c r="E14" i="40"/>
  <c r="E48" i="39"/>
  <c r="E32" i="39"/>
  <c r="E16" i="39"/>
  <c r="E50" i="38"/>
  <c r="E34" i="38"/>
  <c r="E18" i="38"/>
  <c r="E2" i="38"/>
  <c r="E36" i="37"/>
  <c r="E20" i="37"/>
  <c r="E4" i="37"/>
  <c r="E38" i="36"/>
  <c r="E22" i="36"/>
  <c r="E6" i="36"/>
  <c r="E40" i="35"/>
  <c r="E24" i="35"/>
  <c r="E8" i="35"/>
  <c r="E42" i="34"/>
  <c r="E26" i="34"/>
  <c r="E10" i="34"/>
  <c r="E44" i="33"/>
  <c r="E28" i="33"/>
  <c r="E12" i="33"/>
  <c r="E46" i="32"/>
  <c r="E30" i="32"/>
  <c r="E14" i="32"/>
  <c r="E48" i="31"/>
  <c r="E32" i="31"/>
  <c r="E16" i="31"/>
  <c r="E50" i="30"/>
  <c r="E34" i="30"/>
  <c r="E18" i="30"/>
  <c r="E2" i="30"/>
  <c r="E36" i="29"/>
  <c r="E20" i="29"/>
  <c r="E4" i="29"/>
  <c r="E38" i="28"/>
  <c r="E22" i="28"/>
  <c r="E6" i="28"/>
  <c r="E40" i="27"/>
  <c r="E24" i="27"/>
  <c r="E8" i="27"/>
  <c r="E42" i="26"/>
  <c r="E26" i="26"/>
  <c r="E10" i="26"/>
  <c r="E44" i="25"/>
  <c r="E28" i="25"/>
  <c r="E12" i="25"/>
  <c r="E46" i="24"/>
  <c r="E30" i="24"/>
  <c r="E14" i="24"/>
  <c r="E48" i="23"/>
  <c r="E32" i="23"/>
  <c r="E16" i="23"/>
  <c r="E50" i="22"/>
  <c r="E34" i="22"/>
  <c r="E18" i="22"/>
  <c r="E2" i="22"/>
  <c r="E36" i="21"/>
  <c r="E20" i="21"/>
  <c r="E4" i="21"/>
  <c r="E38" i="20"/>
  <c r="E22" i="20"/>
  <c r="E6" i="20"/>
  <c r="E39" i="19"/>
  <c r="E23" i="19"/>
  <c r="E7" i="19"/>
  <c r="E41" i="18"/>
  <c r="E25" i="18"/>
  <c r="E9" i="18"/>
  <c r="E43" i="17"/>
  <c r="E27" i="17"/>
  <c r="E11" i="17"/>
  <c r="E45" i="16"/>
  <c r="E29" i="16"/>
  <c r="E13" i="16"/>
  <c r="E47" i="15"/>
  <c r="E31" i="15"/>
  <c r="E15" i="15"/>
  <c r="E49" i="14"/>
  <c r="E33" i="14"/>
  <c r="E17" i="14"/>
  <c r="E51" i="13"/>
  <c r="E35" i="13"/>
  <c r="E19" i="13"/>
  <c r="E3" i="13"/>
  <c r="E37" i="12"/>
  <c r="E21" i="12"/>
  <c r="E5" i="12"/>
  <c r="E39" i="11"/>
  <c r="E42" i="50"/>
  <c r="E26" i="50"/>
  <c r="E10" i="50"/>
  <c r="E44" i="49"/>
  <c r="E28" i="49"/>
  <c r="E12" i="49"/>
  <c r="E46" i="48"/>
  <c r="E30" i="48"/>
  <c r="E14" i="48"/>
  <c r="E48" i="47"/>
  <c r="E32" i="47"/>
  <c r="E16" i="47"/>
  <c r="E50" i="46"/>
  <c r="E34" i="46"/>
  <c r="E18" i="46"/>
  <c r="E2" i="46"/>
  <c r="E35" i="45"/>
  <c r="E19" i="45"/>
  <c r="E3" i="45"/>
  <c r="E37" i="44"/>
  <c r="E21" i="44"/>
  <c r="E5" i="44"/>
  <c r="E39" i="43"/>
  <c r="E23" i="43"/>
  <c r="E7" i="43"/>
  <c r="E41" i="42"/>
  <c r="E25" i="42"/>
  <c r="E9" i="42"/>
  <c r="E43" i="41"/>
  <c r="E27" i="41"/>
  <c r="E11" i="41"/>
  <c r="E45" i="40"/>
  <c r="E29" i="40"/>
  <c r="E13" i="40"/>
  <c r="E47" i="39"/>
  <c r="E31" i="39"/>
  <c r="E15" i="39"/>
  <c r="E49" i="38"/>
  <c r="E33" i="38"/>
  <c r="E17" i="38"/>
  <c r="E51" i="37"/>
  <c r="E35" i="37"/>
  <c r="E19" i="37"/>
  <c r="E3" i="37"/>
  <c r="E37" i="36"/>
  <c r="E21" i="36"/>
  <c r="E5" i="36"/>
  <c r="E39" i="35"/>
  <c r="E23" i="35"/>
  <c r="E7" i="35"/>
  <c r="E41" i="34"/>
  <c r="E25" i="34"/>
  <c r="E9" i="34"/>
  <c r="E43" i="33"/>
  <c r="E27" i="33"/>
  <c r="E11" i="33"/>
  <c r="E45" i="32"/>
  <c r="E29" i="32"/>
  <c r="E13" i="32"/>
  <c r="E47" i="31"/>
  <c r="E31" i="31"/>
  <c r="E15" i="31"/>
  <c r="E49" i="30"/>
  <c r="E33" i="30"/>
  <c r="E17" i="30"/>
  <c r="E51" i="29"/>
  <c r="E35" i="29"/>
  <c r="E19" i="29"/>
  <c r="E3" i="29"/>
  <c r="E37" i="28"/>
  <c r="E21" i="28"/>
  <c r="E5" i="28"/>
  <c r="E39" i="27"/>
  <c r="E23" i="27"/>
  <c r="E7" i="27"/>
  <c r="E41" i="26"/>
  <c r="E25" i="26"/>
  <c r="E9" i="26"/>
  <c r="E43" i="25"/>
  <c r="E27" i="25"/>
  <c r="E11" i="25"/>
  <c r="E45" i="24"/>
  <c r="E29" i="24"/>
  <c r="E13" i="24"/>
  <c r="E47" i="23"/>
  <c r="E31" i="23"/>
  <c r="E15" i="23"/>
  <c r="E49" i="22"/>
  <c r="E33" i="22"/>
  <c r="E17" i="22"/>
  <c r="E51" i="21"/>
  <c r="E35" i="21"/>
  <c r="E19" i="21"/>
  <c r="E3" i="21"/>
  <c r="E37" i="20"/>
  <c r="E21" i="20"/>
  <c r="E5" i="20"/>
  <c r="E38" i="19"/>
  <c r="E22" i="19"/>
  <c r="E6" i="19"/>
  <c r="E40" i="18"/>
  <c r="E24" i="18"/>
  <c r="E8" i="18"/>
  <c r="E42" i="17"/>
  <c r="E26" i="17"/>
  <c r="E10" i="17"/>
  <c r="E44" i="16"/>
  <c r="E28" i="16"/>
  <c r="E41" i="50"/>
  <c r="E25" i="50"/>
  <c r="E9" i="50"/>
  <c r="E43" i="49"/>
  <c r="E27" i="49"/>
  <c r="E11" i="49"/>
  <c r="E45" i="48"/>
  <c r="E29" i="48"/>
  <c r="E13" i="48"/>
  <c r="E47" i="47"/>
  <c r="E31" i="47"/>
  <c r="E15" i="47"/>
  <c r="E49" i="46"/>
  <c r="E33" i="46"/>
  <c r="E17" i="46"/>
  <c r="E50" i="45"/>
  <c r="E34" i="45"/>
  <c r="E18" i="45"/>
  <c r="E2" i="45"/>
  <c r="E36" i="44"/>
  <c r="E20" i="44"/>
  <c r="E4" i="44"/>
  <c r="E38" i="43"/>
  <c r="E22" i="43"/>
  <c r="E6" i="43"/>
  <c r="E40" i="42"/>
  <c r="E24" i="42"/>
  <c r="E8" i="42"/>
  <c r="E42" i="41"/>
  <c r="E26" i="41"/>
  <c r="E10" i="41"/>
  <c r="E44" i="40"/>
  <c r="E28" i="40"/>
  <c r="E12" i="40"/>
  <c r="E46" i="39"/>
  <c r="E30" i="39"/>
  <c r="E14" i="39"/>
  <c r="E48" i="38"/>
  <c r="E32" i="38"/>
  <c r="E16" i="38"/>
  <c r="E50" i="37"/>
  <c r="E34" i="37"/>
  <c r="E18" i="37"/>
  <c r="E2" i="37"/>
  <c r="E36" i="36"/>
  <c r="E20" i="36"/>
  <c r="E4" i="36"/>
  <c r="E38" i="35"/>
  <c r="E22" i="35"/>
  <c r="E6" i="35"/>
  <c r="E40" i="34"/>
  <c r="E24" i="34"/>
  <c r="E8" i="34"/>
  <c r="E42" i="33"/>
  <c r="E26" i="33"/>
  <c r="E10" i="33"/>
  <c r="E44" i="32"/>
  <c r="E28" i="32"/>
  <c r="E12" i="32"/>
  <c r="E46" i="31"/>
  <c r="E30" i="31"/>
  <c r="E14" i="31"/>
  <c r="E48" i="30"/>
  <c r="E32" i="30"/>
  <c r="E16" i="30"/>
  <c r="E50" i="29"/>
  <c r="E34" i="29"/>
  <c r="E18" i="29"/>
  <c r="E2" i="29"/>
  <c r="E36" i="28"/>
  <c r="E20" i="28"/>
  <c r="E4" i="28"/>
  <c r="E38" i="27"/>
  <c r="E22" i="27"/>
  <c r="E6" i="27"/>
  <c r="E40" i="26"/>
  <c r="E24" i="26"/>
  <c r="E8" i="26"/>
  <c r="E42" i="25"/>
  <c r="E26" i="25"/>
  <c r="E10" i="25"/>
  <c r="E44" i="24"/>
  <c r="E28" i="24"/>
  <c r="E12" i="24"/>
  <c r="E46" i="23"/>
  <c r="E30" i="23"/>
  <c r="E14" i="23"/>
  <c r="E48" i="22"/>
  <c r="E32" i="22"/>
  <c r="E16" i="22"/>
  <c r="E50" i="21"/>
  <c r="E34" i="21"/>
  <c r="E18" i="21"/>
  <c r="E2" i="21"/>
  <c r="E36" i="20"/>
  <c r="E20" i="20"/>
  <c r="E4" i="20"/>
  <c r="E37" i="19"/>
  <c r="E21" i="19"/>
  <c r="E5" i="19"/>
  <c r="E39" i="18"/>
  <c r="E23" i="18"/>
  <c r="E7" i="18"/>
  <c r="E41" i="17"/>
  <c r="E25" i="17"/>
  <c r="E9" i="17"/>
  <c r="E43" i="16"/>
  <c r="E27" i="16"/>
  <c r="E11" i="16"/>
  <c r="E45" i="15"/>
  <c r="E29" i="15"/>
  <c r="E13" i="15"/>
  <c r="E47" i="14"/>
  <c r="E31" i="14"/>
  <c r="E15" i="14"/>
  <c r="E49" i="13"/>
  <c r="E33" i="13"/>
  <c r="E17" i="13"/>
  <c r="E51" i="12"/>
  <c r="E35" i="12"/>
  <c r="E19" i="12"/>
  <c r="E3" i="12"/>
  <c r="E37" i="11"/>
  <c r="E21" i="11"/>
  <c r="E5" i="11"/>
  <c r="E39" i="10"/>
  <c r="E23" i="10"/>
  <c r="E40" i="50"/>
  <c r="E39" i="50"/>
  <c r="E38" i="50"/>
  <c r="E37" i="50"/>
  <c r="E36" i="50"/>
  <c r="E20" i="50"/>
  <c r="E4" i="50"/>
  <c r="E38" i="49"/>
  <c r="E22" i="49"/>
  <c r="E6" i="49"/>
  <c r="E40" i="48"/>
  <c r="E24" i="48"/>
  <c r="E8" i="48"/>
  <c r="E42" i="47"/>
  <c r="E26" i="47"/>
  <c r="E10" i="47"/>
  <c r="E44" i="46"/>
  <c r="E28" i="46"/>
  <c r="E12" i="46"/>
  <c r="E45" i="45"/>
  <c r="E29" i="45"/>
  <c r="E13" i="45"/>
  <c r="E47" i="44"/>
  <c r="E31" i="44"/>
  <c r="E15" i="44"/>
  <c r="E49" i="43"/>
  <c r="E33" i="43"/>
  <c r="E17" i="43"/>
  <c r="E51" i="42"/>
  <c r="E35" i="42"/>
  <c r="E19" i="42"/>
  <c r="E3" i="42"/>
  <c r="E37" i="41"/>
  <c r="E21" i="41"/>
  <c r="E5" i="41"/>
  <c r="E39" i="40"/>
  <c r="E23" i="40"/>
  <c r="E7" i="40"/>
  <c r="E41" i="39"/>
  <c r="E25" i="39"/>
  <c r="E9" i="39"/>
  <c r="E43" i="38"/>
  <c r="E27" i="38"/>
  <c r="E11" i="38"/>
  <c r="E45" i="37"/>
  <c r="E29" i="37"/>
  <c r="E13" i="37"/>
  <c r="E47" i="36"/>
  <c r="E31" i="36"/>
  <c r="E15" i="36"/>
  <c r="E49" i="35"/>
  <c r="E33" i="35"/>
  <c r="E17" i="35"/>
  <c r="E51" i="34"/>
  <c r="E35" i="34"/>
  <c r="E19" i="34"/>
  <c r="E3" i="34"/>
  <c r="E37" i="33"/>
  <c r="E21" i="33"/>
  <c r="E5" i="33"/>
  <c r="E39" i="32"/>
  <c r="E23" i="32"/>
  <c r="E7" i="32"/>
  <c r="E41" i="31"/>
  <c r="E25" i="31"/>
  <c r="E9" i="31"/>
  <c r="E43" i="30"/>
  <c r="E27" i="30"/>
  <c r="E11" i="30"/>
  <c r="E45" i="29"/>
  <c r="E29" i="29"/>
  <c r="E13" i="29"/>
  <c r="E47" i="28"/>
  <c r="E31" i="28"/>
  <c r="E15" i="28"/>
  <c r="E49" i="27"/>
  <c r="E33" i="27"/>
  <c r="E17" i="27"/>
  <c r="E51" i="26"/>
  <c r="E35" i="26"/>
  <c r="E19" i="26"/>
  <c r="E3" i="26"/>
  <c r="E37" i="25"/>
  <c r="E21" i="25"/>
  <c r="E5" i="25"/>
  <c r="E39" i="24"/>
  <c r="E23" i="24"/>
  <c r="E7" i="24"/>
  <c r="E41" i="23"/>
  <c r="E25" i="23"/>
  <c r="E9" i="23"/>
  <c r="E43" i="22"/>
  <c r="E27" i="22"/>
  <c r="E11" i="22"/>
  <c r="E45" i="21"/>
  <c r="E29" i="21"/>
  <c r="E13" i="21"/>
  <c r="E47" i="20"/>
  <c r="E31" i="20"/>
  <c r="E15" i="20"/>
  <c r="E48" i="19"/>
  <c r="E32" i="19"/>
  <c r="E16" i="19"/>
  <c r="E50" i="18"/>
  <c r="E34" i="18"/>
  <c r="E18" i="18"/>
  <c r="E2" i="18"/>
  <c r="E36" i="17"/>
  <c r="E20" i="17"/>
  <c r="E4" i="17"/>
  <c r="E38" i="16"/>
  <c r="E22" i="16"/>
  <c r="E6" i="16"/>
  <c r="E40" i="15"/>
  <c r="E24" i="15"/>
  <c r="E8" i="15"/>
  <c r="E42" i="14"/>
  <c r="E26" i="14"/>
  <c r="E10" i="14"/>
  <c r="E44" i="13"/>
  <c r="E28" i="13"/>
  <c r="E12" i="13"/>
  <c r="E46" i="12"/>
  <c r="E30" i="12"/>
  <c r="E14" i="12"/>
  <c r="E48" i="11"/>
  <c r="E32" i="11"/>
  <c r="E51" i="50"/>
  <c r="E13" i="50"/>
  <c r="E35" i="49"/>
  <c r="E9" i="49"/>
  <c r="E35" i="48"/>
  <c r="E9" i="48"/>
  <c r="E35" i="47"/>
  <c r="E7" i="47"/>
  <c r="E31" i="46"/>
  <c r="E7" i="46"/>
  <c r="E30" i="45"/>
  <c r="E6" i="45"/>
  <c r="E28" i="44"/>
  <c r="E2" i="44"/>
  <c r="E28" i="43"/>
  <c r="E2" i="43"/>
  <c r="E28" i="42"/>
  <c r="E50" i="41"/>
  <c r="E24" i="41"/>
  <c r="E50" i="40"/>
  <c r="E24" i="40"/>
  <c r="E50" i="39"/>
  <c r="E22" i="39"/>
  <c r="E46" i="38"/>
  <c r="E22" i="38"/>
  <c r="E46" i="37"/>
  <c r="E22" i="37"/>
  <c r="E44" i="36"/>
  <c r="E18" i="36"/>
  <c r="E44" i="35"/>
  <c r="E18" i="35"/>
  <c r="E44" i="34"/>
  <c r="E16" i="34"/>
  <c r="E40" i="33"/>
  <c r="E16" i="33"/>
  <c r="E40" i="32"/>
  <c r="E16" i="32"/>
  <c r="E38" i="31"/>
  <c r="E12" i="31"/>
  <c r="E38" i="30"/>
  <c r="E12" i="30"/>
  <c r="E38" i="29"/>
  <c r="E10" i="29"/>
  <c r="E34" i="28"/>
  <c r="E10" i="28"/>
  <c r="E34" i="27"/>
  <c r="E10" i="27"/>
  <c r="E32" i="26"/>
  <c r="E6" i="26"/>
  <c r="E32" i="25"/>
  <c r="E6" i="25"/>
  <c r="E32" i="24"/>
  <c r="E4" i="24"/>
  <c r="E28" i="23"/>
  <c r="E4" i="23"/>
  <c r="E28" i="22"/>
  <c r="E4" i="22"/>
  <c r="E26" i="21"/>
  <c r="E50" i="20"/>
  <c r="E26" i="20"/>
  <c r="E49" i="19"/>
  <c r="E25" i="19"/>
  <c r="E47" i="18"/>
  <c r="E21" i="18"/>
  <c r="E47" i="17"/>
  <c r="E21" i="17"/>
  <c r="E47" i="16"/>
  <c r="E19" i="16"/>
  <c r="E46" i="15"/>
  <c r="E23" i="15"/>
  <c r="E51" i="14"/>
  <c r="E27" i="14"/>
  <c r="E4" i="14"/>
  <c r="E30" i="13"/>
  <c r="E7" i="13"/>
  <c r="E33" i="12"/>
  <c r="E10" i="12"/>
  <c r="E38" i="11"/>
  <c r="E18" i="11"/>
  <c r="E50" i="10"/>
  <c r="E31" i="10"/>
  <c r="E14" i="10"/>
  <c r="E48" i="9"/>
  <c r="E32" i="9"/>
  <c r="E16" i="9"/>
  <c r="E50" i="8"/>
  <c r="E34" i="8"/>
  <c r="E18" i="8"/>
  <c r="E2" i="8"/>
  <c r="E36" i="7"/>
  <c r="E20" i="7"/>
  <c r="E4" i="7"/>
  <c r="E38" i="6"/>
  <c r="E22" i="6"/>
  <c r="E6" i="6"/>
  <c r="E40" i="5"/>
  <c r="E24" i="5"/>
  <c r="E8" i="5"/>
  <c r="E42" i="4"/>
  <c r="E26" i="4"/>
  <c r="E10" i="4"/>
  <c r="E44" i="3"/>
  <c r="E28" i="3"/>
  <c r="E12" i="3"/>
  <c r="E46" i="2"/>
  <c r="E30" i="2"/>
  <c r="E14" i="2"/>
  <c r="E48" i="1"/>
  <c r="E32" i="1"/>
  <c r="E16" i="1"/>
  <c r="E6" i="30"/>
  <c r="E28" i="27"/>
  <c r="E24" i="25"/>
  <c r="E22" i="22"/>
  <c r="E43" i="18"/>
  <c r="E15" i="17"/>
  <c r="E18" i="15"/>
  <c r="E35" i="50"/>
  <c r="E8" i="50"/>
  <c r="E34" i="49"/>
  <c r="E8" i="49"/>
  <c r="E34" i="48"/>
  <c r="E7" i="48"/>
  <c r="E30" i="47"/>
  <c r="E6" i="47"/>
  <c r="E30" i="46"/>
  <c r="E6" i="46"/>
  <c r="E28" i="45"/>
  <c r="E51" i="44"/>
  <c r="E27" i="44"/>
  <c r="E51" i="43"/>
  <c r="E27" i="43"/>
  <c r="E50" i="42"/>
  <c r="E23" i="42"/>
  <c r="E49" i="41"/>
  <c r="E23" i="41"/>
  <c r="E49" i="40"/>
  <c r="E22" i="40"/>
  <c r="E45" i="39"/>
  <c r="E21" i="39"/>
  <c r="E45" i="38"/>
  <c r="E21" i="38"/>
  <c r="E44" i="37"/>
  <c r="E17" i="37"/>
  <c r="E43" i="36"/>
  <c r="E17" i="36"/>
  <c r="E43" i="35"/>
  <c r="E16" i="35"/>
  <c r="E39" i="34"/>
  <c r="E15" i="34"/>
  <c r="E39" i="33"/>
  <c r="E15" i="33"/>
  <c r="E38" i="32"/>
  <c r="E11" i="32"/>
  <c r="E37" i="31"/>
  <c r="E11" i="31"/>
  <c r="E37" i="30"/>
  <c r="E10" i="30"/>
  <c r="E33" i="29"/>
  <c r="E9" i="29"/>
  <c r="E33" i="28"/>
  <c r="E9" i="28"/>
  <c r="E32" i="27"/>
  <c r="E5" i="27"/>
  <c r="E31" i="26"/>
  <c r="E5" i="26"/>
  <c r="E31" i="25"/>
  <c r="E4" i="25"/>
  <c r="E27" i="24"/>
  <c r="E3" i="24"/>
  <c r="E27" i="23"/>
  <c r="E3" i="23"/>
  <c r="E26" i="22"/>
  <c r="E49" i="21"/>
  <c r="E25" i="21"/>
  <c r="E49" i="20"/>
  <c r="E25" i="20"/>
  <c r="E47" i="19"/>
  <c r="E20" i="19"/>
  <c r="E46" i="18"/>
  <c r="E20" i="18"/>
  <c r="E46" i="17"/>
  <c r="E19" i="17"/>
  <c r="E42" i="16"/>
  <c r="E18" i="16"/>
  <c r="E44" i="15"/>
  <c r="E21" i="15"/>
  <c r="E48" i="14"/>
  <c r="E25" i="14"/>
  <c r="E3" i="14"/>
  <c r="E29" i="13"/>
  <c r="E6" i="13"/>
  <c r="E32" i="12"/>
  <c r="E9" i="12"/>
  <c r="E36" i="11"/>
  <c r="E17" i="11"/>
  <c r="E49" i="10"/>
  <c r="E30" i="10"/>
  <c r="E13" i="10"/>
  <c r="E47" i="9"/>
  <c r="E31" i="9"/>
  <c r="E15" i="9"/>
  <c r="E49" i="8"/>
  <c r="E33" i="8"/>
  <c r="E17" i="8"/>
  <c r="E51" i="7"/>
  <c r="E35" i="7"/>
  <c r="E19" i="7"/>
  <c r="E3" i="7"/>
  <c r="E37" i="6"/>
  <c r="E21" i="6"/>
  <c r="E5" i="6"/>
  <c r="E39" i="5"/>
  <c r="E23" i="5"/>
  <c r="E7" i="5"/>
  <c r="E41" i="4"/>
  <c r="E25" i="4"/>
  <c r="E9" i="4"/>
  <c r="E43" i="3"/>
  <c r="E27" i="3"/>
  <c r="E11" i="3"/>
  <c r="E45" i="2"/>
  <c r="E29" i="2"/>
  <c r="E13" i="2"/>
  <c r="E47" i="1"/>
  <c r="E31" i="1"/>
  <c r="E15" i="1"/>
  <c r="E30" i="30"/>
  <c r="E2" i="27"/>
  <c r="E50" i="23"/>
  <c r="E22" i="21"/>
  <c r="E17" i="19"/>
  <c r="E15" i="18"/>
  <c r="E15" i="16"/>
  <c r="E33" i="50"/>
  <c r="E7" i="50"/>
  <c r="E33" i="49"/>
  <c r="E7" i="49"/>
  <c r="E33" i="48"/>
  <c r="E5" i="48"/>
  <c r="E29" i="47"/>
  <c r="E5" i="47"/>
  <c r="E29" i="46"/>
  <c r="E5" i="46"/>
  <c r="E26" i="45"/>
  <c r="E50" i="44"/>
  <c r="E26" i="44"/>
  <c r="E50" i="43"/>
  <c r="E26" i="43"/>
  <c r="E48" i="42"/>
  <c r="E22" i="42"/>
  <c r="E48" i="41"/>
  <c r="E22" i="41"/>
  <c r="E48" i="40"/>
  <c r="E20" i="40"/>
  <c r="E44" i="39"/>
  <c r="E20" i="39"/>
  <c r="E44" i="38"/>
  <c r="E20" i="38"/>
  <c r="E42" i="37"/>
  <c r="E16" i="37"/>
  <c r="E42" i="36"/>
  <c r="E16" i="36"/>
  <c r="E42" i="35"/>
  <c r="E14" i="35"/>
  <c r="E38" i="34"/>
  <c r="E14" i="34"/>
  <c r="E38" i="33"/>
  <c r="E14" i="33"/>
  <c r="E36" i="32"/>
  <c r="E10" i="32"/>
  <c r="E36" i="31"/>
  <c r="E10" i="31"/>
  <c r="E36" i="30"/>
  <c r="E8" i="30"/>
  <c r="E32" i="29"/>
  <c r="E8" i="29"/>
  <c r="E32" i="28"/>
  <c r="E8" i="28"/>
  <c r="E30" i="27"/>
  <c r="E4" i="27"/>
  <c r="E30" i="26"/>
  <c r="E4" i="26"/>
  <c r="E30" i="25"/>
  <c r="E2" i="25"/>
  <c r="E26" i="24"/>
  <c r="E2" i="24"/>
  <c r="E26" i="23"/>
  <c r="E2" i="23"/>
  <c r="E24" i="22"/>
  <c r="E48" i="21"/>
  <c r="E24" i="21"/>
  <c r="E48" i="20"/>
  <c r="E24" i="20"/>
  <c r="E45" i="19"/>
  <c r="E19" i="19"/>
  <c r="E45" i="18"/>
  <c r="E19" i="18"/>
  <c r="E45" i="17"/>
  <c r="E17" i="17"/>
  <c r="E41" i="16"/>
  <c r="E17" i="16"/>
  <c r="E43" i="15"/>
  <c r="E20" i="15"/>
  <c r="E46" i="14"/>
  <c r="E23" i="14"/>
  <c r="E50" i="13"/>
  <c r="E27" i="13"/>
  <c r="E5" i="13"/>
  <c r="E31" i="12"/>
  <c r="E8" i="12"/>
  <c r="E35" i="11"/>
  <c r="E16" i="11"/>
  <c r="E47" i="10"/>
  <c r="E29" i="10"/>
  <c r="E12" i="10"/>
  <c r="E46" i="9"/>
  <c r="E30" i="9"/>
  <c r="E14" i="9"/>
  <c r="E48" i="8"/>
  <c r="E32" i="8"/>
  <c r="E16" i="8"/>
  <c r="E50" i="7"/>
  <c r="E34" i="7"/>
  <c r="E18" i="7"/>
  <c r="E2" i="7"/>
  <c r="E36" i="6"/>
  <c r="E20" i="6"/>
  <c r="E4" i="6"/>
  <c r="E38" i="5"/>
  <c r="E22" i="5"/>
  <c r="E6" i="5"/>
  <c r="E40" i="4"/>
  <c r="E24" i="4"/>
  <c r="E8" i="4"/>
  <c r="E42" i="3"/>
  <c r="E26" i="3"/>
  <c r="E10" i="3"/>
  <c r="E44" i="2"/>
  <c r="E28" i="2"/>
  <c r="E12" i="2"/>
  <c r="E46" i="1"/>
  <c r="E30" i="1"/>
  <c r="E14" i="1"/>
  <c r="E13" i="1"/>
  <c r="E6" i="29"/>
  <c r="E28" i="28"/>
  <c r="E28" i="26"/>
  <c r="E50" i="24"/>
  <c r="E46" i="22"/>
  <c r="E18" i="20"/>
  <c r="E39" i="16"/>
  <c r="E21" i="14"/>
  <c r="E32" i="50"/>
  <c r="E6" i="50"/>
  <c r="E32" i="49"/>
  <c r="E5" i="49"/>
  <c r="E28" i="48"/>
  <c r="E4" i="48"/>
  <c r="E28" i="47"/>
  <c r="E4" i="47"/>
  <c r="E27" i="46"/>
  <c r="E49" i="45"/>
  <c r="E25" i="45"/>
  <c r="E49" i="44"/>
  <c r="E25" i="44"/>
  <c r="E48" i="43"/>
  <c r="E21" i="43"/>
  <c r="E47" i="42"/>
  <c r="E21" i="42"/>
  <c r="E47" i="41"/>
  <c r="E20" i="41"/>
  <c r="E43" i="40"/>
  <c r="E19" i="40"/>
  <c r="E43" i="39"/>
  <c r="E19" i="39"/>
  <c r="E42" i="38"/>
  <c r="E15" i="38"/>
  <c r="E41" i="37"/>
  <c r="E15" i="37"/>
  <c r="E41" i="36"/>
  <c r="E14" i="36"/>
  <c r="E37" i="35"/>
  <c r="E13" i="35"/>
  <c r="E37" i="34"/>
  <c r="E13" i="34"/>
  <c r="E36" i="33"/>
  <c r="E9" i="33"/>
  <c r="E35" i="32"/>
  <c r="E9" i="32"/>
  <c r="E35" i="31"/>
  <c r="E8" i="31"/>
  <c r="E31" i="30"/>
  <c r="E7" i="30"/>
  <c r="E31" i="29"/>
  <c r="E7" i="29"/>
  <c r="E30" i="28"/>
  <c r="E3" i="28"/>
  <c r="E29" i="27"/>
  <c r="E3" i="27"/>
  <c r="E29" i="26"/>
  <c r="E2" i="26"/>
  <c r="E25" i="25"/>
  <c r="E51" i="24"/>
  <c r="E25" i="24"/>
  <c r="E51" i="23"/>
  <c r="E24" i="23"/>
  <c r="E47" i="22"/>
  <c r="E23" i="22"/>
  <c r="E47" i="21"/>
  <c r="E23" i="21"/>
  <c r="E46" i="20"/>
  <c r="E19" i="20"/>
  <c r="E44" i="19"/>
  <c r="E18" i="19"/>
  <c r="E44" i="18"/>
  <c r="E17" i="18"/>
  <c r="E40" i="17"/>
  <c r="E16" i="17"/>
  <c r="E40" i="16"/>
  <c r="E16" i="16"/>
  <c r="E42" i="15"/>
  <c r="E19" i="15"/>
  <c r="E45" i="14"/>
  <c r="E22" i="14"/>
  <c r="E48" i="13"/>
  <c r="E25" i="13"/>
  <c r="E2" i="13"/>
  <c r="E29" i="12"/>
  <c r="E7" i="12"/>
  <c r="E34" i="11"/>
  <c r="E15" i="11"/>
  <c r="E46" i="10"/>
  <c r="E28" i="10"/>
  <c r="E11" i="10"/>
  <c r="E45" i="9"/>
  <c r="E29" i="9"/>
  <c r="E13" i="9"/>
  <c r="E47" i="8"/>
  <c r="E31" i="8"/>
  <c r="E15" i="8"/>
  <c r="E49" i="7"/>
  <c r="E33" i="7"/>
  <c r="E17" i="7"/>
  <c r="E51" i="6"/>
  <c r="E35" i="6"/>
  <c r="E19" i="6"/>
  <c r="E3" i="6"/>
  <c r="E37" i="5"/>
  <c r="E21" i="5"/>
  <c r="E5" i="5"/>
  <c r="E39" i="4"/>
  <c r="E23" i="4"/>
  <c r="E7" i="4"/>
  <c r="E41" i="3"/>
  <c r="E25" i="3"/>
  <c r="E9" i="3"/>
  <c r="E43" i="2"/>
  <c r="E27" i="2"/>
  <c r="E11" i="2"/>
  <c r="E45" i="1"/>
  <c r="E29" i="1"/>
  <c r="E30" i="29"/>
  <c r="E2" i="28"/>
  <c r="E50" i="25"/>
  <c r="E24" i="24"/>
  <c r="E22" i="23"/>
  <c r="E46" i="21"/>
  <c r="E43" i="19"/>
  <c r="E39" i="17"/>
  <c r="E44" i="14"/>
  <c r="E31" i="50"/>
  <c r="E5" i="50"/>
  <c r="E31" i="49"/>
  <c r="E3" i="49"/>
  <c r="E27" i="48"/>
  <c r="E3" i="48"/>
  <c r="E27" i="47"/>
  <c r="E3" i="47"/>
  <c r="E25" i="46"/>
  <c r="E48" i="45"/>
  <c r="E24" i="45"/>
  <c r="E48" i="44"/>
  <c r="E24" i="44"/>
  <c r="E46" i="43"/>
  <c r="E20" i="43"/>
  <c r="E46" i="42"/>
  <c r="E20" i="42"/>
  <c r="E46" i="41"/>
  <c r="E18" i="41"/>
  <c r="E42" i="40"/>
  <c r="E18" i="40"/>
  <c r="E42" i="39"/>
  <c r="E18" i="39"/>
  <c r="E40" i="38"/>
  <c r="E14" i="38"/>
  <c r="E40" i="37"/>
  <c r="E14" i="37"/>
  <c r="E40" i="36"/>
  <c r="E12" i="36"/>
  <c r="E36" i="35"/>
  <c r="E12" i="35"/>
  <c r="E36" i="34"/>
  <c r="E12" i="34"/>
  <c r="E34" i="33"/>
  <c r="E8" i="33"/>
  <c r="E34" i="32"/>
  <c r="E8" i="32"/>
  <c r="E34" i="31"/>
  <c r="E6" i="31"/>
  <c r="E30" i="50"/>
  <c r="E3" i="50"/>
  <c r="E26" i="49"/>
  <c r="E2" i="49"/>
  <c r="E26" i="48"/>
  <c r="E2" i="48"/>
  <c r="E25" i="47"/>
  <c r="E48" i="46"/>
  <c r="E24" i="46"/>
  <c r="E47" i="45"/>
  <c r="E23" i="45"/>
  <c r="E46" i="44"/>
  <c r="E19" i="44"/>
  <c r="E45" i="43"/>
  <c r="E19" i="43"/>
  <c r="E45" i="42"/>
  <c r="E18" i="42"/>
  <c r="E41" i="41"/>
  <c r="E17" i="41"/>
  <c r="E41" i="40"/>
  <c r="E17" i="40"/>
  <c r="E40" i="39"/>
  <c r="E13" i="39"/>
  <c r="E39" i="38"/>
  <c r="E13" i="38"/>
  <c r="E39" i="37"/>
  <c r="E12" i="37"/>
  <c r="E35" i="36"/>
  <c r="E11" i="36"/>
  <c r="E35" i="35"/>
  <c r="E11" i="35"/>
  <c r="E34" i="34"/>
  <c r="E7" i="34"/>
  <c r="E33" i="33"/>
  <c r="E7" i="33"/>
  <c r="E33" i="32"/>
  <c r="E6" i="32"/>
  <c r="E29" i="31"/>
  <c r="E5" i="31"/>
  <c r="E29" i="30"/>
  <c r="E5" i="30"/>
  <c r="E28" i="29"/>
  <c r="E51" i="28"/>
  <c r="E27" i="28"/>
  <c r="E51" i="27"/>
  <c r="E27" i="27"/>
  <c r="E50" i="26"/>
  <c r="E23" i="26"/>
  <c r="E49" i="25"/>
  <c r="E23" i="25"/>
  <c r="E49" i="24"/>
  <c r="E22" i="24"/>
  <c r="E45" i="23"/>
  <c r="E21" i="23"/>
  <c r="E45" i="22"/>
  <c r="E21" i="22"/>
  <c r="E44" i="21"/>
  <c r="E17" i="21"/>
  <c r="E43" i="20"/>
  <c r="E17" i="20"/>
  <c r="E42" i="19"/>
  <c r="E15" i="19"/>
  <c r="E38" i="18"/>
  <c r="E14" i="18"/>
  <c r="E38" i="17"/>
  <c r="E14" i="17"/>
  <c r="E37" i="16"/>
  <c r="E12" i="16"/>
  <c r="E39" i="15"/>
  <c r="E17" i="15"/>
  <c r="E43" i="14"/>
  <c r="E20" i="14"/>
  <c r="E46" i="13"/>
  <c r="E23" i="13"/>
  <c r="E49" i="12"/>
  <c r="E26" i="12"/>
  <c r="E2" i="12"/>
  <c r="E31" i="11"/>
  <c r="E12" i="11"/>
  <c r="E44" i="10"/>
  <c r="E26" i="10"/>
  <c r="E9" i="10"/>
  <c r="E43" i="9"/>
  <c r="E27" i="9"/>
  <c r="E11" i="9"/>
  <c r="E45" i="8"/>
  <c r="E29" i="8"/>
  <c r="E13" i="8"/>
  <c r="E47" i="7"/>
  <c r="E31" i="7"/>
  <c r="E15" i="7"/>
  <c r="E49" i="6"/>
  <c r="E33" i="6"/>
  <c r="E17" i="6"/>
  <c r="E51" i="5"/>
  <c r="E35" i="5"/>
  <c r="E19" i="5"/>
  <c r="E3" i="5"/>
  <c r="E37" i="4"/>
  <c r="E21" i="4"/>
  <c r="E5" i="4"/>
  <c r="E39" i="3"/>
  <c r="E23" i="3"/>
  <c r="E7" i="3"/>
  <c r="E41" i="2"/>
  <c r="E25" i="2"/>
  <c r="E9" i="2"/>
  <c r="E43" i="1"/>
  <c r="E27" i="1"/>
  <c r="E11" i="1"/>
  <c r="E26" i="1"/>
  <c r="E9" i="16"/>
  <c r="E12" i="15"/>
  <c r="E16" i="14"/>
  <c r="E21" i="13"/>
  <c r="E24" i="12"/>
  <c r="E50" i="11"/>
  <c r="E10" i="11"/>
  <c r="E24" i="10"/>
  <c r="E41" i="9"/>
  <c r="E9" i="9"/>
  <c r="E27" i="8"/>
  <c r="E45" i="7"/>
  <c r="E13" i="7"/>
  <c r="E31" i="6"/>
  <c r="E49" i="5"/>
  <c r="E17" i="5"/>
  <c r="E29" i="50"/>
  <c r="E51" i="49"/>
  <c r="E25" i="49"/>
  <c r="E51" i="48"/>
  <c r="E25" i="48"/>
  <c r="E51" i="47"/>
  <c r="E23" i="47"/>
  <c r="E47" i="46"/>
  <c r="E23" i="46"/>
  <c r="E46" i="45"/>
  <c r="E22" i="45"/>
  <c r="E44" i="44"/>
  <c r="E18" i="44"/>
  <c r="E44" i="43"/>
  <c r="E18" i="43"/>
  <c r="E44" i="42"/>
  <c r="E16" i="42"/>
  <c r="E40" i="41"/>
  <c r="E16" i="41"/>
  <c r="E40" i="40"/>
  <c r="E16" i="40"/>
  <c r="E38" i="39"/>
  <c r="E12" i="39"/>
  <c r="E38" i="38"/>
  <c r="E12" i="38"/>
  <c r="E38" i="37"/>
  <c r="E10" i="37"/>
  <c r="E34" i="36"/>
  <c r="E10" i="36"/>
  <c r="E34" i="35"/>
  <c r="E10" i="35"/>
  <c r="E32" i="34"/>
  <c r="E6" i="34"/>
  <c r="E32" i="33"/>
  <c r="E6" i="33"/>
  <c r="E32" i="32"/>
  <c r="E4" i="32"/>
  <c r="E28" i="31"/>
  <c r="E4" i="31"/>
  <c r="E28" i="30"/>
  <c r="E4" i="30"/>
  <c r="E26" i="29"/>
  <c r="E50" i="28"/>
  <c r="E26" i="28"/>
  <c r="E50" i="27"/>
  <c r="E26" i="27"/>
  <c r="E48" i="26"/>
  <c r="E22" i="26"/>
  <c r="E48" i="25"/>
  <c r="E22" i="25"/>
  <c r="E48" i="24"/>
  <c r="E20" i="24"/>
  <c r="E44" i="23"/>
  <c r="E20" i="23"/>
  <c r="E44" i="22"/>
  <c r="E20" i="22"/>
  <c r="E42" i="21"/>
  <c r="E16" i="21"/>
  <c r="E42" i="20"/>
  <c r="E16" i="20"/>
  <c r="E41" i="19"/>
  <c r="E13" i="19"/>
  <c r="E37" i="18"/>
  <c r="E13" i="18"/>
  <c r="E37" i="17"/>
  <c r="E13" i="17"/>
  <c r="E35" i="16"/>
  <c r="E10" i="16"/>
  <c r="E37" i="15"/>
  <c r="E14" i="15"/>
  <c r="E41" i="14"/>
  <c r="E19" i="14"/>
  <c r="E45" i="13"/>
  <c r="E22" i="13"/>
  <c r="E48" i="12"/>
  <c r="E25" i="12"/>
  <c r="E51" i="11"/>
  <c r="E29" i="11"/>
  <c r="E11" i="11"/>
  <c r="E43" i="10"/>
  <c r="E25" i="10"/>
  <c r="E8" i="10"/>
  <c r="E42" i="9"/>
  <c r="E26" i="9"/>
  <c r="E10" i="9"/>
  <c r="E44" i="8"/>
  <c r="E28" i="8"/>
  <c r="E12" i="8"/>
  <c r="E46" i="7"/>
  <c r="E30" i="7"/>
  <c r="E14" i="7"/>
  <c r="E48" i="6"/>
  <c r="E32" i="6"/>
  <c r="E16" i="6"/>
  <c r="E50" i="5"/>
  <c r="E34" i="5"/>
  <c r="E18" i="5"/>
  <c r="E2" i="5"/>
  <c r="E36" i="4"/>
  <c r="E20" i="4"/>
  <c r="E4" i="4"/>
  <c r="E38" i="3"/>
  <c r="E22" i="3"/>
  <c r="E6" i="3"/>
  <c r="E40" i="2"/>
  <c r="E24" i="2"/>
  <c r="E8" i="2"/>
  <c r="E42" i="1"/>
  <c r="E10" i="1"/>
  <c r="E36" i="15"/>
  <c r="E39" i="14"/>
  <c r="E43" i="13"/>
  <c r="E47" i="12"/>
  <c r="E28" i="11"/>
  <c r="E42" i="10"/>
  <c r="E7" i="10"/>
  <c r="E25" i="9"/>
  <c r="E43" i="8"/>
  <c r="E11" i="8"/>
  <c r="E29" i="7"/>
  <c r="E47" i="6"/>
  <c r="E15" i="6"/>
  <c r="E33" i="5"/>
  <c r="E51" i="4"/>
  <c r="E24" i="50"/>
  <c r="E50" i="49"/>
  <c r="E24" i="49"/>
  <c r="E50" i="48"/>
  <c r="E23" i="48"/>
  <c r="E46" i="47"/>
  <c r="E22" i="47"/>
  <c r="E46" i="46"/>
  <c r="E22" i="46"/>
  <c r="E44" i="45"/>
  <c r="E17" i="45"/>
  <c r="E43" i="44"/>
  <c r="E17" i="44"/>
  <c r="E43" i="43"/>
  <c r="E16" i="43"/>
  <c r="E39" i="42"/>
  <c r="E15" i="42"/>
  <c r="E39" i="41"/>
  <c r="E15" i="41"/>
  <c r="E38" i="40"/>
  <c r="E11" i="40"/>
  <c r="E37" i="39"/>
  <c r="E11" i="39"/>
  <c r="E37" i="38"/>
  <c r="E10" i="38"/>
  <c r="E33" i="37"/>
  <c r="E9" i="37"/>
  <c r="E33" i="36"/>
  <c r="E9" i="36"/>
  <c r="E32" i="35"/>
  <c r="E5" i="35"/>
  <c r="E31" i="34"/>
  <c r="E5" i="34"/>
  <c r="E31" i="33"/>
  <c r="E4" i="33"/>
  <c r="E27" i="32"/>
  <c r="E3" i="32"/>
  <c r="E27" i="31"/>
  <c r="E3" i="31"/>
  <c r="E26" i="30"/>
  <c r="E49" i="29"/>
  <c r="E25" i="29"/>
  <c r="E49" i="28"/>
  <c r="E25" i="28"/>
  <c r="E48" i="27"/>
  <c r="E21" i="27"/>
  <c r="E47" i="26"/>
  <c r="E21" i="26"/>
  <c r="E47" i="25"/>
  <c r="E20" i="25"/>
  <c r="E43" i="24"/>
  <c r="E19" i="24"/>
  <c r="E43" i="23"/>
  <c r="E19" i="23"/>
  <c r="E42" i="22"/>
  <c r="E15" i="22"/>
  <c r="E41" i="21"/>
  <c r="E15" i="21"/>
  <c r="E41" i="20"/>
  <c r="E14" i="20"/>
  <c r="E36" i="19"/>
  <c r="E12" i="19"/>
  <c r="E36" i="18"/>
  <c r="E12" i="18"/>
  <c r="E35" i="17"/>
  <c r="E8" i="17"/>
  <c r="E23" i="50"/>
  <c r="E49" i="49"/>
  <c r="E23" i="49"/>
  <c r="E49" i="48"/>
  <c r="E21" i="48"/>
  <c r="E45" i="47"/>
  <c r="E21" i="47"/>
  <c r="E45" i="46"/>
  <c r="E21" i="46"/>
  <c r="E42" i="45"/>
  <c r="E16" i="45"/>
  <c r="E42" i="44"/>
  <c r="E16" i="44"/>
  <c r="E42" i="43"/>
  <c r="E14" i="43"/>
  <c r="E38" i="42"/>
  <c r="E14" i="42"/>
  <c r="E38" i="41"/>
  <c r="E14" i="41"/>
  <c r="E36" i="40"/>
  <c r="E10" i="40"/>
  <c r="E36" i="39"/>
  <c r="E10" i="39"/>
  <c r="E36" i="38"/>
  <c r="E8" i="38"/>
  <c r="E32" i="37"/>
  <c r="E8" i="37"/>
  <c r="E32" i="36"/>
  <c r="E8" i="36"/>
  <c r="E30" i="35"/>
  <c r="E4" i="35"/>
  <c r="E30" i="34"/>
  <c r="E4" i="34"/>
  <c r="E30" i="33"/>
  <c r="E2" i="33"/>
  <c r="E26" i="32"/>
  <c r="E2" i="32"/>
  <c r="E26" i="31"/>
  <c r="E2" i="31"/>
  <c r="E24" i="30"/>
  <c r="E48" i="29"/>
  <c r="E24" i="29"/>
  <c r="E48" i="28"/>
  <c r="E24" i="28"/>
  <c r="E46" i="27"/>
  <c r="E20" i="27"/>
  <c r="E46" i="26"/>
  <c r="E20" i="26"/>
  <c r="E46" i="25"/>
  <c r="E18" i="25"/>
  <c r="E42" i="24"/>
  <c r="E18" i="24"/>
  <c r="E42" i="23"/>
  <c r="E18" i="23"/>
  <c r="E40" i="22"/>
  <c r="E14" i="22"/>
  <c r="E40" i="21"/>
  <c r="E14" i="21"/>
  <c r="E40" i="20"/>
  <c r="E12" i="20"/>
  <c r="E35" i="19"/>
  <c r="E11" i="19"/>
  <c r="E35" i="18"/>
  <c r="E11" i="18"/>
  <c r="E33" i="17"/>
  <c r="E7" i="17"/>
  <c r="E33" i="16"/>
  <c r="E8" i="16"/>
  <c r="E35" i="15"/>
  <c r="E11" i="15"/>
  <c r="E38" i="14"/>
  <c r="E14" i="14"/>
  <c r="E41" i="13"/>
  <c r="E18" i="13"/>
  <c r="E45" i="12"/>
  <c r="E23" i="12"/>
  <c r="E49" i="11"/>
  <c r="E27" i="11"/>
  <c r="E9" i="11"/>
  <c r="E41" i="10"/>
  <c r="E22" i="10"/>
  <c r="E6" i="10"/>
  <c r="E40" i="9"/>
  <c r="E24" i="9"/>
  <c r="E8" i="9"/>
  <c r="E42" i="8"/>
  <c r="E26" i="8"/>
  <c r="E10" i="8"/>
  <c r="E44" i="7"/>
  <c r="E28" i="7"/>
  <c r="E12" i="7"/>
  <c r="E46" i="6"/>
  <c r="E30" i="6"/>
  <c r="E14" i="6"/>
  <c r="E48" i="5"/>
  <c r="E32" i="5"/>
  <c r="E16" i="5"/>
  <c r="E50" i="4"/>
  <c r="E34" i="4"/>
  <c r="E18" i="4"/>
  <c r="E2" i="4"/>
  <c r="E36" i="3"/>
  <c r="E20" i="3"/>
  <c r="E4" i="3"/>
  <c r="E38" i="2"/>
  <c r="E22" i="2"/>
  <c r="E6" i="2"/>
  <c r="E40" i="1"/>
  <c r="E24" i="1"/>
  <c r="E8" i="1"/>
  <c r="E4" i="2"/>
  <c r="E6" i="1"/>
  <c r="E22" i="50"/>
  <c r="E48" i="49"/>
  <c r="E21" i="49"/>
  <c r="E44" i="48"/>
  <c r="E20" i="48"/>
  <c r="E44" i="47"/>
  <c r="E20" i="47"/>
  <c r="E43" i="46"/>
  <c r="E16" i="46"/>
  <c r="E41" i="45"/>
  <c r="E15" i="45"/>
  <c r="E41" i="44"/>
  <c r="E14" i="44"/>
  <c r="E37" i="43"/>
  <c r="E13" i="43"/>
  <c r="E37" i="42"/>
  <c r="E13" i="42"/>
  <c r="E36" i="41"/>
  <c r="E9" i="41"/>
  <c r="E35" i="40"/>
  <c r="E9" i="40"/>
  <c r="E35" i="39"/>
  <c r="E8" i="39"/>
  <c r="E31" i="38"/>
  <c r="E7" i="38"/>
  <c r="E31" i="37"/>
  <c r="E7" i="37"/>
  <c r="E30" i="36"/>
  <c r="E3" i="36"/>
  <c r="E29" i="35"/>
  <c r="E3" i="35"/>
  <c r="E29" i="34"/>
  <c r="E2" i="34"/>
  <c r="E25" i="33"/>
  <c r="E51" i="32"/>
  <c r="E25" i="32"/>
  <c r="E51" i="31"/>
  <c r="E24" i="31"/>
  <c r="E47" i="30"/>
  <c r="E23" i="30"/>
  <c r="E47" i="29"/>
  <c r="E23" i="29"/>
  <c r="E46" i="28"/>
  <c r="E19" i="28"/>
  <c r="E45" i="27"/>
  <c r="E19" i="27"/>
  <c r="E45" i="26"/>
  <c r="E18" i="26"/>
  <c r="E41" i="25"/>
  <c r="E17" i="25"/>
  <c r="E41" i="24"/>
  <c r="E17" i="24"/>
  <c r="E40" i="23"/>
  <c r="E13" i="23"/>
  <c r="E39" i="22"/>
  <c r="E13" i="22"/>
  <c r="E39" i="21"/>
  <c r="E12" i="21"/>
  <c r="E35" i="20"/>
  <c r="E11" i="20"/>
  <c r="E34" i="19"/>
  <c r="E10" i="19"/>
  <c r="E33" i="18"/>
  <c r="E6" i="18"/>
  <c r="E32" i="17"/>
  <c r="E6" i="17"/>
  <c r="E32" i="16"/>
  <c r="E7" i="16"/>
  <c r="E34" i="15"/>
  <c r="E10" i="15"/>
  <c r="E37" i="14"/>
  <c r="E13" i="14"/>
  <c r="E40" i="13"/>
  <c r="E16" i="13"/>
  <c r="E43" i="12"/>
  <c r="E20" i="12"/>
  <c r="E47" i="11"/>
  <c r="E26" i="11"/>
  <c r="E8" i="11"/>
  <c r="E40" i="10"/>
  <c r="E21" i="10"/>
  <c r="E5" i="10"/>
  <c r="E39" i="9"/>
  <c r="E23" i="9"/>
  <c r="E7" i="9"/>
  <c r="E41" i="8"/>
  <c r="E25" i="8"/>
  <c r="E9" i="8"/>
  <c r="E43" i="7"/>
  <c r="E27" i="7"/>
  <c r="E11" i="7"/>
  <c r="E45" i="6"/>
  <c r="E29" i="6"/>
  <c r="E13" i="6"/>
  <c r="E47" i="5"/>
  <c r="E31" i="5"/>
  <c r="E15" i="5"/>
  <c r="E49" i="4"/>
  <c r="E33" i="4"/>
  <c r="E17" i="4"/>
  <c r="E51" i="3"/>
  <c r="E35" i="3"/>
  <c r="E19" i="3"/>
  <c r="E3" i="3"/>
  <c r="E37" i="2"/>
  <c r="E21" i="2"/>
  <c r="E5" i="2"/>
  <c r="E39" i="1"/>
  <c r="E23" i="1"/>
  <c r="E7" i="1"/>
  <c r="E34" i="3"/>
  <c r="E2" i="3"/>
  <c r="E36" i="2"/>
  <c r="E38" i="1"/>
  <c r="E21" i="50"/>
  <c r="E47" i="49"/>
  <c r="E19" i="49"/>
  <c r="E43" i="48"/>
  <c r="E19" i="48"/>
  <c r="E43" i="47"/>
  <c r="E19" i="47"/>
  <c r="E41" i="46"/>
  <c r="E15" i="46"/>
  <c r="E40" i="45"/>
  <c r="E14" i="45"/>
  <c r="E40" i="44"/>
  <c r="E12" i="44"/>
  <c r="E36" i="43"/>
  <c r="E12" i="43"/>
  <c r="E36" i="42"/>
  <c r="E12" i="42"/>
  <c r="E34" i="41"/>
  <c r="E8" i="41"/>
  <c r="E34" i="40"/>
  <c r="E8" i="40"/>
  <c r="E34" i="39"/>
  <c r="E6" i="39"/>
  <c r="E30" i="38"/>
  <c r="E6" i="38"/>
  <c r="E30" i="37"/>
  <c r="E6" i="37"/>
  <c r="E28" i="36"/>
  <c r="E2" i="36"/>
  <c r="E28" i="35"/>
  <c r="E2" i="35"/>
  <c r="E28" i="34"/>
  <c r="E50" i="33"/>
  <c r="E24" i="33"/>
  <c r="E50" i="32"/>
  <c r="E24" i="32"/>
  <c r="E50" i="31"/>
  <c r="E22" i="31"/>
  <c r="E46" i="30"/>
  <c r="E22" i="30"/>
  <c r="E46" i="29"/>
  <c r="E22" i="29"/>
  <c r="E44" i="28"/>
  <c r="E18" i="28"/>
  <c r="E44" i="27"/>
  <c r="E18" i="27"/>
  <c r="E44" i="26"/>
  <c r="E16" i="26"/>
  <c r="E40" i="25"/>
  <c r="E16" i="25"/>
  <c r="E40" i="24"/>
  <c r="E16" i="24"/>
  <c r="E38" i="23"/>
  <c r="E12" i="23"/>
  <c r="E38" i="22"/>
  <c r="E12" i="22"/>
  <c r="E38" i="21"/>
  <c r="E10" i="21"/>
  <c r="E34" i="20"/>
  <c r="E10" i="20"/>
  <c r="E33" i="19"/>
  <c r="E9" i="19"/>
  <c r="E31" i="18"/>
  <c r="E5" i="18"/>
  <c r="E31" i="17"/>
  <c r="E5" i="17"/>
  <c r="E31" i="16"/>
  <c r="E5" i="16"/>
  <c r="E33" i="15"/>
  <c r="E9" i="15"/>
  <c r="E36" i="14"/>
  <c r="E12" i="14"/>
  <c r="E39" i="13"/>
  <c r="E15" i="13"/>
  <c r="E42" i="12"/>
  <c r="E18" i="12"/>
  <c r="E45" i="11"/>
  <c r="E25" i="11"/>
  <c r="E7" i="11"/>
  <c r="E38" i="10"/>
  <c r="E20" i="10"/>
  <c r="E4" i="10"/>
  <c r="E38" i="9"/>
  <c r="E22" i="9"/>
  <c r="E6" i="9"/>
  <c r="E40" i="8"/>
  <c r="E24" i="8"/>
  <c r="E8" i="8"/>
  <c r="E42" i="7"/>
  <c r="E26" i="7"/>
  <c r="E10" i="7"/>
  <c r="E44" i="6"/>
  <c r="E28" i="6"/>
  <c r="E12" i="6"/>
  <c r="E46" i="5"/>
  <c r="E30" i="5"/>
  <c r="E14" i="5"/>
  <c r="E48" i="4"/>
  <c r="E32" i="4"/>
  <c r="E16" i="4"/>
  <c r="E50" i="3"/>
  <c r="E18" i="3"/>
  <c r="E20" i="2"/>
  <c r="E22" i="1"/>
  <c r="E19" i="50"/>
  <c r="E42" i="49"/>
  <c r="E18" i="49"/>
  <c r="E42" i="48"/>
  <c r="E18" i="48"/>
  <c r="E41" i="47"/>
  <c r="E14" i="47"/>
  <c r="E40" i="46"/>
  <c r="E14" i="46"/>
  <c r="E39" i="45"/>
  <c r="E12" i="45"/>
  <c r="E35" i="44"/>
  <c r="E11" i="44"/>
  <c r="E35" i="43"/>
  <c r="E11" i="43"/>
  <c r="E34" i="42"/>
  <c r="E7" i="42"/>
  <c r="E33" i="41"/>
  <c r="E7" i="41"/>
  <c r="E33" i="40"/>
  <c r="E6" i="40"/>
  <c r="E29" i="39"/>
  <c r="E5" i="39"/>
  <c r="E29" i="38"/>
  <c r="E5" i="38"/>
  <c r="E28" i="37"/>
  <c r="E51" i="36"/>
  <c r="E27" i="36"/>
  <c r="E51" i="35"/>
  <c r="E27" i="35"/>
  <c r="E50" i="34"/>
  <c r="E23" i="34"/>
  <c r="E49" i="33"/>
  <c r="E23" i="33"/>
  <c r="E49" i="32"/>
  <c r="E22" i="32"/>
  <c r="E45" i="31"/>
  <c r="E21" i="31"/>
  <c r="E45" i="30"/>
  <c r="E21" i="30"/>
  <c r="E44" i="29"/>
  <c r="E17" i="29"/>
  <c r="E43" i="28"/>
  <c r="E17" i="28"/>
  <c r="E43" i="27"/>
  <c r="E16" i="27"/>
  <c r="E39" i="26"/>
  <c r="E15" i="26"/>
  <c r="E39" i="25"/>
  <c r="E15" i="25"/>
  <c r="E38" i="24"/>
  <c r="E11" i="24"/>
  <c r="E37" i="23"/>
  <c r="E11" i="23"/>
  <c r="E37" i="22"/>
  <c r="E10" i="22"/>
  <c r="E33" i="21"/>
  <c r="E9" i="21"/>
  <c r="E33" i="20"/>
  <c r="E9" i="20"/>
  <c r="E31" i="19"/>
  <c r="E4" i="19"/>
  <c r="E30" i="18"/>
  <c r="E4" i="18"/>
  <c r="E30" i="17"/>
  <c r="E3" i="17"/>
  <c r="E26" i="16"/>
  <c r="E3" i="16"/>
  <c r="E30" i="15"/>
  <c r="E7" i="15"/>
  <c r="E35" i="14"/>
  <c r="E11" i="14"/>
  <c r="E38" i="13"/>
  <c r="E14" i="13"/>
  <c r="E41" i="12"/>
  <c r="E17" i="12"/>
  <c r="E44" i="11"/>
  <c r="E24" i="11"/>
  <c r="E6" i="11"/>
  <c r="E37" i="10"/>
  <c r="E19" i="10"/>
  <c r="E3" i="10"/>
  <c r="E37" i="9"/>
  <c r="E21" i="9"/>
  <c r="E5" i="9"/>
  <c r="E39" i="8"/>
  <c r="E23" i="8"/>
  <c r="E7" i="8"/>
  <c r="E41" i="7"/>
  <c r="E25" i="7"/>
  <c r="E9" i="7"/>
  <c r="E43" i="6"/>
  <c r="E27" i="6"/>
  <c r="E11" i="6"/>
  <c r="E45" i="5"/>
  <c r="E29" i="5"/>
  <c r="E13" i="5"/>
  <c r="E47" i="4"/>
  <c r="E31" i="4"/>
  <c r="E15" i="4"/>
  <c r="E49" i="3"/>
  <c r="E33" i="3"/>
  <c r="E17" i="3"/>
  <c r="E51" i="2"/>
  <c r="E35" i="2"/>
  <c r="E19" i="2"/>
  <c r="E3" i="2"/>
  <c r="E37" i="1"/>
  <c r="E21" i="1"/>
  <c r="E5" i="1"/>
  <c r="E48" i="3"/>
  <c r="E32" i="3"/>
  <c r="E50" i="2"/>
  <c r="E18" i="2"/>
  <c r="E2" i="2"/>
  <c r="E20" i="1"/>
  <c r="E17" i="50"/>
  <c r="E41" i="49"/>
  <c r="E17" i="49"/>
  <c r="E41" i="48"/>
  <c r="E17" i="48"/>
  <c r="E39" i="47"/>
  <c r="E13" i="47"/>
  <c r="E39" i="46"/>
  <c r="E13" i="46"/>
  <c r="E38" i="45"/>
  <c r="E10" i="45"/>
  <c r="E34" i="44"/>
  <c r="E10" i="44"/>
  <c r="E34" i="43"/>
  <c r="E10" i="43"/>
  <c r="E32" i="42"/>
  <c r="E6" i="42"/>
  <c r="E32" i="41"/>
  <c r="E6" i="41"/>
  <c r="E32" i="40"/>
  <c r="E4" i="40"/>
  <c r="E28" i="39"/>
  <c r="E4" i="39"/>
  <c r="E28" i="38"/>
  <c r="E4" i="38"/>
  <c r="E26" i="37"/>
  <c r="E50" i="36"/>
  <c r="E26" i="36"/>
  <c r="E50" i="35"/>
  <c r="E26" i="35"/>
  <c r="E48" i="34"/>
  <c r="E22" i="34"/>
  <c r="E48" i="33"/>
  <c r="E22" i="33"/>
  <c r="E48" i="32"/>
  <c r="E20" i="32"/>
  <c r="E44" i="31"/>
  <c r="E20" i="31"/>
  <c r="E44" i="30"/>
  <c r="E20" i="30"/>
  <c r="E42" i="29"/>
  <c r="E16" i="29"/>
  <c r="E42" i="28"/>
  <c r="E16" i="28"/>
  <c r="E42" i="27"/>
  <c r="E14" i="27"/>
  <c r="E38" i="26"/>
  <c r="E14" i="26"/>
  <c r="E38" i="25"/>
  <c r="E14" i="25"/>
  <c r="E36" i="24"/>
  <c r="E10" i="24"/>
  <c r="E36" i="23"/>
  <c r="E10" i="23"/>
  <c r="E36" i="22"/>
  <c r="E8" i="22"/>
  <c r="E32" i="21"/>
  <c r="E8" i="21"/>
  <c r="E32" i="20"/>
  <c r="E8" i="20"/>
  <c r="E29" i="19"/>
  <c r="E3" i="19"/>
  <c r="E29" i="18"/>
  <c r="E3" i="18"/>
  <c r="E29" i="17"/>
  <c r="E51" i="16"/>
  <c r="E25" i="16"/>
  <c r="E2" i="16"/>
  <c r="E28" i="15"/>
  <c r="E5" i="15"/>
  <c r="E32" i="14"/>
  <c r="E9" i="14"/>
  <c r="E37" i="13"/>
  <c r="E13" i="13"/>
  <c r="E40" i="12"/>
  <c r="E16" i="12"/>
  <c r="E43" i="11"/>
  <c r="E23" i="11"/>
  <c r="E4" i="11"/>
  <c r="E36" i="10"/>
  <c r="E18" i="10"/>
  <c r="E2" i="10"/>
  <c r="E36" i="9"/>
  <c r="E20" i="9"/>
  <c r="E4" i="9"/>
  <c r="E38" i="8"/>
  <c r="E22" i="8"/>
  <c r="E6" i="8"/>
  <c r="E40" i="7"/>
  <c r="E24" i="7"/>
  <c r="E8" i="7"/>
  <c r="E42" i="6"/>
  <c r="E26" i="6"/>
  <c r="E10" i="6"/>
  <c r="E44" i="5"/>
  <c r="E28" i="5"/>
  <c r="E12" i="5"/>
  <c r="E46" i="4"/>
  <c r="E30" i="4"/>
  <c r="E14" i="4"/>
  <c r="E16" i="3"/>
  <c r="E34" i="2"/>
  <c r="E36" i="1"/>
  <c r="E4" i="1"/>
  <c r="E16" i="50"/>
  <c r="E40" i="49"/>
  <c r="E16" i="49"/>
  <c r="E39" i="48"/>
  <c r="E12" i="48"/>
  <c r="E38" i="47"/>
  <c r="E12" i="47"/>
  <c r="E38" i="46"/>
  <c r="E11" i="46"/>
  <c r="E33" i="45"/>
  <c r="E9" i="45"/>
  <c r="E33" i="44"/>
  <c r="E9" i="44"/>
  <c r="E32" i="43"/>
  <c r="E5" i="43"/>
  <c r="E31" i="42"/>
  <c r="E5" i="42"/>
  <c r="E15" i="50"/>
  <c r="E39" i="49"/>
  <c r="E15" i="49"/>
  <c r="E37" i="48"/>
  <c r="E11" i="48"/>
  <c r="E37" i="47"/>
  <c r="E11" i="47"/>
  <c r="E37" i="46"/>
  <c r="E9" i="46"/>
  <c r="E32" i="45"/>
  <c r="E8" i="45"/>
  <c r="E32" i="44"/>
  <c r="E8" i="44"/>
  <c r="E30" i="43"/>
  <c r="E4" i="43"/>
  <c r="E30" i="42"/>
  <c r="E4" i="42"/>
  <c r="E30" i="41"/>
  <c r="E2" i="41"/>
  <c r="E26" i="40"/>
  <c r="E2" i="40"/>
  <c r="E26" i="39"/>
  <c r="E2" i="39"/>
  <c r="E24" i="38"/>
  <c r="E48" i="37"/>
  <c r="E24" i="37"/>
  <c r="E48" i="36"/>
  <c r="E24" i="36"/>
  <c r="E46" i="35"/>
  <c r="E20" i="35"/>
  <c r="E46" i="34"/>
  <c r="E20" i="34"/>
  <c r="E46" i="33"/>
  <c r="E18" i="33"/>
  <c r="E42" i="32"/>
  <c r="E18" i="32"/>
  <c r="E42" i="31"/>
  <c r="E18" i="31"/>
  <c r="E40" i="30"/>
  <c r="E14" i="30"/>
  <c r="E40" i="29"/>
  <c r="E14" i="29"/>
  <c r="E40" i="28"/>
  <c r="E12" i="28"/>
  <c r="E36" i="27"/>
  <c r="E12" i="27"/>
  <c r="E36" i="26"/>
  <c r="E12" i="26"/>
  <c r="E34" i="25"/>
  <c r="E8" i="25"/>
  <c r="E34" i="24"/>
  <c r="E8" i="24"/>
  <c r="E34" i="23"/>
  <c r="E6" i="23"/>
  <c r="E30" i="22"/>
  <c r="E6" i="22"/>
  <c r="E30" i="21"/>
  <c r="E6" i="21"/>
  <c r="E28" i="20"/>
  <c r="E2" i="20"/>
  <c r="E27" i="19"/>
  <c r="E51" i="18"/>
  <c r="E27" i="18"/>
  <c r="E49" i="17"/>
  <c r="E23" i="17"/>
  <c r="E49" i="16"/>
  <c r="E23" i="16"/>
  <c r="E50" i="15"/>
  <c r="E26" i="15"/>
  <c r="E3" i="15"/>
  <c r="E29" i="14"/>
  <c r="E6" i="14"/>
  <c r="E32" i="13"/>
  <c r="E9" i="13"/>
  <c r="E36" i="12"/>
  <c r="E13" i="12"/>
  <c r="E41" i="11"/>
  <c r="E20" i="11"/>
  <c r="E2" i="11"/>
  <c r="E34" i="10"/>
  <c r="E16" i="10"/>
  <c r="E50" i="9"/>
  <c r="E34" i="9"/>
  <c r="E18" i="9"/>
  <c r="E2" i="9"/>
  <c r="E36" i="8"/>
  <c r="E20" i="8"/>
  <c r="E4" i="8"/>
  <c r="E38" i="7"/>
  <c r="E22" i="7"/>
  <c r="E6" i="7"/>
  <c r="E40" i="6"/>
  <c r="E24" i="6"/>
  <c r="E8" i="6"/>
  <c r="E42" i="5"/>
  <c r="E26" i="5"/>
  <c r="E10" i="5"/>
  <c r="E44" i="4"/>
  <c r="E28" i="4"/>
  <c r="E12" i="4"/>
  <c r="E46" i="3"/>
  <c r="E30" i="3"/>
  <c r="E14" i="3"/>
  <c r="E48" i="2"/>
  <c r="E32" i="2"/>
  <c r="E16" i="2"/>
  <c r="E50" i="1"/>
  <c r="E34" i="1"/>
  <c r="E18" i="1"/>
  <c r="E2" i="1"/>
  <c r="E14" i="50"/>
  <c r="E37" i="49"/>
  <c r="E10" i="49"/>
  <c r="E36" i="48"/>
  <c r="E10" i="48"/>
  <c r="E36" i="47"/>
  <c r="E9" i="47"/>
  <c r="E32" i="46"/>
  <c r="E8" i="46"/>
  <c r="E31" i="45"/>
  <c r="E7" i="45"/>
  <c r="E30" i="44"/>
  <c r="E3" i="44"/>
  <c r="E29" i="43"/>
  <c r="E3" i="43"/>
  <c r="E29" i="42"/>
  <c r="E2" i="42"/>
  <c r="E25" i="41"/>
  <c r="E51" i="40"/>
  <c r="E25" i="40"/>
  <c r="E51" i="39"/>
  <c r="E24" i="39"/>
  <c r="E47" i="38"/>
  <c r="E23" i="38"/>
  <c r="E47" i="37"/>
  <c r="E23" i="37"/>
  <c r="E46" i="36"/>
  <c r="E19" i="36"/>
  <c r="E45" i="35"/>
  <c r="E19" i="35"/>
  <c r="E45" i="34"/>
  <c r="E18" i="34"/>
  <c r="E41" i="33"/>
  <c r="E17" i="33"/>
  <c r="E41" i="32"/>
  <c r="E17" i="32"/>
  <c r="E40" i="31"/>
  <c r="E13" i="31"/>
  <c r="E39" i="30"/>
  <c r="E13" i="30"/>
  <c r="E39" i="29"/>
  <c r="E12" i="29"/>
  <c r="E35" i="28"/>
  <c r="E11" i="28"/>
  <c r="E35" i="27"/>
  <c r="E11" i="27"/>
  <c r="E34" i="26"/>
  <c r="E7" i="26"/>
  <c r="E33" i="25"/>
  <c r="E7" i="25"/>
  <c r="E33" i="24"/>
  <c r="E6" i="24"/>
  <c r="E29" i="23"/>
  <c r="E5" i="23"/>
  <c r="E29" i="22"/>
  <c r="E5" i="22"/>
  <c r="E28" i="21"/>
  <c r="E51" i="20"/>
  <c r="E27" i="20"/>
  <c r="E50" i="19"/>
  <c r="E26" i="19"/>
  <c r="E49" i="18"/>
  <c r="E22" i="18"/>
  <c r="E48" i="17"/>
  <c r="E22" i="17"/>
  <c r="E48" i="16"/>
  <c r="E21" i="16"/>
  <c r="E49" i="15"/>
  <c r="E25" i="15"/>
  <c r="E2" i="15"/>
  <c r="E28" i="14"/>
  <c r="E5" i="14"/>
  <c r="E31" i="13"/>
  <c r="E8" i="13"/>
  <c r="E34" i="12"/>
  <c r="E11" i="12"/>
  <c r="E40" i="11"/>
  <c r="E19" i="11"/>
  <c r="E51" i="10"/>
  <c r="E33" i="10"/>
  <c r="E15" i="10"/>
  <c r="E49" i="9"/>
  <c r="E33" i="9"/>
  <c r="E17" i="9"/>
  <c r="E51" i="8"/>
  <c r="E35" i="8"/>
  <c r="E19" i="8"/>
  <c r="E3" i="8"/>
  <c r="E37" i="7"/>
  <c r="E21" i="7"/>
  <c r="E5" i="7"/>
  <c r="E39" i="6"/>
  <c r="E23" i="6"/>
  <c r="E7" i="6"/>
  <c r="E41" i="5"/>
  <c r="E25" i="5"/>
  <c r="E9" i="5"/>
  <c r="E43" i="4"/>
  <c r="E27" i="4"/>
  <c r="E11" i="4"/>
  <c r="E45" i="3"/>
  <c r="E29" i="3"/>
  <c r="E13" i="3"/>
  <c r="E47" i="2"/>
  <c r="E31" i="2"/>
  <c r="E15" i="2"/>
  <c r="E49" i="1"/>
  <c r="E33" i="1"/>
  <c r="E17" i="1"/>
  <c r="E31" i="41"/>
  <c r="E20" i="33"/>
  <c r="E9" i="25"/>
  <c r="E24" i="17"/>
  <c r="E27" i="12"/>
  <c r="E28" i="9"/>
  <c r="E50" i="6"/>
  <c r="E29" i="4"/>
  <c r="E42" i="2"/>
  <c r="E9" i="1"/>
  <c r="E19" i="9"/>
  <c r="E22" i="4"/>
  <c r="E39" i="2"/>
  <c r="E3" i="1"/>
  <c r="E4" i="12"/>
  <c r="E34" i="6"/>
  <c r="E19" i="4"/>
  <c r="E33" i="2"/>
  <c r="E3" i="40"/>
  <c r="E24" i="16"/>
  <c r="E13" i="4"/>
  <c r="E19" i="31"/>
  <c r="E33" i="11"/>
  <c r="E18" i="6"/>
  <c r="E42" i="30"/>
  <c r="E9" i="6"/>
  <c r="E15" i="30"/>
  <c r="E13" i="11"/>
  <c r="E4" i="15"/>
  <c r="E7" i="2"/>
  <c r="E30" i="14"/>
  <c r="E37" i="3"/>
  <c r="E7" i="14"/>
  <c r="E27" i="5"/>
  <c r="E30" i="20"/>
  <c r="E24" i="3"/>
  <c r="E37" i="27"/>
  <c r="E35" i="1"/>
  <c r="E24" i="13"/>
  <c r="E28" i="1"/>
  <c r="E23" i="7"/>
  <c r="E21" i="34"/>
  <c r="E38" i="4"/>
  <c r="E7" i="7"/>
  <c r="E4" i="41"/>
  <c r="E43" i="32"/>
  <c r="E35" i="24"/>
  <c r="E50" i="16"/>
  <c r="E15" i="12"/>
  <c r="E41" i="6"/>
  <c r="E43" i="31"/>
  <c r="E35" i="23"/>
  <c r="E42" i="11"/>
  <c r="E25" i="6"/>
  <c r="E26" i="2"/>
  <c r="E51" i="15"/>
  <c r="E46" i="8"/>
  <c r="E23" i="2"/>
  <c r="E31" i="22"/>
  <c r="E22" i="11"/>
  <c r="E3" i="4"/>
  <c r="E26" i="38"/>
  <c r="E30" i="8"/>
  <c r="E47" i="3"/>
  <c r="E41" i="29"/>
  <c r="E3" i="11"/>
  <c r="E25" i="37"/>
  <c r="E45" i="10"/>
  <c r="E51" i="1"/>
  <c r="E41" i="28"/>
  <c r="E31" i="3"/>
  <c r="E48" i="7"/>
  <c r="E48" i="35"/>
  <c r="E11" i="5"/>
  <c r="E32" i="7"/>
  <c r="E47" i="34"/>
  <c r="E16" i="7"/>
  <c r="E36" i="25"/>
  <c r="E12" i="1"/>
  <c r="E27" i="40"/>
  <c r="E19" i="32"/>
  <c r="E9" i="24"/>
  <c r="E34" i="16"/>
  <c r="E12" i="9"/>
  <c r="E3" i="9"/>
  <c r="E8" i="23"/>
  <c r="E6" i="4"/>
  <c r="E37" i="8"/>
  <c r="E17" i="2"/>
  <c r="E7" i="22"/>
  <c r="E2" i="6"/>
  <c r="E31" i="21"/>
  <c r="E43" i="5"/>
  <c r="E7" i="21"/>
  <c r="E14" i="8"/>
  <c r="E49" i="36"/>
  <c r="E44" i="1"/>
  <c r="E47" i="13"/>
  <c r="E41" i="1"/>
  <c r="E17" i="10"/>
  <c r="E39" i="7"/>
  <c r="E13" i="27"/>
  <c r="E10" i="10"/>
  <c r="E15" i="3"/>
  <c r="E2" i="19"/>
  <c r="E8" i="3"/>
  <c r="E44" i="9"/>
  <c r="E5" i="3"/>
  <c r="E39" i="12"/>
  <c r="E35" i="4"/>
  <c r="E51" i="9"/>
  <c r="E27" i="39"/>
  <c r="E49" i="37"/>
  <c r="E40" i="3"/>
  <c r="E36" i="5"/>
  <c r="E35" i="10"/>
  <c r="E14" i="28"/>
  <c r="E20" i="5"/>
  <c r="E34" i="13"/>
  <c r="E21" i="35"/>
  <c r="E45" i="4"/>
  <c r="E28" i="18"/>
  <c r="E51" i="17"/>
  <c r="E3" i="39"/>
  <c r="E41" i="15"/>
  <c r="E27" i="15"/>
  <c r="E10" i="2"/>
  <c r="E21" i="8"/>
  <c r="E15" i="29"/>
  <c r="E44" i="20"/>
  <c r="E5" i="8"/>
  <c r="E25" i="36"/>
  <c r="E27" i="10"/>
  <c r="E3" i="20"/>
  <c r="E21" i="3"/>
  <c r="E28" i="19"/>
  <c r="E4" i="5"/>
  <c r="E37" i="26"/>
  <c r="E50" i="12"/>
  <c r="E19" i="1"/>
  <c r="E35" i="9"/>
  <c r="E11" i="13"/>
  <c r="E13" i="26"/>
  <c r="E25" i="1"/>
  <c r="E47" i="33"/>
  <c r="E49" i="2"/>
</calcChain>
</file>

<file path=xl/sharedStrings.xml><?xml version="1.0" encoding="utf-8"?>
<sst xmlns="http://schemas.openxmlformats.org/spreadsheetml/2006/main" count="7892" uniqueCount="7730">
  <si>
    <t>Chủ đề 1: Chào hỏi và Làm quen (50 câu)</t>
  </si>
  <si>
    <t>Chào buổi sáng.</t>
  </si>
  <si>
    <t>Magandang umaga .</t>
  </si>
  <si>
    <t>Zǎoshang hǎo.</t>
  </si>
  <si>
    <t>Chào buổi trưa (12h).</t>
  </si>
  <si>
    <t>Magandang tanghali .</t>
  </si>
  <si>
    <t>Chào buổi chiều.</t>
  </si>
  <si>
    <t>Magandang hapon .</t>
  </si>
  <si>
    <t>Xiàwǔ hǎo (zhōngwǔ 12 diǎn).</t>
  </si>
  <si>
    <t>Chào buổi tối.</t>
  </si>
  <si>
    <t>Magandang gabi .</t>
  </si>
  <si>
    <t>Bạn khỏe không?</t>
  </si>
  <si>
    <t>Kumusta ka ?</t>
  </si>
  <si>
    <t>Xiàwǔ hǎo.</t>
  </si>
  <si>
    <t>Tôi khỏe, cảm ơn bạn.</t>
  </si>
  <si>
    <t>Mabuti , salamat .</t>
  </si>
  <si>
    <t>Tên bạn là gì?</t>
  </si>
  <si>
    <t>Ano ang pangalan mo ?</t>
  </si>
  <si>
    <t>Wǎnshàng hǎo.</t>
  </si>
  <si>
    <t>Tên tôi là Thanh.</t>
  </si>
  <si>
    <t>Ang pangalan ko ay Thanh .</t>
  </si>
  <si>
    <t>Rất vui được gặp bạn.</t>
  </si>
  <si>
    <t>Ikinagagalak ko ng makilala ka .</t>
  </si>
  <si>
    <t>Nǐ hǎo ma?</t>
  </si>
  <si>
    <t>Bạn bao nhiêu tuổi?</t>
  </si>
  <si>
    <t>Ilang taon ka na ?</t>
  </si>
  <si>
    <t>Tôi 10 tuổi.</t>
  </si>
  <si>
    <t>Sampu taon gulang na ako .</t>
  </si>
  <si>
    <t>Wǒ hěn hǎo, xièxiè.</t>
  </si>
  <si>
    <t>Bạn sống ở đâu?</t>
  </si>
  <si>
    <t>Saan ka nakatira ?</t>
  </si>
  <si>
    <t>Bạn từ đâu đến?</t>
  </si>
  <si>
    <t>Taga-saan ka ?</t>
  </si>
  <si>
    <t>Nǐ jiào shénme míngzì?</t>
  </si>
  <si>
    <t>Tôi đến từ Việt Nam.</t>
  </si>
  <si>
    <t>Taga-Vietnam ako .</t>
  </si>
  <si>
    <t>Bạn là người Philippines phải không?</t>
  </si>
  <si>
    <t>Pilipino ka ba ?</t>
  </si>
  <si>
    <t>Wǒ jiào Thanh.</t>
  </si>
  <si>
    <t>Vâng, đúng rồi.</t>
  </si>
  <si>
    <t>Oo , tama .</t>
  </si>
  <si>
    <t>Không phải.</t>
  </si>
  <si>
    <t>Hindi .</t>
  </si>
  <si>
    <t>Hěn gāoxìng rènshí nǐ.</t>
  </si>
  <si>
    <t>Bạn làm nghề gì?</t>
  </si>
  <si>
    <t>Ano ang trabaho mo ?</t>
  </si>
  <si>
    <t>Tôi là học sinh.</t>
  </si>
  <si>
    <t>Estudyante ako .</t>
  </si>
  <si>
    <t>Nǐ duōdàle?</t>
  </si>
  <si>
    <t>Tôi là khách du lịch.</t>
  </si>
  <si>
    <t>Turista ako .</t>
  </si>
  <si>
    <t>Bạn có nói được tiếng Anh không?</t>
  </si>
  <si>
    <t>Marunong ka ba mag-English ?</t>
  </si>
  <si>
    <t>Wǒ 10 suì.</t>
  </si>
  <si>
    <t>Một chút thôi.</t>
  </si>
  <si>
    <t>Konti lang .</t>
  </si>
  <si>
    <t>Tôi đang học tiếng Tagalog.</t>
  </si>
  <si>
    <t>Nag-aaral ako ng Tagalog .</t>
  </si>
  <si>
    <t>Nǐ zhù zài nǎlǐ?</t>
  </si>
  <si>
    <t>Bạn nói lại được không?</t>
  </si>
  <si>
    <t>Paki-ulit ?</t>
  </si>
  <si>
    <t>Xin lỗi.</t>
  </si>
  <si>
    <t>Pasensya na - Paumanhin .</t>
  </si>
  <si>
    <t>Nǐ láizì nǎlǐ?</t>
  </si>
  <si>
    <t>Làm ơn/Giúp tôi với.</t>
  </si>
  <si>
    <t>Paki-tulungan ako .</t>
  </si>
  <si>
    <t>Cảm ơn rất nhiều.</t>
  </si>
  <si>
    <t>Maraming salamat .</t>
  </si>
  <si>
    <t>Wǒ láizì yuènán.</t>
  </si>
  <si>
    <t>Không có chi.</t>
  </si>
  <si>
    <t>Walang anuman .</t>
  </si>
  <si>
    <t>Chúc may mắn!</t>
  </si>
  <si>
    <t>Good luck !</t>
  </si>
  <si>
    <t>Nǐ shì fēilǜbīn rén ma?</t>
  </si>
  <si>
    <t>Giữ gìn sức khỏe nhé.</t>
  </si>
  <si>
    <t>Ingat .</t>
  </si>
  <si>
    <t>Hẹn gặp lại.</t>
  </si>
  <si>
    <t>Hanggang sa muli .</t>
  </si>
  <si>
    <t>Shì de, méi cuò.</t>
  </si>
  <si>
    <t>Tạm biệt.</t>
  </si>
  <si>
    <t>Paalam .</t>
  </si>
  <si>
    <t>Chúc ngủ ngon.</t>
  </si>
  <si>
    <t>Tulog nang mabuti .</t>
  </si>
  <si>
    <t>Bùshì.</t>
  </si>
  <si>
    <t>Bạn có anh chị em không?</t>
  </si>
  <si>
    <t>May kapatid ka ba ?</t>
  </si>
  <si>
    <t>Tôi có một em gái.</t>
  </si>
  <si>
    <t>May isa akong nakababatang kapatid na babae .</t>
  </si>
  <si>
    <t>Nǐ de zhíyè shì shénme?</t>
  </si>
  <si>
    <t>Bạn thích gì?</t>
  </si>
  <si>
    <t>Ano ang gusto mo ?</t>
  </si>
  <si>
    <t>Tôi thích đá bóng.</t>
  </si>
  <si>
    <t>Gusto ko ng football .</t>
  </si>
  <si>
    <t>Wǒ shì yī míng xuéshēng.</t>
  </si>
  <si>
    <t>Bạn thật tốt bụng.</t>
  </si>
  <si>
    <t>Napakabait mo .</t>
  </si>
  <si>
    <t>Hôm nay bạn thế nào?</t>
  </si>
  <si>
    <t>Kumusta ang araw mo ?</t>
  </si>
  <si>
    <t>Wǒ shì yī míng yóukè.</t>
  </si>
  <si>
    <t>Tôi hơi mệt.</t>
  </si>
  <si>
    <t>Medyo pagod ako .</t>
  </si>
  <si>
    <t>Tôi đang rất vui.</t>
  </si>
  <si>
    <t>Masaya ako .</t>
  </si>
  <si>
    <t>Nǐ huì shuō yīngyǔ ma?</t>
  </si>
  <si>
    <t>Bạn có hiểu không?</t>
  </si>
  <si>
    <t>Naiintindihan mo ba ?</t>
  </si>
  <si>
    <t>Tôi không hiểu.</t>
  </si>
  <si>
    <t>Hindi ko naiintindihan .</t>
  </si>
  <si>
    <t>Huì yīdiǎn.</t>
  </si>
  <si>
    <t>Cái này gọi là gì?</t>
  </si>
  <si>
    <t>Ano ng tawag dito ?</t>
  </si>
  <si>
    <t>Đợi một chút.</t>
  </si>
  <si>
    <t>Sandali lang .</t>
  </si>
  <si>
    <t>Wǒ zhèngzài xuéxí tā jiā lù yǔ.</t>
  </si>
  <si>
    <t>Đi thôi!</t>
  </si>
  <si>
    <t>Tara na !</t>
  </si>
  <si>
    <t>Bạn ở đây bao lâu rồi?</t>
  </si>
  <si>
    <t>Gaano ka na katagal dito ?</t>
  </si>
  <si>
    <t>Nǐ néng zàishuō yībiàn ma?</t>
  </si>
  <si>
    <t>Tôi mới đến.</t>
  </si>
  <si>
    <t>Bago lang ako dito .</t>
  </si>
  <si>
    <t>Tôi rất thích Philippines.</t>
  </si>
  <si>
    <t>Gusto ko ang Pilipinas .</t>
  </si>
  <si>
    <t>Dǎrǎo yīxià.</t>
  </si>
  <si>
    <t>Bạn là bạn của tôi.</t>
  </si>
  <si>
    <t>Kaibigan kita .</t>
  </si>
  <si>
    <t>Qǐng/bāng bāng wǒ.</t>
  </si>
  <si>
    <t>Fēicháng gǎnxiè.</t>
  </si>
  <si>
    <t>Bù kèqì.</t>
  </si>
  <si>
    <t>Zhù nǐ hǎo yùn!</t>
  </si>
  <si>
    <t>Bǎozhòng.</t>
  </si>
  <si>
    <t>Zàijiàn.</t>
  </si>
  <si>
    <t>Wǎn'ān.</t>
  </si>
  <si>
    <t>Nǐ yǒu xiōngdì jiěmèi ma?</t>
  </si>
  <si>
    <t>Wǒ yǒu gè mèimei.</t>
  </si>
  <si>
    <t>Nǐ xǐhuān shénme?</t>
  </si>
  <si>
    <t>Wǒ xǐhuān tī zúqiú.</t>
  </si>
  <si>
    <t>Nǐ zhēn hǎo.</t>
  </si>
  <si>
    <t>Nǐ jīntiān zěnme yàng?</t>
  </si>
  <si>
    <t>Wǒ yǒudiǎn lèi.</t>
  </si>
  <si>
    <t>Wǒ hěn gāoxìng.</t>
  </si>
  <si>
    <t>Nǐ míngbái ma?</t>
  </si>
  <si>
    <t>Wǒ bù míngbái.</t>
  </si>
  <si>
    <t>Zhè jiào shénme?</t>
  </si>
  <si>
    <t>Děng yīxià.</t>
  </si>
  <si>
    <t>Wǒmen zǒu ba!</t>
  </si>
  <si>
    <t>Nǐ zài zhèlǐ duōjiǔle?</t>
  </si>
  <si>
    <t>Wǒ gāng dào.</t>
  </si>
  <si>
    <t>Wǒ zhēn de hěn xǐhuān fēilǜbīn.</t>
  </si>
  <si>
    <t>Nǐ shì wǒ de péngyǒu.</t>
  </si>
  <si>
    <t>Chủ đề 2: Ăn uống (50 câu)</t>
  </si>
  <si>
    <t xml:space="preserve">Tôi đói quá. </t>
  </si>
  <si>
    <t>Gutom na ako .</t>
  </si>
  <si>
    <t>Wǒ hǎo è.</t>
  </si>
  <si>
    <t xml:space="preserve">Tôi khát nước. </t>
  </si>
  <si>
    <t>Uhaw na ako .</t>
  </si>
  <si>
    <t xml:space="preserve">Chúng ta ăn cơm thôi! </t>
  </si>
  <si>
    <t>Kain na tayo !</t>
  </si>
  <si>
    <t>Wǒ kěle.</t>
  </si>
  <si>
    <t xml:space="preserve">Bạn muốn ăn gì? </t>
  </si>
  <si>
    <t>Ano ng gusto mo kainin ?</t>
  </si>
  <si>
    <t xml:space="preserve">Cho tôi xem thực đơn. </t>
  </si>
  <si>
    <t>Patingin ng menu .</t>
  </si>
  <si>
    <t>Wǒmen chīfàn ba!</t>
  </si>
  <si>
    <t xml:space="preserve">Món này là món gì? </t>
  </si>
  <si>
    <t>Anong pagkain ito ?</t>
  </si>
  <si>
    <t xml:space="preserve">Cho tôi một đĩa cơm. </t>
  </si>
  <si>
    <t>Pahingi ng isang platong kanin .</t>
  </si>
  <si>
    <t>Nǐ xiǎng chī shénme?</t>
  </si>
  <si>
    <t xml:space="preserve">Tôi muốn ăn gà rán. </t>
  </si>
  <si>
    <t>Gusto ko ng fried chicken .</t>
  </si>
  <si>
    <t xml:space="preserve">Món này có cay không? </t>
  </si>
  <si>
    <t>Maanghang ba ito ?</t>
  </si>
  <si>
    <t>Gěi wǒ kàn kàn càidān.</t>
  </si>
  <si>
    <t xml:space="preserve">Không cay, làm ơn. </t>
  </si>
  <si>
    <t>Huwag maanghang , please .</t>
  </si>
  <si>
    <t xml:space="preserve">Ngon quá! </t>
  </si>
  <si>
    <t>Masarap !</t>
  </si>
  <si>
    <t>Zhè shì shénme cài?</t>
  </si>
  <si>
    <t xml:space="preserve">Ngon tuyệt vời! </t>
  </si>
  <si>
    <t>Napakasarap !</t>
  </si>
  <si>
    <t xml:space="preserve">Cho tôi xin ly nước. </t>
  </si>
  <si>
    <t>Pahingi ng tubig .</t>
  </si>
  <si>
    <t>Gěi wǒ yī pán mǐfàn.</t>
  </si>
  <si>
    <t xml:space="preserve">Nước lọc hay nước đá? </t>
  </si>
  <si>
    <t>Tubig o may yelo ?</t>
  </si>
  <si>
    <t xml:space="preserve">Cho thêm đá nhé. </t>
  </si>
  <si>
    <t>Dagdagan ng yelo .</t>
  </si>
  <si>
    <t>Wǒ yào zhá jī.</t>
  </si>
  <si>
    <t xml:space="preserve">Tôi bị dị ứng đậu phộng. </t>
  </si>
  <si>
    <t>Allergic ako sa mani .</t>
  </si>
  <si>
    <t xml:space="preserve">Tôi không ăn được thịt heo. </t>
  </si>
  <si>
    <t>Hindi ako kumakain ng karne ng baboy .</t>
  </si>
  <si>
    <t>Zhège là ma?</t>
  </si>
  <si>
    <t xml:space="preserve">Cái này bao nhiêu tiền? </t>
  </si>
  <si>
    <t>Magkano ito ?</t>
  </si>
  <si>
    <t xml:space="preserve">Tính tiền cho tôi. </t>
  </si>
  <si>
    <t>Bill / Magkano lahat ?</t>
  </si>
  <si>
    <t>Bù là, xièxiè.</t>
  </si>
  <si>
    <t xml:space="preserve">Cho tôi lấy mang về. </t>
  </si>
  <si>
    <t>Take-out .</t>
  </si>
  <si>
    <t xml:space="preserve">Ăn tại đây. </t>
  </si>
  <si>
    <t>Dito lang kakain .</t>
  </si>
  <si>
    <t>Hào chī!</t>
  </si>
  <si>
    <t xml:space="preserve">Chúc ngon miệng! </t>
  </si>
  <si>
    <t>Kainan na</t>
  </si>
  <si>
    <t xml:space="preserve">Tôi no rồi. </t>
  </si>
  <si>
    <t>Busog na ako .</t>
  </si>
  <si>
    <t xml:space="preserve">Tài hào chīle! </t>
  </si>
  <si>
    <t xml:space="preserve">Tôi muốn uống cà phê. </t>
  </si>
  <si>
    <t>Gusto ko ng kape .</t>
  </si>
  <si>
    <t>Wǒ kěyǐ yào yībēi shuǐ ma?</t>
  </si>
  <si>
    <t xml:space="preserve">Ít đường thôi nhé. </t>
  </si>
  <si>
    <t>Konti lang ng asukal .</t>
  </si>
  <si>
    <t>Shuǐ háishì bīng shuǐ?</t>
  </si>
  <si>
    <t xml:space="preserve">Cho tôi xin cái muỗng (thìa). </t>
  </si>
  <si>
    <t>Pahingi ng kutsara .</t>
  </si>
  <si>
    <t xml:space="preserve">Cho tôi xin cái nĩa. </t>
  </si>
  <si>
    <t>Pahingi ng tinidor .</t>
  </si>
  <si>
    <t>Qǐng jiādiǎn bīng.</t>
  </si>
  <si>
    <t xml:space="preserve">Ở đây không có đũa à? </t>
  </si>
  <si>
    <t>Wala bang chopsticks dito ?</t>
  </si>
  <si>
    <t xml:space="preserve">Nhà vệ sinh ở đâu? </t>
  </si>
  <si>
    <t>Nasaan ang banyo ?</t>
  </si>
  <si>
    <t>Wǒ duì huāshēng guòmǐn.</t>
  </si>
  <si>
    <t xml:space="preserve">Bữa sáng có gì? </t>
  </si>
  <si>
    <t>Anong almusal ?</t>
  </si>
  <si>
    <t xml:space="preserve">Bữa trưa ăn gì đây? </t>
  </si>
  <si>
    <t>Anong pananghalian ?</t>
  </si>
  <si>
    <t xml:space="preserve">Wǒ bùnéng chī zhūròu. </t>
  </si>
  <si>
    <t xml:space="preserve">Bữa tối thật tuyệt. </t>
  </si>
  <si>
    <t>Ang sarap ng hapunan .</t>
  </si>
  <si>
    <t xml:space="preserve">Zhège duōshǎo qián? </t>
  </si>
  <si>
    <t xml:space="preserve">Tôi thích trái cây. </t>
  </si>
  <si>
    <t>Gusto ko ng prutas .</t>
  </si>
  <si>
    <t>Qǐng bāng wǒ suàn yīxià.</t>
  </si>
  <si>
    <t xml:space="preserve">Xoài ở đây rất ngọt. </t>
  </si>
  <si>
    <t>Matamis ang mangga dito .</t>
  </si>
  <si>
    <t>Wǒ yào dǎbāo dài zǒu.</t>
  </si>
  <si>
    <t xml:space="preserve">Bạn có ăn được sầu riêng không? </t>
  </si>
  <si>
    <t>Kumakain ka ba ng durian ?</t>
  </si>
  <si>
    <t xml:space="preserve">Zài zhèlǐ chī ba. </t>
  </si>
  <si>
    <t xml:space="preserve">Bạn thử món này đi. </t>
  </si>
  <si>
    <t>Tikman mo ito .</t>
  </si>
  <si>
    <t>Zhù nín yòngcān yúkuài!</t>
  </si>
  <si>
    <t xml:space="preserve">Tôi muốn mua bánh mì. </t>
  </si>
  <si>
    <t>Gusto ko ng bumili ng tinapay .</t>
  </si>
  <si>
    <t>Wǒ chī bǎole.</t>
  </si>
  <si>
    <t xml:space="preserve">Cho tôi một ly nước ép xoài. </t>
  </si>
  <si>
    <t>Isang mango juice .</t>
  </si>
  <si>
    <t xml:space="preserve">Đồ ăn hơi mặn. </t>
  </si>
  <si>
    <t>Medyo maalat ang pagkain .</t>
  </si>
  <si>
    <t>Wǒ yào kāfēi.</t>
  </si>
  <si>
    <t xml:space="preserve">Đồ ăn hơi ngọt. </t>
  </si>
  <si>
    <t>Medyo matamis ang pagkain .</t>
  </si>
  <si>
    <t xml:space="preserve"> Shǎo táng, xièxiè. </t>
  </si>
  <si>
    <t xml:space="preserve">Bạn nấu ăn rất ngon. </t>
  </si>
  <si>
    <t>Ang sarap mo ng magluto .</t>
  </si>
  <si>
    <t xml:space="preserve">Ai đã nấu món này? </t>
  </si>
  <si>
    <t>Sino ng nagluto nito ?</t>
  </si>
  <si>
    <t xml:space="preserve">Mời mọi người cùng ăn. </t>
  </si>
  <si>
    <t>Kain tayo lahat .</t>
  </si>
  <si>
    <t>Wǒ kěyǐ yào sháozǐ ma?</t>
  </si>
  <si>
    <t xml:space="preserve">Tôi muốn uống bia lạnh. </t>
  </si>
  <si>
    <t>Gusto ko ng malamig na beer .</t>
  </si>
  <si>
    <t>Wǒ kěyǐ yào chāzǐ ma?</t>
  </si>
  <si>
    <t xml:space="preserve">Cho tôi xin khăn giấy. </t>
  </si>
  <si>
    <t>Pahingi ng tissue .</t>
  </si>
  <si>
    <t xml:space="preserve"> Zhèlǐ méiyǒu kuàizǐ ma?</t>
  </si>
  <si>
    <t xml:space="preserve">có thể rửa tay ở đâu? </t>
  </si>
  <si>
    <t>Saan pwedeng maghugas ng kamay ?</t>
  </si>
  <si>
    <t xml:space="preserve"> Xǐshǒujiān zài nǎlǐ?</t>
  </si>
  <si>
    <t xml:space="preserve">Quán này đông khách quá. </t>
  </si>
  <si>
    <t>Maraming tao dito .</t>
  </si>
  <si>
    <t xml:space="preserve"> Zǎocān chī shénme?</t>
  </si>
  <si>
    <t xml:space="preserve">Đồ ăn ra hơi chậm. </t>
  </si>
  <si>
    <t>Medyo matagal ang pagkain .</t>
  </si>
  <si>
    <t xml:space="preserve"> Wǔcān chī shénme? </t>
  </si>
  <si>
    <t xml:space="preserve">Cảm ơn vì bữa ăn. </t>
  </si>
  <si>
    <t>Salamat sa pagkain .</t>
  </si>
  <si>
    <t>Wǎncān hěn bàng.</t>
  </si>
  <si>
    <t xml:space="preserve">Lần sau chúng ta lại đến nhé. </t>
  </si>
  <si>
    <t>Balik tayo ulit .</t>
  </si>
  <si>
    <t xml:space="preserve"> Wǒ xǐhuān shuǐguǒ.</t>
  </si>
  <si>
    <t>Zhèlǐ de mángguǒ hěn tián.</t>
  </si>
  <si>
    <t>Nǐ huì chī liúlián ma?</t>
  </si>
  <si>
    <t>Shì shì zhège.</t>
  </si>
  <si>
    <t xml:space="preserve">Wǒ xiǎng mǎi miànbāo. </t>
  </si>
  <si>
    <t>Gěi wǒ yībēi mángguǒ zhī.</t>
  </si>
  <si>
    <t>Zhè dào cài yǒudiǎn xián.</t>
  </si>
  <si>
    <t>Zhè dào cài yǒudiǎn tián.</t>
  </si>
  <si>
    <t>Nǐ chú yì zhēn hǎo.</t>
  </si>
  <si>
    <t xml:space="preserve">Zhè shì shéi zuò de? </t>
  </si>
  <si>
    <t>Wǒmen yīqǐ chī ba.</t>
  </si>
  <si>
    <t>Wǒ xiǎng hē bīng píjiǔ.</t>
  </si>
  <si>
    <t>Néng gěi wǒ zhāng zhǐjīn ma?</t>
  </si>
  <si>
    <t>Qǐngwèn nǎlǐ kěyǐ xǐshǒu?</t>
  </si>
  <si>
    <t>Zhèlǐ tài yǒngjǐle.</t>
  </si>
  <si>
    <t>Shàng cài yǒudiǎn màn.</t>
  </si>
  <si>
    <t>Xièxiè nǐmen de kuǎndài.</t>
  </si>
  <si>
    <t>Xià cì zàilái.</t>
  </si>
  <si>
    <t>Chủ đề 3: Đi lại và Di chuyển (50 câu)</t>
  </si>
  <si>
    <t>Đi thẳng nhé bác tài.</t>
  </si>
  <si>
    <t>Diretso lang .</t>
  </si>
  <si>
    <t>Sījī, zhíxíng.</t>
  </si>
  <si>
    <t>Rẽ trái ạ.</t>
  </si>
  <si>
    <t>Kaliwa .</t>
  </si>
  <si>
    <t>Rẽ phải ạ.</t>
  </si>
  <si>
    <t>Kanan .</t>
  </si>
  <si>
    <t>Zuǒ zhuǎn.</t>
  </si>
  <si>
    <t>Đi chậm thôi ạ.</t>
  </si>
  <si>
    <t>Dahan-dahan lang .</t>
  </si>
  <si>
    <t>Bác tài ơi, nhanh lên chút.</t>
  </si>
  <si>
    <t>Kuya , paki-bilisan .</t>
  </si>
  <si>
    <t>Yòu zhuǎn.</t>
  </si>
  <si>
    <t>Đường này có tắc (kẹt xe) không?</t>
  </si>
  <si>
    <t>Traffic ba rito ?</t>
  </si>
  <si>
    <t>Đi bộ mất bao lâu?</t>
  </si>
  <si>
    <t>Gaano katagal lakarin ?</t>
  </si>
  <si>
    <t>Màn diǎn kāi.</t>
  </si>
  <si>
    <t>Có xa không ạ?</t>
  </si>
  <si>
    <t>Malayo ba ?</t>
  </si>
  <si>
    <t>Gần đây thôi ạ.</t>
  </si>
  <si>
    <t>Malapit lang .</t>
  </si>
  <si>
    <t>Sījī, qǐng shāowéi jiāsù.</t>
  </si>
  <si>
    <t>Cháu bị lạc đường rồi.</t>
  </si>
  <si>
    <t>Nawawala ako .</t>
  </si>
  <si>
    <t>Bạn chỉ đường cho tôi được không?</t>
  </si>
  <si>
    <t>Pwede mo ba akong ituro ?</t>
  </si>
  <si>
    <t>Zhè tiáo lù dǔchē ma?</t>
  </si>
  <si>
    <t>Nhà ga ở đâu?</t>
  </si>
  <si>
    <t>Nasaan ang istasyon ?</t>
  </si>
  <si>
    <t>Tôi đặt Grab.</t>
  </si>
  <si>
    <t>Magbu-book ako ng Grab .</t>
  </si>
  <si>
    <t>Bùxíng xūyào duōjiǔ?</t>
  </si>
  <si>
    <t>Tài xế đang ở đâu?</t>
  </si>
  <si>
    <t>Nasaan na ang driver ?</t>
  </si>
  <si>
    <t>Biển số xe là gì?</t>
  </si>
  <si>
    <t>Ano ng plate number ?</t>
  </si>
  <si>
    <t>Yuǎn ma?</t>
  </si>
  <si>
    <t>Đợi tôi 5 phút nhé.</t>
  </si>
  <si>
    <t>Wait lang ng 5 minutes .</t>
  </si>
  <si>
    <t>Cảm ơn bác tài!</t>
  </si>
  <si>
    <t>Salamat , Kuya !</t>
  </si>
  <si>
    <t>Jiù zài fùjìn.</t>
  </si>
  <si>
    <t>Chúc bác lái xe an toàn.</t>
  </si>
  <si>
    <t>Ingat sa pagmamaneho .</t>
  </si>
  <si>
    <t>Xe ba bánh giá bao nhiêu?</t>
  </si>
  <si>
    <t>Magkano sa tricycle ?</t>
  </si>
  <si>
    <t>Wǒ mílùle.</t>
  </si>
  <si>
    <t>50 Peso được không ạ?</t>
  </si>
  <si>
    <t>Pwede ba ng 50 pesos ?</t>
  </si>
  <si>
    <t>Đắt quá bác ơi!</t>
  </si>
  <si>
    <t>Ang mahal naman !</t>
  </si>
  <si>
    <t>Nǐ néng gěi wǒ zhǐ lù ma?</t>
  </si>
  <si>
    <t>Cháu là học sinh, bớt cho cháu nhé.</t>
  </si>
  <si>
    <t>Estudyante ako , paki-discount .</t>
  </si>
  <si>
    <t>Chuyến xe cuối cùng là mấy giờ?</t>
  </si>
  <si>
    <t>Anong oras ang huling biyahe ?</t>
  </si>
  <si>
    <t>Huǒchē zhàn zài nǎlǐ?</t>
  </si>
  <si>
    <t>Tôi sẽ đi sân bay.</t>
  </si>
  <si>
    <t>Pupunta ako sa airport .</t>
  </si>
  <si>
    <t>Chỗ này là chỗ nào thế?</t>
  </si>
  <si>
    <t>Anong lugar ito ?</t>
  </si>
  <si>
    <t>Wǒ jiàole yī liàng Grab.</t>
  </si>
  <si>
    <t>Tôi xuống nhầm chỗ rồi.</t>
  </si>
  <si>
    <t>Maling baba ako .</t>
  </si>
  <si>
    <t>Quay xe lại được không?</t>
  </si>
  <si>
    <t>Pwedeng bumalik ?</t>
  </si>
  <si>
    <t>Sījī zài nǎlǐ?</t>
  </si>
  <si>
    <t>Cẩn thận nhé!</t>
  </si>
  <si>
    <t>Mag-ingat !</t>
  </si>
  <si>
    <t>Xe buýt này đi Manila phải không?</t>
  </si>
  <si>
    <t>Bus papuntang Manila ba ito ?</t>
  </si>
  <si>
    <t>Chēpái hào shì duōshǎo?</t>
  </si>
  <si>
    <t>Cho cháu ngồi cạnh cửa sổ.</t>
  </si>
  <si>
    <t>Gusto ko sa tabi ng bintana .</t>
  </si>
  <si>
    <t>Trong xe nóng quá.</t>
  </si>
  <si>
    <t>Mainit sa loob .</t>
  </si>
  <si>
    <t>Qǐng shāo děng 5 fēnzhōng.</t>
  </si>
  <si>
    <t>Bật điều hòa lên được không?</t>
  </si>
  <si>
    <t>Pwedeng paki-bukas ang aircon ?</t>
  </si>
  <si>
    <t>Cong đường  đang sửa ạ?</t>
  </si>
  <si>
    <t>Ginagawa ba ang daan ?</t>
  </si>
  <si>
    <t>Xièxiè nín, sījī!</t>
  </si>
  <si>
    <t>Hôm nay trời mưa, đi lại khó quá.</t>
  </si>
  <si>
    <t>Umuulan , mahirap bumiyahe .</t>
  </si>
  <si>
    <t>Cháu về đến nhà rồi.</t>
  </si>
  <si>
    <t>Nandito na ako sa bahay .</t>
  </si>
  <si>
    <t>Yīlù píng'ān.</t>
  </si>
  <si>
    <t>Tôi muốn đi trung tâm thương mại.</t>
  </si>
  <si>
    <t>Gusto ko ng pumunta sa mall .</t>
  </si>
  <si>
    <t>Bến xe ở đâu ạ?</t>
  </si>
  <si>
    <t>Nasaan ang sakayan ?</t>
  </si>
  <si>
    <t>Sānlúnchē duōshǎo qián?</t>
  </si>
  <si>
    <t>Xe này đi đâu thế ạ?</t>
  </si>
  <si>
    <t>Saan pupunta ito ?</t>
  </si>
  <si>
    <t>Xe này có đi QUA SM không?</t>
  </si>
  <si>
    <t>Dadaan ba ito sa SM ?</t>
  </si>
  <si>
    <t>50 Bǐsuǒ kěyǐ ma?</t>
  </si>
  <si>
    <t>Cho cháu lên xe với.</t>
  </si>
  <si>
    <t>Pasakay .</t>
  </si>
  <si>
    <t>Còn chỗ ngồi không ạ?</t>
  </si>
  <si>
    <t>May upuan pa ba ?</t>
  </si>
  <si>
    <t>Tài guìle!</t>
  </si>
  <si>
    <t>Chỗ này có ai ngồi chưa?</t>
  </si>
  <si>
    <t>May nakaupo na ba rito ?</t>
  </si>
  <si>
    <t>Giá vé bao nhiêu ạ?</t>
  </si>
  <si>
    <t>Magkano ang pamasahe ?</t>
  </si>
  <si>
    <t>Wǒ shì xuéshēng, kěyǐ gěi wǒ dǎzhé ma?</t>
  </si>
  <si>
    <t xml:space="preserve"> gửi tiền xe ạ.</t>
  </si>
  <si>
    <t>Bayad .</t>
  </si>
  <si>
    <t>Cho cháu gửi tiền cho 2 người.</t>
  </si>
  <si>
    <t>Bayad para sa dalawa .</t>
  </si>
  <si>
    <t>Mòbānchē jǐ diǎn?</t>
  </si>
  <si>
    <t>Đây là tiền của cháu.</t>
  </si>
  <si>
    <t>Ito ang pera ko .</t>
  </si>
  <si>
    <t>Cho cháu xin tiền thừa (tiền thối).</t>
  </si>
  <si>
    <t>Sukli ko .</t>
  </si>
  <si>
    <t>Wǒ yào qù jīchǎng.</t>
  </si>
  <si>
    <t>Cháu xuống ở đây ạ. (Câu này cực quan trọng để xe dừng lại).</t>
  </si>
  <si>
    <t>Para !</t>
  </si>
  <si>
    <t>Cho cháu xuống ở cổng.</t>
  </si>
  <si>
    <t>Sa kanto lang .</t>
  </si>
  <si>
    <t>Zhè shì nǎlǐ?</t>
  </si>
  <si>
    <t>Dừng lại ở đây nhé.</t>
  </si>
  <si>
    <t>Dito na lang .</t>
  </si>
  <si>
    <t>Wǒ xià cuòchēle.</t>
  </si>
  <si>
    <t>Wǒmen kěyǐ diàotóu ma?</t>
  </si>
  <si>
    <t>Xiǎoxīn!</t>
  </si>
  <si>
    <t>Zhè liàng gōngjiāo chē kāi wǎng mǎnílā ma?</t>
  </si>
  <si>
    <t>Qǐng ràng wǒ zuò zài kào chuāng de wèizhì.</t>
  </si>
  <si>
    <t>Chē lǐ tài rèle.</t>
  </si>
  <si>
    <t>Kěyǐ dǎkāi kòngtiáo ma?</t>
  </si>
  <si>
    <t>Zhè tiáo lù zài xiū lù ma?</t>
  </si>
  <si>
    <t>Jīntiān xià yǔle, chūxíng zhēn bù fāngbiàn.</t>
  </si>
  <si>
    <t>Wǒ xiànzài dàojiāle.</t>
  </si>
  <si>
    <t>Wǒ xiǎng qù gòuwù zhòng xīn.</t>
  </si>
  <si>
    <t>Gōngjiāo chē zhàn zài nǎlǐ?</t>
  </si>
  <si>
    <t>Zhè liàng gōngjiāo chē kāi wǎng nǎlǐ?</t>
  </si>
  <si>
    <t>Zhè liàng gōngjiāo chē jīngguò SM gòuwù zhòng xīn ma?</t>
  </si>
  <si>
    <t>Wǒ kěyǐ shàng chē ma?</t>
  </si>
  <si>
    <t>Hái yǒu kòngwèi ma?</t>
  </si>
  <si>
    <t>Zhège zuòwèi yǒurén ma?</t>
  </si>
  <si>
    <t>Chē fèi duōshǎo qián?</t>
  </si>
  <si>
    <t>Qǐng gěi wǒ chē fèi.</t>
  </si>
  <si>
    <t>Wǒ gěi nǐ liǎng gèrén de qián.</t>
  </si>
  <si>
    <t>Zhè shì wǒ de qián.</t>
  </si>
  <si>
    <t>Qǐng zhǎo líng.</t>
  </si>
  <si>
    <t>Wǒ zài zhèlǐ xià chē.(Gōngjiāo chē bìxū zài zhèlǐ tíngchē.)</t>
  </si>
  <si>
    <t>Qǐng ràng wǒ zài ménkǒu xià chē.</t>
  </si>
  <si>
    <t>Qǐng zài zhèlǐ tíngchē.</t>
  </si>
  <si>
    <t>Chủ đề 4: Mua sắm (50 câu)</t>
  </si>
  <si>
    <t>Cái này bao nhiêu tiền?</t>
  </si>
  <si>
    <t>Zhège duōshǎo qián?</t>
  </si>
  <si>
    <t>Cái kia giá bao nhiêu?</t>
  </si>
  <si>
    <t>Magkano iyan ?</t>
  </si>
  <si>
    <t>Tôi muốn mua cái này.</t>
  </si>
  <si>
    <t>Gusto ko bilhin ito .</t>
  </si>
  <si>
    <t>Nàgè duōshǎo qián?</t>
  </si>
  <si>
    <t>Cho xem cái đó với.</t>
  </si>
  <si>
    <t>Patingin nung isa .</t>
  </si>
  <si>
    <t>Có cái nào mới không?</t>
  </si>
  <si>
    <t>May bago ba ?</t>
  </si>
  <si>
    <t>Wǒ xiǎng mǎi zhège.</t>
  </si>
  <si>
    <t>Cái này đẹp quá!</t>
  </si>
  <si>
    <t>Ang ganda nito !</t>
  </si>
  <si>
    <t>Tôi thích màu đỏ.</t>
  </si>
  <si>
    <t>Gusto ko ng pula .</t>
  </si>
  <si>
    <t>Gěi wǒ kàn kàn zhège.</t>
  </si>
  <si>
    <t>Có màu xanh không ạ?</t>
  </si>
  <si>
    <t>May kulay blue ba ?</t>
  </si>
  <si>
    <t>Có cỡ (size) nhỏ hơn không?</t>
  </si>
  <si>
    <t>May mas maliit ba ?</t>
  </si>
  <si>
    <t>Yǒu xīnkuǎn ma?</t>
  </si>
  <si>
    <t>Có cỡ lớn hơn không?</t>
  </si>
  <si>
    <t>May mas malaki ba ?</t>
  </si>
  <si>
    <t xml:space="preserve"> mặc thử được không?</t>
  </si>
  <si>
    <t>Pwedeng isukat ?</t>
  </si>
  <si>
    <t>Zhège zhēn piàoliang!</t>
  </si>
  <si>
    <t>Phòng thay đồ ở đâu?</t>
  </si>
  <si>
    <t>Nasaan ang fitting room ?</t>
  </si>
  <si>
    <t>Rất vừa vặn!</t>
  </si>
  <si>
    <t>Kasya !</t>
  </si>
  <si>
    <t>Wǒ xǐhuān hóngsè dì nà jiàn.</t>
  </si>
  <si>
    <t>Hơi rộng một chút.</t>
  </si>
  <si>
    <t>Medyo maluwag .</t>
  </si>
  <si>
    <t>Hơi chật một chút.</t>
  </si>
  <si>
    <t>Medyo masikip .</t>
  </si>
  <si>
    <t>Yǒu lán sè de ma?</t>
  </si>
  <si>
    <t>Có giảm giá không ạ?</t>
  </si>
  <si>
    <t>May discount ba ?</t>
  </si>
  <si>
    <t>Bớt  đi.</t>
  </si>
  <si>
    <t>Tawad naman .</t>
  </si>
  <si>
    <t>Yǒu xiǎo hào de ma?</t>
  </si>
  <si>
    <t>100 Peso nhé?</t>
  </si>
  <si>
    <t>100 pesos na lang ?</t>
  </si>
  <si>
    <t>Cháu chỉ có ngần này tiền thôi.</t>
  </si>
  <si>
    <t>Ito lang ang pera ko .</t>
  </si>
  <si>
    <t>Yǒu dà hào de ma?</t>
  </si>
  <si>
    <t>Cháu lấy cái này.</t>
  </si>
  <si>
    <t>Kunin ko ito .</t>
  </si>
  <si>
    <t xml:space="preserve"> không lấy cái này đâu.</t>
  </si>
  <si>
    <t>Huwag na lang ito .</t>
  </si>
  <si>
    <t>Wǒ kěyǐ shì chuān ma?</t>
  </si>
  <si>
    <t>Để cháu suy nghĩ trước đã.</t>
  </si>
  <si>
    <t>Pag-isipan ko muna .</t>
  </si>
  <si>
    <t>Tôi sẽ quay lại sau.</t>
  </si>
  <si>
    <t>Babalik na lang ako .</t>
  </si>
  <si>
    <t>Shì yī jiān zài nǎlǐ?</t>
  </si>
  <si>
    <t>Quầy thanh toán ở đâu?</t>
  </si>
  <si>
    <t>Nasaan ang cashier ?</t>
  </si>
  <si>
    <t>Trả bằng tiền mặt được không?</t>
  </si>
  <si>
    <t>Pwede ba cash ?</t>
  </si>
  <si>
    <t>Hěn héshēn!</t>
  </si>
  <si>
    <t>Có nhận thẻ không ạ?</t>
  </si>
  <si>
    <t>Tumatanggap ba ng card ?</t>
  </si>
  <si>
    <t>Cháu quét mã GCash nhé?</t>
  </si>
  <si>
    <t>Pwede ba ng GCash ?</t>
  </si>
  <si>
    <t>Yǒudiǎn dà.</t>
  </si>
  <si>
    <t>Đây là tiền thanh toán của cháu.</t>
  </si>
  <si>
    <t>Ito ang bayad ko .</t>
  </si>
  <si>
    <t>tiền đây  ạ.</t>
  </si>
  <si>
    <t>Ito ang pera .</t>
  </si>
  <si>
    <t>Yǒudiǎn jǐn.</t>
  </si>
  <si>
    <t>Cho xin hóa đơn.</t>
  </si>
  <si>
    <t>Pahingi ng resibo .</t>
  </si>
  <si>
    <t>Cho cháu xin cái túi nhựa (nilon).</t>
  </si>
  <si>
    <t>Pahingi ng plastic bag .</t>
  </si>
  <si>
    <t>Yǒu zhékòu ma?</t>
  </si>
  <si>
    <t>Cháu tự mang túi theo rồi.</t>
  </si>
  <si>
    <t>May bag na ako .</t>
  </si>
  <si>
    <t>Jiǎnshǎo tā.</t>
  </si>
  <si>
    <t>Cái này bị hỏng rồi.</t>
  </si>
  <si>
    <t>Sira ito .</t>
  </si>
  <si>
    <t>100 Bǐsuǒ zěnme yàng?</t>
  </si>
  <si>
    <t>Cháu muốn đổi cái khác.</t>
  </si>
  <si>
    <t>Gusto ko palitan .</t>
  </si>
  <si>
    <t>Có bảo hành không ạ?</t>
  </si>
  <si>
    <t>May warranty ba ?</t>
  </si>
  <si>
    <t>Wǒ zhǐyǒu zhème duō qián.</t>
  </si>
  <si>
    <t>Ở đây có bán sữa không?</t>
  </si>
  <si>
    <t>May tinitinda ba ng gatas dito ?</t>
  </si>
  <si>
    <t>Chỗ bán kẹo ở đâu ạ?</t>
  </si>
  <si>
    <t>Saan ang mga kendi ?</t>
  </si>
  <si>
    <t>Wǒ yào zhège.</t>
  </si>
  <si>
    <t>Cho cháu 2 quả trứng.</t>
  </si>
  <si>
    <t>Dalawang itlog .</t>
  </si>
  <si>
    <t>Một cân xoài bao nhiêu?</t>
  </si>
  <si>
    <t>Magkano ang isang kilong mangga ?</t>
  </si>
  <si>
    <t>Zhège wǒ bùyàole.</t>
  </si>
  <si>
    <t>Cho cháu loại ngon nhất nhé.</t>
  </si>
  <si>
    <t>Yung pinakamasarap .</t>
  </si>
  <si>
    <t>Đồ này sản xuất ở đâu?</t>
  </si>
  <si>
    <t>Saan gawa ito ?</t>
  </si>
  <si>
    <t>Wǒ xiān kǎolǜ yīxià.</t>
  </si>
  <si>
    <t>Có quà tặng kèm không?</t>
  </si>
  <si>
    <t>May kasama ba ng freebie ?</t>
  </si>
  <si>
    <t>Cửa hàng mấy giờ đóng cửa?</t>
  </si>
  <si>
    <t>Anong oras nagsasara ?</t>
  </si>
  <si>
    <t>Wǒ wǎndiǎn zàilái.</t>
  </si>
  <si>
    <t>Mấy giờ mở cửa ạ?</t>
  </si>
  <si>
    <t>Anong oras nagbubukas ?</t>
  </si>
  <si>
    <t>Cháu đang tìm mua đồ chơi.</t>
  </si>
  <si>
    <t>Naghahanap ako ng laruan .</t>
  </si>
  <si>
    <t>Shōuyín tái zài nǎlǐ?</t>
  </si>
  <si>
    <t>Cái này đắt quá, cháu không đủ tiền.</t>
  </si>
  <si>
    <t>Ang mahal , hindi kasya ang pera ko .</t>
  </si>
  <si>
    <t>Có cái nào rẻ hơn không?</t>
  </si>
  <si>
    <t>May mas mura ba ?</t>
  </si>
  <si>
    <t>Wǒ kěyǐ fù xiànjīn ma?</t>
  </si>
  <si>
    <t>Cảm ơn bác đã bớt giá!</t>
  </si>
  <si>
    <t>Salamat sa discount !</t>
  </si>
  <si>
    <t>Chúc bác bán đắt hàng nhé.</t>
  </si>
  <si>
    <t>Sana marami kayong benta .</t>
  </si>
  <si>
    <t>Nǐmen jiēshòu shuākǎ ma?</t>
  </si>
  <si>
    <t>Hẹn gặp lại bác. ( tôi quay lại )</t>
  </si>
  <si>
    <t>Balik ako ulit .</t>
  </si>
  <si>
    <t>Wǒ kěyǐ sǎomiáo wǒ de GCash mǎ ma?</t>
  </si>
  <si>
    <t>Zhè shì wǒ de fùkuǎn.</t>
  </si>
  <si>
    <t>Zhè shì qián.</t>
  </si>
  <si>
    <t>Qǐng gěi wǒ shōujù.</t>
  </si>
  <si>
    <t>Néng gěi wǒ yīgè sùliào dài ma?</t>
  </si>
  <si>
    <t>Wǒ zìjǐ dàile dàizǐ.</t>
  </si>
  <si>
    <t>Zhège dàizǐ huàile.</t>
  </si>
  <si>
    <t>Wǒ xiǎng huàn yīgè.</t>
  </si>
  <si>
    <t>Yǒu bǎoxiū ma?</t>
  </si>
  <si>
    <t>Zhèlǐ mài niúnǎi ma?</t>
  </si>
  <si>
    <t>Tángguǒ diàn zài nǎlǐ?</t>
  </si>
  <si>
    <t>Wǒ xiǎng yào liǎng gè jīdàn.</t>
  </si>
  <si>
    <t>Yī gōngjīn mángguǒ duōshǎo qián?</t>
  </si>
  <si>
    <t>Qǐng gěi wǒ zuì hǎo de pǐnzhǒng.</t>
  </si>
  <si>
    <t>Zhè shì nǎlǐ shēngchǎn de?</t>
  </si>
  <si>
    <t>Yǒu zèngpǐn ma?</t>
  </si>
  <si>
    <t>Shāngdiàn jǐ diǎn guānmén?</t>
  </si>
  <si>
    <t>Shāngdiàn jǐ diǎn kāimén?</t>
  </si>
  <si>
    <t>Wǒ xiǎng mǎi gè wánjù.</t>
  </si>
  <si>
    <t>Zhège tài guìle, wǒ mǎi bù qǐ.</t>
  </si>
  <si>
    <t>Yǒu gèng piányí de ma?</t>
  </si>
  <si>
    <t>Xièxiè nǐ de zhékòu!</t>
  </si>
  <si>
    <t>Zhù nǐ shēngyì xīnglóng!</t>
  </si>
  <si>
    <t>Xià cì jiàn!</t>
  </si>
  <si>
    <t>Chủ đề 5: Công việc và Văn phòng (50 câu)</t>
  </si>
  <si>
    <t>Chào buổi sáng mọi người.</t>
  </si>
  <si>
    <t>Magandang umaga sa inyong lahat .</t>
  </si>
  <si>
    <t>Dàjiā zǎoshang hǎo.</t>
  </si>
  <si>
    <t>Sếp có ở đây không ạ?</t>
  </si>
  <si>
    <t>Nandito ba si Boss ?</t>
  </si>
  <si>
    <t>Hôm nay tôi phải làm gì?</t>
  </si>
  <si>
    <t>Ano ang gagawin ko ngayon ?</t>
  </si>
  <si>
    <t>Lǎobǎn zài ma?</t>
  </si>
  <si>
    <t>Đây là việc của bạn.</t>
  </si>
  <si>
    <t>Ito ang trabaho ninyo .</t>
  </si>
  <si>
    <t>Cho tôi mượn cái bút.</t>
  </si>
  <si>
    <t>Pahiram ng panulat</t>
  </si>
  <si>
    <t>Wǒ jīntiān xūyào zuò shénme?</t>
  </si>
  <si>
    <t>Máy in ở đâu ạ?</t>
  </si>
  <si>
    <t>Nasaan ang printer ?</t>
  </si>
  <si>
    <t>Tôi cần photo giấy tờ này.</t>
  </si>
  <si>
    <t>Kailangan ko i-photocopy ito .</t>
  </si>
  <si>
    <t>Zhè shì nǐ de gōngzuò.</t>
  </si>
  <si>
    <t>Mấy giờ chúng ta họp?</t>
  </si>
  <si>
    <t>Anong oras ang meeting natin ?</t>
  </si>
  <si>
    <t>Họp ở phòng nào thế?</t>
  </si>
  <si>
    <t>Saang silid ang meeting ?</t>
  </si>
  <si>
    <t>Wǒ kěyǐ jièzhī bǐ ma?</t>
  </si>
  <si>
    <t>Bạn có thể giúp tôi không?</t>
  </si>
  <si>
    <t>Pwede niyo ba akong tulungan ?</t>
  </si>
  <si>
    <t>Việc này khó quá.</t>
  </si>
  <si>
    <t>Ang hirap ng trabahong ito .</t>
  </si>
  <si>
    <t>Dǎyìnjī zài nǎlǐ?</t>
  </si>
  <si>
    <t>Để tôi thử làm xem.</t>
  </si>
  <si>
    <t>Susubukan ko gawin .</t>
  </si>
  <si>
    <t>Tôi đã làm xong rồi.</t>
  </si>
  <si>
    <t>Tapos na ako .</t>
  </si>
  <si>
    <t>Wǒ xūyào fùyìn zhè fèn wénjiàn.</t>
  </si>
  <si>
    <t>Bạn làm tốt lắm!</t>
  </si>
  <si>
    <t>Ang galing niyo !</t>
  </si>
  <si>
    <t>Khi nào thì đến hạn ?</t>
  </si>
  <si>
    <t>Kailan ang deadline ?</t>
  </si>
  <si>
    <t>Wǒmen de huìyì jǐ diǎn kāishǐ?</t>
  </si>
  <si>
    <t>Ngày mai phải nộp rồi.</t>
  </si>
  <si>
    <t>Kailangang ipasa bukas .</t>
  </si>
  <si>
    <t>Cho tôi xin thêm thời gian.</t>
  </si>
  <si>
    <t>Hingi sana ako ng dagdag na oras .</t>
  </si>
  <si>
    <t>Huìyì zài nǎge fángjiān?</t>
  </si>
  <si>
    <t>Tôi bị muộn một chút.</t>
  </si>
  <si>
    <t>Male-late ako nang konti .</t>
  </si>
  <si>
    <t>Đường tắc quá nên tôi đến trễ.</t>
  </si>
  <si>
    <t>Traffic kaya ako nahuli .</t>
  </si>
  <si>
    <t>Nǐ néng bāng bāng wǒ ma?</t>
  </si>
  <si>
    <t>Mấy giờ được nghỉ trưa?</t>
  </si>
  <si>
    <t>Anong oras ang lunch break ?</t>
  </si>
  <si>
    <t>Chúng ta ăn trưa thôi!</t>
  </si>
  <si>
    <t>Kain na tayo ng tanghalian !</t>
  </si>
  <si>
    <t>Zhè tài nánle.</t>
  </si>
  <si>
    <t>Hôm nay bạn mang cơm theo à?</t>
  </si>
  <si>
    <t>May baon ka ba ngayon ?</t>
  </si>
  <si>
    <t>Tôi quên mang thẻ nhân viên.</t>
  </si>
  <si>
    <t>Nakalimutan ko ang ID ko .</t>
  </si>
  <si>
    <t>Ràng wǒ shì shì.</t>
  </si>
  <si>
    <t>Bạn gửi mail cho tôi nhé.</t>
  </si>
  <si>
    <t>Paki-email sa akin .</t>
  </si>
  <si>
    <t>Số điện thoại của bạn là gì?</t>
  </si>
  <si>
    <t>Ano phone number ninyo ?</t>
  </si>
  <si>
    <t>Wǒ yǐjīng zuò wánliǎo.</t>
  </si>
  <si>
    <t>Tôi đang bận một chút.</t>
  </si>
  <si>
    <t>Busy ako nang konti .</t>
  </si>
  <si>
    <t>Đợi tôi xong việc này đã.</t>
  </si>
  <si>
    <t>Wait lang , tapusin ko lang ito .</t>
  </si>
  <si>
    <t>Nǐ zuò dé zhēn bàng!</t>
  </si>
  <si>
    <t>Máy tính của tôi bị hỏng.</t>
  </si>
  <si>
    <t>Sira ang computer ko .</t>
  </si>
  <si>
    <t>Mạng internet chậm quá.</t>
  </si>
  <si>
    <t>Ang bagal ng internet .</t>
  </si>
  <si>
    <t>Jiézhǐ rìqí shì shénme shíhòu?</t>
  </si>
  <si>
    <t>Cho tôi xin mật khẩu Wifi ( mật khẩu wifi là gì ?)</t>
  </si>
  <si>
    <t>Ano ang password ng Wifi ?</t>
  </si>
  <si>
    <t>Bạn có mệt không?</t>
  </si>
  <si>
    <t>Pagod ka ba ?</t>
  </si>
  <si>
    <t>Míngtiān jiézhǐ.</t>
  </si>
  <si>
    <t>Chúng ta nghỉ một chút trước đi.</t>
  </si>
  <si>
    <t>Pahinga muna tayo .</t>
  </si>
  <si>
    <t>Tôi muốn uống nước.</t>
  </si>
  <si>
    <t>Gusto ko uminom ng tubig .</t>
  </si>
  <si>
    <t>Wǒ kěyǐ zài duō yīdiǎn shíjiān ma?</t>
  </si>
  <si>
    <t>Có ai muốn uống cà phê không?</t>
  </si>
  <si>
    <t>Sino gusto ng kape ?</t>
  </si>
  <si>
    <t>Hôm nay là thứ Sáu rồi!</t>
  </si>
  <si>
    <t>Biyernes na ngayon !</t>
  </si>
  <si>
    <t>Wǒ yǒudiǎn chídàole.</t>
  </si>
  <si>
    <t>Cuối tuần bạn có đi làm không?</t>
  </si>
  <si>
    <t>May pasok ka ba sa weekend ?</t>
  </si>
  <si>
    <t>Tôi muốn xin nghỉ phép.</t>
  </si>
  <si>
    <t>Gusto ko mag-leave .</t>
  </si>
  <si>
    <t>Jiāotōng tài zāogāole, suǒyǐ wǒ chídàole.</t>
  </si>
  <si>
    <t>Tôi có việc gia đình.</t>
  </si>
  <si>
    <t>May kailangan asikasuhin sa pamilya .</t>
  </si>
  <si>
    <t>Ký vào đây nhé.</t>
  </si>
  <si>
    <t>Paki-pirmahan dito .</t>
  </si>
  <si>
    <t>Wǔxiū shíjiān shì shénme shíhòu?</t>
  </si>
  <si>
    <t>Tài liệu này rất quan trọng.</t>
  </si>
  <si>
    <t>Mahalaga ang dokumentong ito .</t>
  </si>
  <si>
    <t>Bạn đừng làm mất nó nhé.</t>
  </si>
  <si>
    <t>Huwag niyo iwawala ito .</t>
  </si>
  <si>
    <t>Wǒmen yīqǐ chī wǔfàn ba!</t>
  </si>
  <si>
    <t>Bạn làm ở đây lâu chưa?</t>
  </si>
  <si>
    <t>Matagal ka na ba rito ?</t>
  </si>
  <si>
    <t>Tôi mới làm được 1 tháng.</t>
  </si>
  <si>
    <t>Isang buwan pa lang ako rito .</t>
  </si>
  <si>
    <t>Nǐ jīntiān dài wǔfànle ma?</t>
  </si>
  <si>
    <t>Công ty chúng mình rất tốt.</t>
  </si>
  <si>
    <t>Mabuti ang kumpanya natin .</t>
  </si>
  <si>
    <t>Chúc bạn một ngày làm việc vui vẻ.</t>
  </si>
  <si>
    <t>Magkaroon kayo ng masayang araw sa trabaho .</t>
  </si>
  <si>
    <t>Wǒ wàngle dài yuángōng zhèng.</t>
  </si>
  <si>
    <t>Tối nay chúng ta có đi chơi không?</t>
  </si>
  <si>
    <t>Lalabas ba tayo mamayang gabi ?</t>
  </si>
  <si>
    <t xml:space="preserve">Tôi phải về nhà </t>
  </si>
  <si>
    <t>Kailangan ko na umuwi .</t>
  </si>
  <si>
    <t>Qǐng gěi wǒ fā yóujiàn.</t>
  </si>
  <si>
    <t>Chào tạm biệt mọi người.</t>
  </si>
  <si>
    <t>Paalam sa inyong lahat .</t>
  </si>
  <si>
    <t>Hẹn gặp lại vào ngày mai.</t>
  </si>
  <si>
    <t>Kita-kits bukas .</t>
  </si>
  <si>
    <t>Nǐ de diànhuà hàomǎ shì duōshǎo?</t>
  </si>
  <si>
    <t>Cố gắng lên nhé!</t>
  </si>
  <si>
    <t>Galingan niyo ! Laban lang !</t>
  </si>
  <si>
    <t>Wǒ xiànzài yǒudiǎn máng.</t>
  </si>
  <si>
    <t>Děng wǒ zuò wán zhège.</t>
  </si>
  <si>
    <t>Wǒ de diànnǎo huàile.</t>
  </si>
  <si>
    <t>Wǎng sù tài mànle.</t>
  </si>
  <si>
    <t>Wǒ kěyǐ yào yīxià Wi-Fi mìmǎ ma?(Wi-Fi mìmǎ shì shénme?)</t>
  </si>
  <si>
    <t>Nǐ lèile ma?</t>
  </si>
  <si>
    <t>Wǒmen xiān xiūxí yīxià ba.</t>
  </si>
  <si>
    <t>Wǒ xiǎng hē diǎn shuǐ.</t>
  </si>
  <si>
    <t>Yǒurén xiǎng hē kāfēi ma?</t>
  </si>
  <si>
    <t>Jīntiān shì xīngqíwǔ!</t>
  </si>
  <si>
    <t>Nǐ zhège zhōumò shàngbān ma?</t>
  </si>
  <si>
    <t>Wǒ xiǎng qǐngjià.</t>
  </si>
  <si>
    <t>Wǒ yǒuxiē jiāshì yào chǔlǐ.</t>
  </si>
  <si>
    <t>Qǐng zài zhèlǐ qiānmíng.</t>
  </si>
  <si>
    <t>Zhè fèn wénjiàn fēicháng zhòngyào.</t>
  </si>
  <si>
    <t>Qǐng bùyào diūshī.</t>
  </si>
  <si>
    <t>Nǐ zài zhèlǐ gōngzuò duōjiǔle?</t>
  </si>
  <si>
    <t>Wǒ cái zài zhèlǐ gōngzuò yīgè yuè.</t>
  </si>
  <si>
    <t>Wǒmen gōngsī hěn bàng.</t>
  </si>
  <si>
    <t>Zhù nǐ jīntiān gōngzuò yúkuài.</t>
  </si>
  <si>
    <t>Wǒmen jīn wǎn chūqù wán ma?</t>
  </si>
  <si>
    <t>Wǒ dé huí jiāle.</t>
  </si>
  <si>
    <t>Dàjiā zàijiàn.</t>
  </si>
  <si>
    <t>Míngtiān jiàn.</t>
  </si>
  <si>
    <t>Jìxù nǔlì!</t>
  </si>
  <si>
    <t>Chủ đề 6: Sức khỏe và Hiệu thuốc (50 câu)</t>
  </si>
  <si>
    <t>Cháu thấy không khỏe.</t>
  </si>
  <si>
    <t>Hindi ako mabuti ang pakiramdam .</t>
  </si>
  <si>
    <t>Từ Tagalog</t>
  </si>
  <si>
    <t>Wǒ gǎnjué bú shūfú.</t>
  </si>
  <si>
    <t>Từ gốc</t>
  </si>
  <si>
    <t>Nghĩa Tiếng Việt</t>
  </si>
  <si>
    <t>Từ đồng nghĩa</t>
  </si>
  <si>
    <t>Từ trái nghĩa</t>
  </si>
  <si>
    <t>Cháu bị đau đầu.</t>
  </si>
  <si>
    <t>Masakit ang ulo ko .</t>
  </si>
  <si>
    <t>Cháu bị đau bụng.</t>
  </si>
  <si>
    <r>
      <rPr>
        <b/>
        <sz val="11"/>
        <color theme="1"/>
        <rFont val="Arial"/>
      </rPr>
      <t xml:space="preserve">Masakit ang </t>
    </r>
    <r>
      <rPr>
        <b/>
        <sz val="11"/>
        <color rgb="FFFF0000"/>
        <rFont val="Arial"/>
      </rPr>
      <t xml:space="preserve">tiyan </t>
    </r>
    <r>
      <rPr>
        <b/>
        <sz val="11"/>
        <color theme="1"/>
        <rFont val="Arial"/>
      </rPr>
      <t>ko .</t>
    </r>
  </si>
  <si>
    <r>
      <rPr>
        <b/>
        <sz val="11"/>
        <color rgb="FF1F1F1F"/>
        <rFont val="Calibri"/>
        <scheme val="minor"/>
      </rPr>
      <t>Tiyan
Tiyan (Bụng): Nghe như "Tia - Ăn"
Mẹo: 1. Tia nắng chiếu vào bụng. 2. Ăn nhiều bụng to. 3</t>
    </r>
    <r>
      <rPr>
        <b/>
        <sz val="11"/>
        <color rgb="FFFF0000"/>
        <rFont val="Calibri"/>
        <scheme val="minor"/>
      </rPr>
      <t>. Tí (bé xíu) cũng ăn vào bụng.</t>
    </r>
    <r>
      <rPr>
        <b/>
        <sz val="11"/>
        <color rgb="FF1F1F1F"/>
        <rFont val="Calibri"/>
        <scheme val="minor"/>
      </rPr>
      <t xml:space="preserve"> 4. An tâm bụng no. 5. Yên vị cái bụng.</t>
    </r>
  </si>
  <si>
    <t>Wǒ tóuténg.</t>
  </si>
  <si>
    <t>Tiyan</t>
  </si>
  <si>
    <t>Bụng</t>
  </si>
  <si>
    <t>Sikmura</t>
  </si>
  <si>
    <t>Likod (Lưng)</t>
  </si>
  <si>
    <t>Cháu bị sốt rồi.</t>
  </si>
  <si>
    <r>
      <rPr>
        <b/>
        <sz val="11"/>
        <color theme="1"/>
        <rFont val="Arial"/>
      </rPr>
      <t xml:space="preserve">May </t>
    </r>
    <r>
      <rPr>
        <b/>
        <sz val="11"/>
        <color rgb="FFFF0000"/>
        <rFont val="Arial"/>
      </rPr>
      <t xml:space="preserve">lagnat </t>
    </r>
    <r>
      <rPr>
        <b/>
        <sz val="11"/>
        <color theme="1"/>
        <rFont val="Arial"/>
      </rPr>
      <t>ako .</t>
    </r>
  </si>
  <si>
    <r>
      <rPr>
        <b/>
        <sz val="11"/>
        <color rgb="FF1F1F1F"/>
        <rFont val="Calibri"/>
        <scheme val="minor"/>
      </rPr>
      <t>Lagnat
Lagnat (Sốt): Nghe như "Lạc - Nát"
Mẹo: 1.</t>
    </r>
    <r>
      <rPr>
        <b/>
        <sz val="11"/>
        <color rgb="FFFF0000"/>
        <rFont val="Calibri"/>
        <scheme val="minor"/>
      </rPr>
      <t xml:space="preserve"> Đi lạc giữa nắng bị sốt. </t>
    </r>
    <r>
      <rPr>
        <b/>
        <sz val="11"/>
        <color rgb="FF1F1F1F"/>
        <rFont val="Calibri"/>
        <scheme val="minor"/>
      </rPr>
      <t>2. Người nát tan vì sốt. 3. Lạc vào nhà thương. 4. Nát cả thuốc uống. 5. Lát nữa sẽ hết sốt.</t>
    </r>
  </si>
  <si>
    <t>Lagnat</t>
  </si>
  <si>
    <t>Sốt</t>
  </si>
  <si>
    <t>Nilalagnat</t>
  </si>
  <si>
    <t>Giniginaw (Rét)</t>
  </si>
  <si>
    <t>Cháu bị đau họng.</t>
  </si>
  <si>
    <r>
      <rPr>
        <b/>
        <sz val="11"/>
        <color theme="1"/>
        <rFont val="Arial"/>
      </rPr>
      <t xml:space="preserve">Masakit ang </t>
    </r>
    <r>
      <rPr>
        <b/>
        <sz val="11"/>
        <color rgb="FFFF0000"/>
        <rFont val="Arial"/>
      </rPr>
      <t xml:space="preserve">lalamunan </t>
    </r>
    <r>
      <rPr>
        <b/>
        <sz val="11"/>
        <color theme="1"/>
        <rFont val="Arial"/>
      </rPr>
      <t>ko .</t>
    </r>
  </si>
  <si>
    <r>
      <rPr>
        <b/>
        <sz val="11"/>
        <color rgb="FF1F1F1F"/>
        <rFont val="Calibri"/>
        <scheme val="minor"/>
      </rPr>
      <t>Lalamunan
Lalamunan (Cổ họng): Nghe như "La - Muốn - Ăn"
Mẹo: 1.</t>
    </r>
    <r>
      <rPr>
        <b/>
        <sz val="11"/>
        <color rgb="FFFF0000"/>
        <rFont val="Calibri"/>
        <scheme val="minor"/>
      </rPr>
      <t xml:space="preserve"> La to đau họng</t>
    </r>
    <r>
      <rPr>
        <b/>
        <sz val="11"/>
        <color rgb="FF1F1F1F"/>
        <rFont val="Calibri"/>
        <scheme val="minor"/>
      </rPr>
      <t>. 2.</t>
    </r>
    <r>
      <rPr>
        <b/>
        <sz val="11"/>
        <color rgb="FFFF0000"/>
        <rFont val="Calibri"/>
        <scheme val="minor"/>
      </rPr>
      <t xml:space="preserve"> Cổ họng muốn uống nước. 3. Cổ họng thích ăn</t>
    </r>
    <r>
      <rPr>
        <b/>
        <sz val="11"/>
        <color rgb="FF1F1F1F"/>
        <rFont val="Calibri"/>
        <scheme val="minor"/>
      </rPr>
      <t>. 4. Lạ lùng cái họng. 5. Nhan (nhanh) nuốt xuống họng.</t>
    </r>
  </si>
  <si>
    <t>Wǒ dùzǐ téng.</t>
  </si>
  <si>
    <t>Lamon</t>
  </si>
  <si>
    <t>Cổ họng</t>
  </si>
  <si>
    <t>Galamay</t>
  </si>
  <si>
    <t>(Không có)</t>
  </si>
  <si>
    <t>Cháu bị ho nhiều quá.</t>
  </si>
  <si>
    <r>
      <rPr>
        <b/>
        <sz val="11"/>
        <color rgb="FFFF0000"/>
        <rFont val="Arial"/>
      </rPr>
      <t xml:space="preserve">Inuubo </t>
    </r>
    <r>
      <rPr>
        <b/>
        <sz val="11"/>
        <color theme="1"/>
        <rFont val="Arial"/>
      </rPr>
      <t>ako nang sobra .</t>
    </r>
  </si>
  <si>
    <r>
      <rPr>
        <b/>
        <sz val="11"/>
        <color rgb="FF1F1F1F"/>
        <rFont val="Calibri"/>
        <scheme val="minor"/>
      </rPr>
      <t xml:space="preserve">Inuubo
Inuubo (Đang ho): Nghe như "U - U - Bố"
Mẹo: 1. Bố ho kêu u u. 2. Bố bị ho rồi. </t>
    </r>
    <r>
      <rPr>
        <b/>
        <sz val="11"/>
        <color rgb="FFFF0000"/>
        <rFont val="Calibri"/>
        <scheme val="minor"/>
      </rPr>
      <t>3. U (mẹ) chăm bố ho</t>
    </r>
    <r>
      <rPr>
        <b/>
        <sz val="11"/>
        <color rgb="FF1F1F1F"/>
        <rFont val="Calibri"/>
        <scheme val="minor"/>
      </rPr>
      <t>. 4. In (in ấn) tiếng ho. 5. Bộ (đi bộ) cũng ho.</t>
    </r>
  </si>
  <si>
    <t>Ubo</t>
  </si>
  <si>
    <t>Đang ho</t>
  </si>
  <si>
    <t>Nagaubo</t>
  </si>
  <si>
    <t>Cháu bị sổ mũi.</t>
  </si>
  <si>
    <r>
      <rPr>
        <b/>
        <sz val="11"/>
        <color theme="1"/>
        <rFont val="Arial"/>
      </rPr>
      <t xml:space="preserve">May </t>
    </r>
    <r>
      <rPr>
        <b/>
        <sz val="11"/>
        <color rgb="FFFF0000"/>
        <rFont val="Arial"/>
      </rPr>
      <t xml:space="preserve">sipon </t>
    </r>
    <r>
      <rPr>
        <b/>
        <sz val="11"/>
        <color theme="1"/>
        <rFont val="Arial"/>
      </rPr>
      <t>ako .</t>
    </r>
  </si>
  <si>
    <r>
      <rPr>
        <b/>
        <sz val="11"/>
        <color rgb="FF1F1F1F"/>
        <rFont val="Calibri"/>
        <scheme val="minor"/>
      </rPr>
      <t xml:space="preserve">Sipon
Sipon (Sổ mũi): Nghe như "Si - Pôn" (Xe xi-pôn)
Mẹo: 1. Chạy xe xi-pôn bị sổ mũi. 2. Sổ mũi vì gió. </t>
    </r>
    <r>
      <rPr>
        <b/>
        <sz val="11"/>
        <color rgb="FFFF0000"/>
        <rFont val="Calibri"/>
        <scheme val="minor"/>
      </rPr>
      <t>3. Si mê thuốc mũi</t>
    </r>
    <r>
      <rPr>
        <b/>
        <sz val="11"/>
        <color rgb="FF1F1F1F"/>
        <rFont val="Calibri"/>
        <scheme val="minor"/>
      </rPr>
      <t xml:space="preserve">. 4. Pôn (tên người) sổ mũi. 5. </t>
    </r>
    <r>
      <rPr>
        <b/>
        <sz val="11"/>
        <color rgb="FFFF0000"/>
        <rFont val="Calibri"/>
        <scheme val="minor"/>
      </rPr>
      <t>Son (màu đỏ) lem ra mũi.</t>
    </r>
  </si>
  <si>
    <t>Wǒ fāshāole.</t>
  </si>
  <si>
    <t>Sipon</t>
  </si>
  <si>
    <t>Sổ mũi</t>
  </si>
  <si>
    <t>May sipon</t>
  </si>
  <si>
    <t>Tuyu (Khô)</t>
  </si>
  <si>
    <t>Cháu thấy chóng mặt.</t>
  </si>
  <si>
    <r>
      <rPr>
        <b/>
        <sz val="11"/>
        <color rgb="FFFF0000"/>
        <rFont val="Arial"/>
      </rPr>
      <t xml:space="preserve">Nahihilo </t>
    </r>
    <r>
      <rPr>
        <b/>
        <sz val="11"/>
        <color theme="1"/>
        <rFont val="Arial"/>
      </rPr>
      <t>ako .</t>
    </r>
  </si>
  <si>
    <r>
      <rPr>
        <b/>
        <sz val="11"/>
        <color rgb="FF1F1F1F"/>
        <rFont val="Calibri"/>
        <scheme val="minor"/>
      </rPr>
      <t xml:space="preserve">Nahihilo
Nahihilo (Chóng mặt): Nghe như "Nha - Hỉ - Lô"
Mẹo: 1. Đến nha sĩ chóng mặt. 2. </t>
    </r>
    <r>
      <rPr>
        <b/>
        <sz val="11"/>
        <color rgb="FFFF0000"/>
        <rFont val="Calibri"/>
        <scheme val="minor"/>
      </rPr>
      <t>Hỉ mũi xong chóng mặt</t>
    </r>
    <r>
      <rPr>
        <b/>
        <sz val="11"/>
        <color rgb="FF1F1F1F"/>
        <rFont val="Calibri"/>
        <scheme val="minor"/>
      </rPr>
      <t xml:space="preserve">. 3. Trúng số lô chóng mặt. 4. </t>
    </r>
    <r>
      <rPr>
        <b/>
        <sz val="11"/>
        <color rgb="FFFF0000"/>
        <rFont val="Calibri"/>
        <scheme val="minor"/>
      </rPr>
      <t>Lộ bí mật chóng mặt</t>
    </r>
    <r>
      <rPr>
        <b/>
        <sz val="11"/>
        <color rgb="FF1F1F1F"/>
        <rFont val="Calibri"/>
        <scheme val="minor"/>
      </rPr>
      <t>. 5. Nhà quay cuồng chóng mặt.</t>
    </r>
  </si>
  <si>
    <t>Hilo</t>
  </si>
  <si>
    <t>Chóng mặt</t>
  </si>
  <si>
    <t>Nalulula</t>
  </si>
  <si>
    <t>Matino (Tỉnh táo)</t>
  </si>
  <si>
    <t>Cháu thấy buồn nôn.</t>
  </si>
  <si>
    <r>
      <rPr>
        <b/>
        <sz val="11"/>
        <color rgb="FFFF0000"/>
        <rFont val="Arial"/>
      </rPr>
      <t xml:space="preserve">Nasusuka </t>
    </r>
    <r>
      <rPr>
        <b/>
        <sz val="11"/>
        <color theme="1"/>
        <rFont val="Arial"/>
      </rPr>
      <t>ako .</t>
    </r>
  </si>
  <si>
    <r>
      <rPr>
        <b/>
        <sz val="11"/>
        <color rgb="FF1F1F1F"/>
        <rFont val="Calibri"/>
        <scheme val="minor"/>
      </rPr>
      <t xml:space="preserve">Nasusuka
Nasusuka (Buồn nôn): Nghe như "Na - Súc - Ca"
Mẹo: 1. Bạn Na bị nôn. 2. </t>
    </r>
    <r>
      <rPr>
        <b/>
        <sz val="11"/>
        <color rgb="FFFF0000"/>
        <rFont val="Calibri"/>
        <scheme val="minor"/>
      </rPr>
      <t xml:space="preserve">Súc miệng bằng cái ca. </t>
    </r>
    <r>
      <rPr>
        <b/>
        <sz val="11"/>
        <color rgb="FF1F1F1F"/>
        <rFont val="Calibri"/>
        <scheme val="minor"/>
      </rPr>
      <t>3. Su (tên) bị nôn. 4. Ca hát cho đỡ nôn. 5. Na uống sữa nôn.</t>
    </r>
  </si>
  <si>
    <t>Wǒ hóulóng tòng.</t>
  </si>
  <si>
    <t>Suka</t>
  </si>
  <si>
    <t>Buồn nôn</t>
  </si>
  <si>
    <t>Nagsusuka</t>
  </si>
  <si>
    <t>Hiệu thuốc ở đâu ạ?</t>
  </si>
  <si>
    <r>
      <rPr>
        <b/>
        <sz val="11"/>
        <color theme="1"/>
        <rFont val="Arial"/>
      </rPr>
      <t xml:space="preserve">Nasaan ang </t>
    </r>
    <r>
      <rPr>
        <b/>
        <sz val="11"/>
        <color rgb="FFFF0000"/>
        <rFont val="Arial"/>
      </rPr>
      <t xml:space="preserve">botika </t>
    </r>
    <r>
      <rPr>
        <b/>
        <sz val="11"/>
        <color theme="1"/>
        <rFont val="Arial"/>
      </rPr>
      <t>?</t>
    </r>
  </si>
  <si>
    <r>
      <rPr>
        <b/>
        <sz val="11"/>
        <color rgb="FF1F1F1F"/>
        <rFont val="Calibri"/>
        <scheme val="minor"/>
      </rPr>
      <t>Botika
Botika (Tiệm thuốc): Nghe như "Bò - Ti - Ca"
Mẹo: 1.</t>
    </r>
    <r>
      <rPr>
        <b/>
        <sz val="11"/>
        <color rgb="FFFF0000"/>
        <rFont val="Calibri"/>
        <scheme val="minor"/>
      </rPr>
      <t xml:space="preserve"> Con bò đi mua thuốc.</t>
    </r>
    <r>
      <rPr>
        <b/>
        <sz val="11"/>
        <color rgb="FF1F1F1F"/>
        <rFont val="Calibri"/>
        <scheme val="minor"/>
      </rPr>
      <t xml:space="preserve"> 2. Cái ti mua thuốc. 3. </t>
    </r>
    <r>
      <rPr>
        <b/>
        <sz val="11"/>
        <color rgb="FFFF0000"/>
        <rFont val="Calibri"/>
        <scheme val="minor"/>
      </rPr>
      <t>Ca sĩ ở tiệm thuốc</t>
    </r>
    <r>
      <rPr>
        <b/>
        <sz val="11"/>
        <color rgb="FF1F1F1F"/>
        <rFont val="Calibri"/>
        <scheme val="minor"/>
      </rPr>
      <t>. 4. Bỏ tiền mua thuốc. 5. Tiện đường ghé tiệm thuốc.</t>
    </r>
  </si>
  <si>
    <t>Botika</t>
  </si>
  <si>
    <t>Tiệm thuốc</t>
  </si>
  <si>
    <t>Farmasya</t>
  </si>
  <si>
    <t>Cháu cần mua thuốc cảm.</t>
  </si>
  <si>
    <t>Bibili ako ng gamot sa sipon .</t>
  </si>
  <si>
    <t>Wǒ késòu dé hěn lìhài.</t>
  </si>
  <si>
    <t>Có thuốc giảm đau không ạ?</t>
  </si>
  <si>
    <t>May gamot ba sa sakit ng katawan ?</t>
  </si>
  <si>
    <t>Thuốc này uống thế nào?</t>
  </si>
  <si>
    <t>Paano inumin ang gamot na ito ?</t>
  </si>
  <si>
    <t>Wǒliú bítì.</t>
  </si>
  <si>
    <t>Uống trước khi ăn hay sau khi ăn?</t>
  </si>
  <si>
    <t>Bago ba o pagkatapos kumain ?</t>
  </si>
  <si>
    <t>Ngày uống mấy lần ạ?</t>
  </si>
  <si>
    <t>Ilang beses sa isang araw ?</t>
  </si>
  <si>
    <t>Wǒ tóuyūn.</t>
  </si>
  <si>
    <t>Cháu cần mua Vitamin C.</t>
  </si>
  <si>
    <t>Kailangan ko ng Vitamin C .</t>
  </si>
  <si>
    <t>Cho cháu một vỉ thuốc.</t>
  </si>
  <si>
    <r>
      <rPr>
        <b/>
        <sz val="11"/>
        <color theme="1"/>
        <rFont val="Arial"/>
      </rPr>
      <t xml:space="preserve">Isang </t>
    </r>
    <r>
      <rPr>
        <b/>
        <sz val="11"/>
        <color rgb="FFFF0000"/>
        <rFont val="Arial"/>
      </rPr>
      <t xml:space="preserve">banig </t>
    </r>
    <r>
      <rPr>
        <b/>
        <sz val="11"/>
        <color theme="1"/>
        <rFont val="Arial"/>
      </rPr>
      <t>ng gamot .</t>
    </r>
  </si>
  <si>
    <r>
      <rPr>
        <b/>
        <sz val="11"/>
        <color rgb="FF1F1F1F"/>
        <rFont val="Calibri"/>
        <scheme val="minor"/>
      </rPr>
      <t xml:space="preserve">Banig
Banig (Chiếu) - Nghe như "Ba - Nịch"
Mẹo:
</t>
    </r>
    <r>
      <rPr>
        <b/>
        <sz val="11"/>
        <color rgb="FFFF0000"/>
        <rFont val="Calibri"/>
        <scheme val="minor"/>
      </rPr>
      <t xml:space="preserve">
Ba dùng dây nịch để cuộn chiếc chiếu lại.</t>
    </r>
    <r>
      <rPr>
        <b/>
        <sz val="11"/>
        <color rgb="FF1F1F1F"/>
        <rFont val="Calibri"/>
        <scheme val="minor"/>
      </rPr>
      <t xml:space="preserve">
Chiếc chiếu bị ba làm nịch (chật) cứng.
Ba nằm nịch (êm) trên chiếu.
Bán cái nịch để mua chiếu.
Ba dặn: Nịch chiếu cho thẳng nhé.</t>
    </r>
  </si>
  <si>
    <t>Wǒ ěxīn.</t>
  </si>
  <si>
    <t>Banig</t>
  </si>
  <si>
    <t>Chiếu (để trải nằm)</t>
  </si>
  <si>
    <t>Sapin</t>
  </si>
  <si>
    <t>Sahig (Sàn nhà)</t>
  </si>
  <si>
    <t>Thuốc này bao nhiêu tiền?</t>
  </si>
  <si>
    <t>Magkano ang gamot na ito ?</t>
  </si>
  <si>
    <t>Cháu có cần đơn thuốc của bác sĩ không?</t>
  </si>
  <si>
    <r>
      <rPr>
        <b/>
        <sz val="11"/>
        <color theme="1"/>
        <rFont val="Arial"/>
      </rPr>
      <t xml:space="preserve">Kailangan ba ng </t>
    </r>
    <r>
      <rPr>
        <b/>
        <sz val="11"/>
        <color rgb="FFFF0000"/>
        <rFont val="Arial"/>
      </rPr>
      <t xml:space="preserve">reseta </t>
    </r>
    <r>
      <rPr>
        <b/>
        <sz val="11"/>
        <color theme="1"/>
        <rFont val="Arial"/>
      </rPr>
      <t>ng doktor ?</t>
    </r>
  </si>
  <si>
    <r>
      <rPr>
        <b/>
        <sz val="11"/>
        <color rgb="FF1F1F1F"/>
        <rFont val="Calibri"/>
        <scheme val="minor"/>
      </rPr>
      <t>Reseta
Reseta (Đơn thuốc): Nghe như "Rê - Sẽ - Ta"
Mẹo: 1. Tờ đơn thuốc rê trên bàn. 2.</t>
    </r>
    <r>
      <rPr>
        <b/>
        <sz val="11"/>
        <color rgb="FFFF0000"/>
        <rFont val="Calibri"/>
        <scheme val="minor"/>
      </rPr>
      <t xml:space="preserve"> Sẽ nhanh hết bệnh</t>
    </r>
    <r>
      <rPr>
        <b/>
        <sz val="11"/>
        <color rgb="FF1F1F1F"/>
        <rFont val="Calibri"/>
        <scheme val="minor"/>
      </rPr>
      <t>. 3. Đơn thuốc dành cho ta. 4.</t>
    </r>
    <r>
      <rPr>
        <b/>
        <sz val="11"/>
        <color rgb="FFFF0000"/>
        <rFont val="Calibri"/>
        <scheme val="minor"/>
      </rPr>
      <t xml:space="preserve"> Rẻ tiền đơn thuốc.</t>
    </r>
    <r>
      <rPr>
        <b/>
        <sz val="11"/>
        <color rgb="FF1F1F1F"/>
        <rFont val="Calibri"/>
        <scheme val="minor"/>
      </rPr>
      <t xml:space="preserve"> 5. </t>
    </r>
    <r>
      <rPr>
        <b/>
        <sz val="11"/>
        <color rgb="FFFF0000"/>
        <rFont val="Calibri"/>
        <scheme val="minor"/>
      </rPr>
      <t>Ta cầm đơn thuốc.</t>
    </r>
  </si>
  <si>
    <t>Yàodiàn zài nǎlǐ?</t>
  </si>
  <si>
    <t>Reseta</t>
  </si>
  <si>
    <t>Đơn thuốc</t>
  </si>
  <si>
    <t>Preskripsyon</t>
  </si>
  <si>
    <t>Cháu bị dị ứng với thuốc này.</t>
  </si>
  <si>
    <t>Allergic ako sa gamot na ito .</t>
  </si>
  <si>
    <t>Bệnh viện gần nhất ở đâu?</t>
  </si>
  <si>
    <t>Nasaan ang pinakamalapit na ospital ?</t>
  </si>
  <si>
    <t>Wǒ xū yāo mǎi gǎnmào yào.</t>
  </si>
  <si>
    <t>Gọi xe cấp cứu giúp cháu!</t>
  </si>
  <si>
    <t>Tumawag kayo ng ambulansya !</t>
  </si>
  <si>
    <t>Cháu muốn gặp bác sĩ.</t>
  </si>
  <si>
    <t>Gusto ko makita ang doktor .</t>
  </si>
  <si>
    <t>Nǐmen yǒu zhǐtòng yào ma?</t>
  </si>
  <si>
    <t>Bác sĩ ơi, cháu bị đau ở đây.</t>
  </si>
  <si>
    <t>Dok , masakit rito .</t>
  </si>
  <si>
    <t>Cháu bị đau bao lâu rồi?</t>
  </si>
  <si>
    <t>Gaano na katagal ang sakit ?</t>
  </si>
  <si>
    <t>Zhè zhǒng yào yīnggāi zěnme fúyòng?</t>
  </si>
  <si>
    <t>Mới từ sáng nay thôi ạ.</t>
  </si>
  <si>
    <t>Kaninang umaga lang .</t>
  </si>
  <si>
    <t>Cháu đã uống thuốc gì chưa?</t>
  </si>
  <si>
    <t>Uminom ka na ba ng gamot ?</t>
  </si>
  <si>
    <t>Fàn qián háishì fàn hòu fúyòng?</t>
  </si>
  <si>
    <t>Cháu chưa uống gì cả.</t>
  </si>
  <si>
    <t>Wala pa akong iniinom .</t>
  </si>
  <si>
    <t>Cháu cần nghỉ ngơi.</t>
  </si>
  <si>
    <t>Kailangan ko magpahinga .</t>
  </si>
  <si>
    <t>Yītiān yìng gāi fúyòng jǐ cì?</t>
  </si>
  <si>
    <t>Hãy uống nhiều nước nhé.</t>
  </si>
  <si>
    <t>Uminom ng maraming tubig .</t>
  </si>
  <si>
    <t>Đừng ăn đồ lạnh nhé.</t>
  </si>
  <si>
    <t>Huwag kumain ng malamig .</t>
  </si>
  <si>
    <t xml:space="preserve">Wǒ xū yāo mǎi wéishēngsù C. </t>
  </si>
  <si>
    <t>Cháu thấy đỡ hơn rồi.</t>
  </si>
  <si>
    <t>Mabuti na ang pakiramdam ko .</t>
  </si>
  <si>
    <t>Qǐng gěi wǒ yī hé.</t>
  </si>
  <si>
    <t>Cháu vẫn còn thấy mệt.</t>
  </si>
  <si>
    <t>Pagod pa rin ako .</t>
  </si>
  <si>
    <t>Zhè zhǒng yào duōshǎo qián?</t>
  </si>
  <si>
    <t>Cháu bị muỗi đốt.</t>
  </si>
  <si>
    <r>
      <rPr>
        <b/>
        <sz val="11"/>
        <color rgb="FFFF0000"/>
        <rFont val="Arial"/>
      </rPr>
      <t xml:space="preserve">Kinagat </t>
    </r>
    <r>
      <rPr>
        <b/>
        <sz val="11"/>
        <color theme="1"/>
        <rFont val="Arial"/>
      </rPr>
      <t xml:space="preserve">ako ng </t>
    </r>
    <r>
      <rPr>
        <b/>
        <sz val="11"/>
        <color rgb="FFFF0000"/>
        <rFont val="Arial"/>
      </rPr>
      <t xml:space="preserve">lamok </t>
    </r>
    <r>
      <rPr>
        <b/>
        <sz val="11"/>
        <color theme="1"/>
        <rFont val="Arial"/>
      </rPr>
      <t>.</t>
    </r>
  </si>
  <si>
    <r>
      <rPr>
        <b/>
        <sz val="11"/>
        <color rgb="FF1F1F1F"/>
        <rFont val="Calibri"/>
        <scheme val="minor"/>
      </rPr>
      <t xml:space="preserve">Mẹo 1: "Khá gắt"
Câu chuyện: Bạn bị một con kiến lửa cắn, cảm giác đau khá gắt. Khi đau "khá gắt", hãy nhớ ngay đến từ Kagat.
Mẹo 2: "Cá gạt"
Câu chuyện: </t>
    </r>
    <r>
      <rPr>
        <b/>
        <sz val="11"/>
        <color rgb="FFFF0000"/>
        <rFont val="Calibri"/>
        <scheme val="minor"/>
      </rPr>
      <t xml:space="preserve">Con cá đang định gạt miếng mồi đi nhưng cuối cùng nó lại quyết định Kagat (cắn) một miếng thật to.
</t>
    </r>
    <r>
      <rPr>
        <b/>
        <sz val="11"/>
        <color rgb="FF1F1F1F"/>
        <rFont val="Calibri"/>
        <scheme val="minor"/>
      </rPr>
      <t xml:space="preserve">
Mẹo 3: "Kha gạt"
Câu chuyện: Anh Kha đang ăn đùi gà thì bị bạn gạt tay, khiến anh ấy Kagat (cắn) nhầm vào ngón tay mình.
Mẹo 4: "Cả gạt"
Câu chuyện: Cả đám mây gạt mưa sang một bên để xem một con quái vật khổng lồ đang Kagat (cắn) đứt một quả núi.
Mẹo 5: "Gạt" (Âm cuối -gat)
Câu chuyện: Bạn dùng tay gạt một con chó đang định Kagat (cắn) vào chân mình.
---
Lamok
Lamok (Con muỗi): Nghe như "Là - Mốc"
Mẹo: 1. Muỗi là đồ mốc. 2. Lạ con muỗi mốc. 3. Lờ (lơ đi) con muỗi. 4. Móc màn chống muỗi. 5. Lắm con muỗi mốc.</t>
    </r>
  </si>
  <si>
    <t>Kagat
Lamok</t>
  </si>
  <si>
    <t>Bị cắn
Con muỗi</t>
  </si>
  <si>
    <t>Nginatngat
(Không có)</t>
  </si>
  <si>
    <t>(Không có)
(Không có)</t>
  </si>
  <si>
    <t>Có thuốc bôi ngứa không ạ?</t>
  </si>
  <si>
    <r>
      <rPr>
        <b/>
        <sz val="11"/>
        <color theme="1"/>
        <rFont val="Arial"/>
      </rPr>
      <t xml:space="preserve">May gamot ba sa </t>
    </r>
    <r>
      <rPr>
        <b/>
        <sz val="11"/>
        <color rgb="FFFF0000"/>
        <rFont val="Arial"/>
      </rPr>
      <t xml:space="preserve">makati </t>
    </r>
    <r>
      <rPr>
        <b/>
        <sz val="11"/>
        <color theme="1"/>
        <rFont val="Arial"/>
      </rPr>
      <t>?</t>
    </r>
  </si>
  <si>
    <t>Makati
Makati (Ngứa): Nghe như "Ma - Ca - Ti"
Mẹo: 1. Con ma bị ngứa. 2. Ca sĩ bị ngứa. 3. Cái ti bị ngứa. 4. Má ơi ngứa quá. 5. Tiện tay gãi ngứa.</t>
  </si>
  <si>
    <t>Wǒ xūyào yīshēng chǔfāng ma?</t>
  </si>
  <si>
    <t>Kati</t>
  </si>
  <si>
    <t>Ngứa</t>
  </si>
  <si>
    <t>Makirot</t>
  </si>
  <si>
    <t>Makinis (Mịn màng)</t>
  </si>
  <si>
    <t>Cháu bị đứt tay rồi.</t>
  </si>
  <si>
    <r>
      <rPr>
        <b/>
        <sz val="11"/>
        <color rgb="FFFF0000"/>
        <rFont val="Arial"/>
      </rPr>
      <t xml:space="preserve">Nasugatan </t>
    </r>
    <r>
      <rPr>
        <b/>
        <sz val="11"/>
        <color theme="1"/>
        <rFont val="Arial"/>
      </rPr>
      <t xml:space="preserve">ang </t>
    </r>
    <r>
      <rPr>
        <b/>
        <sz val="11"/>
        <color rgb="FFFF0000"/>
        <rFont val="Arial"/>
      </rPr>
      <t xml:space="preserve">daliri </t>
    </r>
    <r>
      <rPr>
        <b/>
        <sz val="11"/>
        <color theme="1"/>
        <rFont val="Arial"/>
      </rPr>
      <t>ko .</t>
    </r>
  </si>
  <si>
    <t>Nasugatan
Nasugatan (Bị thương): Nghe như "Na - Sư - Gà"
Mẹo: 1. Bạn Na bị thương. 2. Ông sư bị thương. 3. Con gà mổ bị thương. 4. Su (tên) bị thương. 5. Tan (nát) chỗ bị thương.
---
Daliri
Daliri (Ngón tay): Nghe như "Da - Lì - Rì"
Mẹo: 1. Da ở ngón tay. 2. Ngón tay lì lợm. 3. Tiếng rì rầm từ ngón tay. 4. Di chuyển ngón tay. 5. Lì xì bằng ngón tay.</t>
  </si>
  <si>
    <t>Sugat
Daliri</t>
  </si>
  <si>
    <t>Bị thương
Ngón tay</t>
  </si>
  <si>
    <t>May sugat
Ramay</t>
  </si>
  <si>
    <t>Ligtas (An toàn)
(Không có)</t>
  </si>
  <si>
    <t>Cho cháu xin miếng băng cá nhân.</t>
  </si>
  <si>
    <t>Pahingi ng Band-aid .</t>
  </si>
  <si>
    <t>Wǒ duì zhè zhǒng yào guòmǐn.</t>
  </si>
  <si>
    <t>Vết thương có sâu không?</t>
  </si>
  <si>
    <t>Malalim ba ang sugat ?</t>
  </si>
  <si>
    <t>Cần phải rửa sạch vết thương.</t>
  </si>
  <si>
    <t>Kailangang linisin ang sugat .</t>
  </si>
  <si>
    <t>Zuìjìn de yīyuàn zài nǎlǐ?</t>
  </si>
  <si>
    <t>Cháu bị đau răng.</t>
  </si>
  <si>
    <r>
      <rPr>
        <b/>
        <sz val="11"/>
        <color theme="1"/>
        <rFont val="Arial"/>
      </rPr>
      <t xml:space="preserve">Masakit ang </t>
    </r>
    <r>
      <rPr>
        <b/>
        <sz val="11"/>
        <color rgb="FFFF0000"/>
        <rFont val="Arial"/>
      </rPr>
      <t xml:space="preserve">ngipin </t>
    </r>
    <r>
      <rPr>
        <b/>
        <sz val="11"/>
        <color theme="1"/>
        <rFont val="Arial"/>
      </rPr>
      <t>ko .</t>
    </r>
  </si>
  <si>
    <r>
      <rPr>
        <b/>
        <sz val="11"/>
        <color rgb="FF1F1F1F"/>
        <rFont val="Calibri"/>
        <scheme val="minor"/>
      </rPr>
      <t xml:space="preserve">Ngipin
Ngipin (Răng) - Nghe như "Nghi - Pin"
Mẹo:
</t>
    </r>
    <r>
      <rPr>
        <b/>
        <sz val="11"/>
        <color rgb="FFFF0000"/>
        <rFont val="Calibri"/>
        <scheme val="minor"/>
      </rPr>
      <t>Nghi là có viên pin giấu trong răng.</t>
    </r>
    <r>
      <rPr>
        <b/>
        <sz val="11"/>
        <color rgb="FF1F1F1F"/>
        <rFont val="Calibri"/>
        <scheme val="minor"/>
      </rPr>
      <t xml:space="preserve">
Răng sáng như đèn chạy bằng pin.
Nghỉ một phút để đánh răng.
Cục pin làm đau răng.
Nghi vấn tại sao răng rụng.</t>
    </r>
  </si>
  <si>
    <t>Ngipin</t>
  </si>
  <si>
    <t>Răng</t>
  </si>
  <si>
    <t>Gilagid (Nướu/Lợi)</t>
  </si>
  <si>
    <t>Cháu cần đi khám nha sĩ.</t>
  </si>
  <si>
    <t>Kailangan ko pumunta sa dentist .</t>
  </si>
  <si>
    <t>Qǐng bāng wǒ jiào jiùhù chē!</t>
  </si>
  <si>
    <t>Cháu bị cận thị.</t>
  </si>
  <si>
    <r>
      <rPr>
        <b/>
        <sz val="11"/>
        <color rgb="FFFF0000"/>
        <rFont val="Arial"/>
      </rPr>
      <t xml:space="preserve">Malabo </t>
    </r>
    <r>
      <rPr>
        <b/>
        <sz val="11"/>
        <color theme="1"/>
        <rFont val="Arial"/>
      </rPr>
      <t xml:space="preserve">ang </t>
    </r>
    <r>
      <rPr>
        <b/>
        <sz val="11"/>
        <color rgb="FFFF0000"/>
        <rFont val="Arial"/>
      </rPr>
      <t xml:space="preserve">paningin </t>
    </r>
    <r>
      <rPr>
        <b/>
        <sz val="11"/>
        <color theme="1"/>
        <rFont val="Arial"/>
      </rPr>
      <t>ko .</t>
    </r>
  </si>
  <si>
    <r>
      <rPr>
        <b/>
        <sz val="11"/>
        <color rgb="FF1F1F1F"/>
        <rFont val="Calibri"/>
        <scheme val="minor"/>
      </rPr>
      <t xml:space="preserve">Malabo
Malabo (Mờ) - Nghe như "Má - La - Bố"
Mẹo:
</t>
    </r>
    <r>
      <rPr>
        <b/>
        <sz val="11"/>
        <color rgb="FFFF0000"/>
        <rFont val="Calibri"/>
        <scheme val="minor"/>
      </rPr>
      <t>Má la bố vì mắt bố nhìn mờ nên lấy nhầm đồ.</t>
    </r>
    <r>
      <rPr>
        <b/>
        <sz val="11"/>
        <color rgb="FF1F1F1F"/>
        <rFont val="Calibri"/>
        <scheme val="minor"/>
      </rPr>
      <t xml:space="preserve">
Nhìn mờ nên tưởng cái má là quả bơ.
Má lạ quá vì mắt nhìn mờ.
Mà là bơ (Nhìn mờ nên tưởng là quả bơ).
Lạ bộ đồ nhìn mờ mờ.
---
Paningin (Thị lực) - Nghe như "Ba - Nhìn - Gìn"
Mẹo:
Ba nhìn giữ gìn thị lực cho con.
</t>
    </r>
    <r>
      <rPr>
        <b/>
        <sz val="11"/>
        <color rgb="FFFF0000"/>
        <rFont val="Calibri"/>
        <scheme val="minor"/>
      </rPr>
      <t>Pa (ba) nhìn rất gần vì thị lực kém.</t>
    </r>
    <r>
      <rPr>
        <b/>
        <sz val="11"/>
        <color rgb="FF1F1F1F"/>
        <rFont val="Calibri"/>
        <scheme val="minor"/>
      </rPr>
      <t xml:space="preserve">
Pha đèn cho nhìn rõ.
Nhìn giữ gìn đôi mắt.
Ba ơi nhìn cái gìn (gì) thế
</t>
    </r>
  </si>
  <si>
    <t>Labo</t>
  </si>
  <si>
    <t>Mờ / Không rõ</t>
  </si>
  <si>
    <t>Di-malinaw</t>
  </si>
  <si>
    <t>Malinaw (Rõ ràng)</t>
  </si>
  <si>
    <t>Cháu cần cắt kính mới.</t>
  </si>
  <si>
    <t>Kailangan ko magpagawa ng salamin .</t>
  </si>
  <si>
    <t>Wǒ xiǎng kàn yīshēng.</t>
  </si>
  <si>
    <t>Cháu thấy buồn ngủ quá.</t>
  </si>
  <si>
    <r>
      <rPr>
        <b/>
        <sz val="11"/>
        <color rgb="FFFF0000"/>
        <rFont val="Arial"/>
      </rPr>
      <t xml:space="preserve">Inaantok </t>
    </r>
    <r>
      <rPr>
        <b/>
        <sz val="11"/>
        <color theme="1"/>
        <rFont val="Arial"/>
      </rPr>
      <t>ako .</t>
    </r>
  </si>
  <si>
    <r>
      <rPr>
        <b/>
        <sz val="11"/>
        <color rgb="FF1F1F1F"/>
        <rFont val="Calibri"/>
        <scheme val="minor"/>
      </rPr>
      <t>Inaantok
Inaantok (Buồn ngủ): Nghe như "In - Ăn - Tóc"
Mẹo: 1. Đang in mà buồn ngủ. 2.</t>
    </r>
    <r>
      <rPr>
        <b/>
        <sz val="11"/>
        <color rgb="FFFF0000"/>
        <rFont val="Calibri"/>
        <scheme val="minor"/>
      </rPr>
      <t xml:space="preserve"> Buồn ngủ quá ăn nhầm tóc.</t>
    </r>
    <r>
      <rPr>
        <b/>
        <sz val="11"/>
        <color rgb="FF1F1F1F"/>
        <rFont val="Calibri"/>
        <scheme val="minor"/>
      </rPr>
      <t xml:space="preserve"> 3. An tâm đi ngủ. 4. Tóc che mắt ngủ. 5. In hình đang ngủ.</t>
    </r>
  </si>
  <si>
    <t>Antok</t>
  </si>
  <si>
    <t>Buồn ngủ</t>
  </si>
  <si>
    <t>Tulog</t>
  </si>
  <si>
    <t>Gising (Tỉnh)</t>
  </si>
  <si>
    <t>Ngủ ngon nhé để mau khỏe.</t>
  </si>
  <si>
    <t>Matulog nang mabuti para gumaling agad .</t>
  </si>
  <si>
    <t>Yīshēng, wǒ zhèlǐ téng.</t>
  </si>
  <si>
    <t>Cảm ơn bác sĩ nhiều ạ.</t>
  </si>
  <si>
    <t>Maraming salamat , Dok .</t>
  </si>
  <si>
    <t>Cháu sẽ uống thuốc đúng giờ.</t>
  </si>
  <si>
    <t>Iinom ako ng gamot sa tamang oras .</t>
  </si>
  <si>
    <t>Wǒ téng duōjiǔle?</t>
  </si>
  <si>
    <t>Hy vọng bạn mau khỏe lại.</t>
  </si>
  <si>
    <t>Sana gumaling ka agad .</t>
  </si>
  <si>
    <t>Mag-ingat sa kalusugan .</t>
  </si>
  <si>
    <t>Cóng jīntiān zǎoshang kāishǐ.</t>
  </si>
  <si>
    <t>Khỏe mạnh là quan trọng nhất!</t>
  </si>
  <si>
    <t>Ang kalusugan ay kayamanan !</t>
  </si>
  <si>
    <t xml:space="preserve">Wǒ chīguò yàole ma? </t>
  </si>
  <si>
    <t>Wǒ shénme dōu méi chī.</t>
  </si>
  <si>
    <t xml:space="preserve">Wǒ xūyào xiūxí. </t>
  </si>
  <si>
    <t>Duō hē shuǐ.</t>
  </si>
  <si>
    <t>Bùyào chī lěngshí.</t>
  </si>
  <si>
    <t>Wǒ xiànzài gǎnjué hǎoduōle.</t>
  </si>
  <si>
    <t>Wǒ háishì yǒudiǎn lèi.</t>
  </si>
  <si>
    <t>Wǒ bèi wénzǐ yǎole.</t>
  </si>
  <si>
    <t>Nín yǒu zhǐ yǎng yàogāo ma?</t>
  </si>
  <si>
    <t>Wǒ de shǒu gē shāngle.</t>
  </si>
  <si>
    <t>Wǒ kěyǐ yào gè chuàngkětiē ma?</t>
  </si>
  <si>
    <t>Shāngkǒu shēn ma?</t>
  </si>
  <si>
    <t>Wǒ xūyào qīngjié shāngkǒu.</t>
  </si>
  <si>
    <t>Wǒ yá téng.</t>
  </si>
  <si>
    <t>Wǒ xūyào qù kàn yáyī.</t>
  </si>
  <si>
    <t>Wǒ shì jìnshì yǎn.</t>
  </si>
  <si>
    <t>Wǒ xūyào pèi fù xīn yǎnjìng.</t>
  </si>
  <si>
    <t>Wǒ gǎnjué hǎo kùn.</t>
  </si>
  <si>
    <t>Hǎohǎo xiūxí, zhèyàng nǐ jiù néng zǎorì kāngfù.</t>
  </si>
  <si>
    <t>Fēicháng gǎnxiè yīshēng.</t>
  </si>
  <si>
    <t>Wǒ huì ànshí fúyào.</t>
  </si>
  <si>
    <t>Zhù nín zǎorì kāngfù.</t>
  </si>
  <si>
    <t>Zhùyì shēntǐ jiànkāng.</t>
  </si>
  <si>
    <t>Jiànkāng zuì zhòngyào!</t>
  </si>
  <si>
    <t>Chủ đề 7: Thời tiết và Đời sống quanh ta (50 câu)</t>
  </si>
  <si>
    <t xml:space="preserve">
5 Mẹo âm thanh tương tự:</t>
  </si>
  <si>
    <t>5 Từ đồng nghĩa</t>
  </si>
  <si>
    <t>5 Từ trái nghĩa:</t>
  </si>
  <si>
    <t>Hôm nay trời thế nào?</t>
  </si>
  <si>
    <t>Kumusta ang panahon ngayon ?</t>
  </si>
  <si>
    <t>Jīntiān tiānqì zěnme yàng?</t>
  </si>
  <si>
    <t>Hôm nay trời đẹp quá.</t>
  </si>
  <si>
    <t>Maganda ang panahon ngayon .</t>
  </si>
  <si>
    <t>Trời nắng quá!</t>
  </si>
  <si>
    <t xml:space="preserve">Ang init  / Napakainit </t>
  </si>
  <si>
    <t>Jīntiān tiānqì zhēn hǎo.</t>
  </si>
  <si>
    <t>Trời đang mưa.</t>
  </si>
  <si>
    <t>Umuulan .</t>
  </si>
  <si>
    <t>Mưa to quá!</t>
  </si>
  <si>
    <t>Malakas ang ulan !</t>
  </si>
  <si>
    <t>Yángguāng zhēn cànlàn!</t>
  </si>
  <si>
    <t>Sắp mưa rồi.</t>
  </si>
  <si>
    <t>Uulan na .</t>
  </si>
  <si>
    <t>Đừng quên mang ô (dù) nhé.</t>
  </si>
  <si>
    <r>
      <rPr>
        <sz val="11"/>
        <color theme="1"/>
        <rFont val="Arial"/>
      </rPr>
      <t xml:space="preserve">Huwag kalimutan ang </t>
    </r>
    <r>
      <rPr>
        <sz val="11"/>
        <color rgb="FFFF0000"/>
        <rFont val="Arial"/>
      </rPr>
      <t xml:space="preserve">payong </t>
    </r>
    <r>
      <rPr>
        <sz val="11"/>
        <color theme="1"/>
        <rFont val="Arial"/>
      </rPr>
      <t>.</t>
    </r>
  </si>
  <si>
    <r>
      <rPr>
        <sz val="11"/>
        <color theme="1"/>
        <rFont val="Arial"/>
      </rPr>
      <t xml:space="preserve">Từ gốc: Payong
5 Mẹo âm thanh tương tự:
Ba-dông: Mỗi khi </t>
    </r>
    <r>
      <rPr>
        <b/>
        <sz val="11"/>
        <color rgb="FFFF0000"/>
        <rFont val="Arial"/>
      </rPr>
      <t>Ba thấy trời nổi dông là lại nhắc con mang theo Payong</t>
    </r>
    <r>
      <rPr>
        <sz val="11"/>
        <color theme="1"/>
        <rFont val="Arial"/>
      </rPr>
      <t>.
Pha-xong: Vừa pha trà xong thì trời mưa, phải che Payong để uống.
Pa-dòng: Thả một cái Payong trôi theo dòng nước.
Bà-vòng: Bà đeo vòng tay lấp lánh khi đang cầm cái Payong che nắng.
Phá-vòng: Dùng cái Payong nhọn để phá cái vòng vây của kẻ xấu.</t>
    </r>
  </si>
  <si>
    <t>Xià yǔle.</t>
  </si>
  <si>
    <t>Panilong, Silong, Pagong (nghĩa bóng), Panangga, Takip.</t>
  </si>
  <si>
    <t>Babad (phơi trần), Bilad, Tuyot, Lantad, Walang-humpay.</t>
  </si>
  <si>
    <t>Trời có bão không ạ?</t>
  </si>
  <si>
    <t>May bagyo ba ?</t>
  </si>
  <si>
    <t>Gió thổi mạnh quá.</t>
  </si>
  <si>
    <r>
      <rPr>
        <sz val="11"/>
        <color theme="1"/>
        <rFont val="Arial"/>
      </rPr>
      <t xml:space="preserve">Ang lakas ng </t>
    </r>
    <r>
      <rPr>
        <sz val="11"/>
        <color rgb="FFFF0000"/>
        <rFont val="Arial"/>
      </rPr>
      <t xml:space="preserve">hangin </t>
    </r>
    <r>
      <rPr>
        <sz val="11"/>
        <color theme="1"/>
        <rFont val="Arial"/>
      </rPr>
      <t>.</t>
    </r>
  </si>
  <si>
    <r>
      <rPr>
        <sz val="11"/>
        <color theme="1"/>
        <rFont val="Arial"/>
      </rPr>
      <t xml:space="preserve">Hangin (Gió)
Từ gốc: Hangin
5 Mẹo âm thanh tương tự:
Hàng-in: Gió thổi mạnh làm bay hết xấp hàng vừa mới in xong.
Hăng-in: Anh ấy rất hăng hái mang giấy ra in nhưng bị Hangin thổi mất.
Hàng-nghìn: </t>
    </r>
    <r>
      <rPr>
        <b/>
        <sz val="11"/>
        <color rgb="FFFF0000"/>
        <rFont val="Arial"/>
      </rPr>
      <t>Có hàng nghìn cơn Hangin thổi qua thung lũng này.</t>
    </r>
    <r>
      <rPr>
        <sz val="11"/>
        <color theme="1"/>
        <rFont val="Arial"/>
      </rPr>
      <t xml:space="preserve">
Háng-in: (Vui nhộn) Gió Hangin thổi mát cả... háng khi đang ngồi in bài.
Hạng-in: Đây là loại Hangin cấp hạng nhất (bão lớn).</t>
    </r>
  </si>
  <si>
    <t>Yǔ xià dé hěn dà!</t>
  </si>
  <si>
    <t>Simoy, Hihip, Amihan, Habagat, Buhawi.</t>
  </si>
  <si>
    <t>Katahimikan (lặng gió), Kalmado, Walang-hangin, Tuyo, Tigil.</t>
  </si>
  <si>
    <t>Trời đang tối dần.</t>
  </si>
  <si>
    <r>
      <rPr>
        <sz val="11"/>
        <color rgb="FFFF0000"/>
        <rFont val="Arial"/>
      </rPr>
      <t xml:space="preserve">Papadilim </t>
    </r>
    <r>
      <rPr>
        <sz val="11"/>
        <color theme="1"/>
        <rFont val="Arial"/>
      </rPr>
      <t>na .</t>
    </r>
  </si>
  <si>
    <r>
      <rPr>
        <sz val="11"/>
        <color theme="1"/>
        <rFont val="Arial"/>
      </rPr>
      <t xml:space="preserve">Papadilim (Đang tối dần)
Từ gốc: Dilim (Bóng tối)
5 Mẹo âm thanh tương tự:
Đi-lịm: Trời Papadilim, mọi người dần đi lịm vào giấc ngủ.
Dì-lim: </t>
    </r>
    <r>
      <rPr>
        <sz val="11"/>
        <color rgb="FFFF0000"/>
        <rFont val="Arial"/>
      </rPr>
      <t>Dì Lim dim mắt vì trời bắt đầu Papadilim.</t>
    </r>
    <r>
      <rPr>
        <sz val="11"/>
        <color theme="1"/>
        <rFont val="Arial"/>
      </rPr>
      <t xml:space="preserve">
Đi-tìm: Trời Papadilim rồi, mau đi tìm chỗ trú thôi.
Ba-ba-đi-tìm: Ba ba bò đi tìm thức ăn khi trời Papadilim.
Pha-đi-lim: Pha một cốc sữa rồi đi nằm lim dim khi trời Papadilim.</t>
    </r>
  </si>
  <si>
    <t>agdidilim, Paglamlam, Takipsilim, Agaw-dilim, Pagkagat ng dilim.</t>
  </si>
  <si>
    <t>Pagliliwanag, Pagsikat, Pag-aga, Bukang-liwayway, Magniningning</t>
  </si>
  <si>
    <t>Sáng nay trời mát mẻ.</t>
  </si>
  <si>
    <t>Presko ang panahon kaninang umaga .</t>
  </si>
  <si>
    <t>Yào xià yǔle.</t>
  </si>
  <si>
    <t>Có cầu vồng kìa!</t>
  </si>
  <si>
    <r>
      <rPr>
        <sz val="11"/>
        <color theme="1"/>
        <rFont val="Arial"/>
      </rPr>
      <t xml:space="preserve">May </t>
    </r>
    <r>
      <rPr>
        <sz val="11"/>
        <color rgb="FFFF0000"/>
        <rFont val="Arial"/>
      </rPr>
      <t xml:space="preserve">bahaghari </t>
    </r>
    <r>
      <rPr>
        <sz val="11"/>
        <color theme="1"/>
        <rFont val="Arial"/>
      </rPr>
      <t>!</t>
    </r>
  </si>
  <si>
    <r>
      <rPr>
        <sz val="11"/>
        <color theme="1"/>
        <rFont val="Arial"/>
      </rPr>
      <t>5 Mẹo ghi nhớ bằng kỹ thuật Âm thanh tương tự (Sound-alike)
Chúng ta sẽ dùng cụm âm thanh gần giống là "Ba - Hạ - Ri" hoặc "Bá - Hạ - Rì":
Mẹo 1: "Ba hạ rì"
Câu chuyện: Ba đang bổ củi thì thấy cầu vồng hiện ra đẹp quá, nên hạ cái rì (rìu) xuống để đứng ngắm.
Mẹo 2: "Bá hạ rì"
Câu chuyện: Một vị Bá vương từ trên trời hạ chiếc rì (rìu) thần rực rỡ sắc màu xuống nhân gian, tạo thành cầu vồng.
Mẹo 3: "Ba hạc đi"
Câu chuyện: Có ba con hạc đang đi bộ thong dong trên dải cầu vồng sau cơn mưa.
Mẹo 4: "Bả hạ rì"
Câu chuyện: Bả (bà ấy) đang cầm cái rì (rìu) thì bỗng nhiên cầu vồng xuất hiện, bả phải hạ xuống ngay vì mải nhìn.
Mẹo 5: "</t>
    </r>
    <r>
      <rPr>
        <sz val="11"/>
        <color rgb="FFFF0000"/>
        <rFont val="Arial"/>
      </rPr>
      <t>Ba hả hê</t>
    </r>
    <r>
      <rPr>
        <sz val="11"/>
        <color theme="1"/>
        <rFont val="Arial"/>
      </rPr>
      <t>" (phát âm hơi chệch)
Câu chuyện: Ba đang hả hê cười vui sướng vì cuối cùng cũng chụp được ảnh cầu vồng (Bahaghari).</t>
    </r>
  </si>
  <si>
    <t>Cháu thích trời mưa.</t>
  </si>
  <si>
    <t>Gusto ko ng ulan .</t>
  </si>
  <si>
    <t>Bié wàngle dài sǎn.</t>
  </si>
  <si>
    <t>Cháu không thích trời nóng.</t>
  </si>
  <si>
    <t>Ayaw ko ng mainit .</t>
  </si>
  <si>
    <t>Đi bơi thôi, nóng quá!</t>
  </si>
  <si>
    <t>Mag-swimming tayo , ang init !</t>
  </si>
  <si>
    <t>Yǒu bàofēngyǔ ma?</t>
  </si>
  <si>
    <t>Đường bị ngập rồi.  (Philippines hay bị ngập lắm đấy bạn ạ).</t>
  </si>
  <si>
    <r>
      <rPr>
        <sz val="11"/>
        <color rgb="FFFF0000"/>
        <rFont val="Arial"/>
      </rPr>
      <t xml:space="preserve">Baha </t>
    </r>
    <r>
      <rPr>
        <sz val="11"/>
        <color theme="1"/>
        <rFont val="Arial"/>
      </rPr>
      <t>sa kalsada .</t>
    </r>
  </si>
  <si>
    <r>
      <rPr>
        <sz val="11"/>
        <color theme="1"/>
        <rFont val="Arial"/>
      </rPr>
      <t xml:space="preserve">Âm của từ "Baha" nghe gần giống như "Ba hả" hoặc "Bà hà" trong tiếng Việt.
Mẹo 1: "Ba hả?"
Câu chuyện: Nước tràn vào nhà tận đầu gối, bạn hốt hoảng gọi điện: "Ba hả? Nhà mình bị Baha (lũ lụt) rồi!"
Mẹo 2: "Bà Hà"
Câu chuyện: Bà Hà đang hì hục tát nước ra khỏi sân vì trận Baha (lũ lụt) đêm qua.
Mẹo 3: "Ba hạ"
Câu chuyện: Nước lũ dâng cao quá, Ba phải hạ hết đồ đạc từ trên cao xuống thuyền để chạy Baha.
Mẹo 4: "Bả há" (Bả há hốc mồm)
Câu chuyện: Bả (bà ấy) há hốc mồm kinh ngạc khi thấy chiếc xe hơi của mình trôi bồng bềnh trong dòng Baha.
Mẹo 5: "Ba ha" (Cười hô hố)
Câu chuyện: Một tình huống ngược đời: </t>
    </r>
    <r>
      <rPr>
        <sz val="11"/>
        <color rgb="FFFF0000"/>
        <rFont val="Arial"/>
      </rPr>
      <t>Ba đứng trên sân thượng cười ha ha vì cuối cùng cũng có dịp mang cần câu ra câu cá ngay trong trận Baha.</t>
    </r>
  </si>
  <si>
    <t>Cẩn thận kẻo ướt nhé.</t>
  </si>
  <si>
    <t>Mag-ingat , baka mabasa kayo .</t>
  </si>
  <si>
    <t>Fēng guā dé hěn dà.</t>
  </si>
  <si>
    <t>Sấm chớp kìa!</t>
  </si>
  <si>
    <r>
      <rPr>
        <sz val="11"/>
        <color theme="1"/>
        <rFont val="Arial"/>
      </rPr>
      <t xml:space="preserve">May </t>
    </r>
    <r>
      <rPr>
        <sz val="11"/>
        <color rgb="FF434343"/>
        <rFont val="Arial"/>
      </rPr>
      <t xml:space="preserve">kulog </t>
    </r>
    <r>
      <rPr>
        <sz val="11"/>
        <color theme="1"/>
        <rFont val="Arial"/>
      </rPr>
      <t xml:space="preserve">at </t>
    </r>
    <r>
      <rPr>
        <sz val="11"/>
        <color rgb="FFFF0000"/>
        <rFont val="Arial"/>
      </rPr>
      <t xml:space="preserve">kidlat </t>
    </r>
    <r>
      <rPr>
        <sz val="11"/>
        <color theme="1"/>
        <rFont val="Arial"/>
      </rPr>
      <t>!</t>
    </r>
  </si>
  <si>
    <r>
      <rPr>
        <sz val="11"/>
        <color theme="1"/>
        <rFont val="Arial"/>
      </rPr>
      <t xml:space="preserve">Kidlat (Sét)
Từ gốc: Kidlat
5 Mẹo âm thanh tương tự:
Kít-lát: Tiếng xe phanh kít một lát vì giật mình bởi tia Kidlat.
Kịt-lạt: Mũi kịt lại vì ngửi thấy mùi khét lạt sau khi Kidlat đánh trúng cây.
</t>
    </r>
    <r>
      <rPr>
        <sz val="11"/>
        <color rgb="FFFF0000"/>
        <rFont val="Arial"/>
      </rPr>
      <t>Kì-lạ: Một tia Kidlat có hình dáng rất kì lạ.</t>
    </r>
    <r>
      <rPr>
        <sz val="11"/>
        <color theme="1"/>
        <rFont val="Arial"/>
      </rPr>
      <t xml:space="preserve">
Kíp-lát: Phải chạy thật kíp (nhanh) trong một lát để tránh Kidlat.
Kít-lạc: Tiếng kít của con lợn bị lạc khi nghe tiếng Kidlat.
---Âm của từ "Kulog" nghe rất giống cụm từ tiếng Việt "Cu lọc" hoặc "Cụ log".
Mẹo 1: "Cu lọc"
Câu chuyện: Bé Cu đang đứng lọc nước ngoài sân thì bỗng nghe tiếng Kulog (sấm) nổ vang trời làm cậu bé giật mình đánh rơi cả cái lọc.
Mẹo 2: "Cụ log" (Log out)
Câu chuyện: Cụ già đang dùng máy tính định log (đăng xuất) tài khoản thì tiếng Kulog (sấm) đánh rầm một cái làm máy tính tắt ngóm.
Mẹo 3: "Củ lốc"
Câu chuyện: Cơn lốc xoáy cuốn theo những củ khoai bay lên trời, kèm theo tiếng Kulog (sấm) gầm vang như tiếng quái vật.
Mẹo 4: "Khu lọc"
Câu chuyện: Ở khu lọc dầu, tiếng máy móc hoạt động ầm ầm nghe đáng sợ không kém gì tiếng Kulog (sấm) mùa hè.
Mẹo 5: "Cú lọc"
Câu chuyện</t>
    </r>
    <r>
      <rPr>
        <sz val="11"/>
        <color rgb="FFFF0000"/>
        <rFont val="Arial"/>
      </rPr>
      <t>: Con chim Cú đang lọc tìm con mồi trong đêm, bỗng tiếng Kulog (sấm) vang lên làm con mồi chạy mất tiêu.</t>
    </r>
  </si>
  <si>
    <t>Linti, Kimat, Dagabdab, Kidlat-kulog, Silakbo.</t>
  </si>
  <si>
    <t>Katahimikan, Dilim (không có ánh sáng), Payapa, Aliwalas, Liwanag (ánh sáng ổn định).</t>
  </si>
  <si>
    <t>Ngày mai trời có nắng không?</t>
  </si>
  <si>
    <t>Magiging maaraw ba bukas ?</t>
  </si>
  <si>
    <t>Tiān hēile.</t>
  </si>
  <si>
    <t>Độ ẩm cao quá.</t>
  </si>
  <si>
    <r>
      <rPr>
        <sz val="11"/>
        <color theme="1"/>
        <rFont val="Arial"/>
      </rPr>
      <t xml:space="preserve">Ang </t>
    </r>
    <r>
      <rPr>
        <sz val="11"/>
        <color rgb="FFFF0000"/>
        <rFont val="Arial"/>
      </rPr>
      <t xml:space="preserve">lagkit </t>
    </r>
    <r>
      <rPr>
        <sz val="11"/>
        <color theme="1"/>
        <rFont val="Arial"/>
      </rPr>
      <t>ng panahon .</t>
    </r>
  </si>
  <si>
    <r>
      <rPr>
        <sz val="11"/>
        <color theme="1"/>
        <rFont val="Arial"/>
      </rPr>
      <t xml:space="preserve">Lagkit (Dính/Bết)
Từ gốc: Lagkit
5 Mẹo âm thanh tương tự:
Lắc-kít: Cái gì dính quá, lắc đến mức kêu kít mà không ra (vì Lagkit).
Lạc-khít: Hạt lạc bị dính khít vào nhau do nhựa Lagkit.
</t>
    </r>
    <r>
      <rPr>
        <sz val="11"/>
        <color rgb="FFFF0000"/>
        <rFont val="Arial"/>
      </rPr>
      <t>Lắc-kỷ: Lắc thật kỷ (kỹ) chai keo Lagkit này trước khi dùng.</t>
    </r>
    <r>
      <rPr>
        <sz val="11"/>
        <color theme="1"/>
        <rFont val="Arial"/>
      </rPr>
      <t xml:space="preserve">
Lạ-kì: Chất này dính một cách lạ kì (Lagkit).
Lạng-kịt: Đi lạng vách đá rồi bị mắc kịt vì nhựa cây Lagkit.</t>
    </r>
  </si>
  <si>
    <t>Nanunuot, Malagkit, Kapit, Dikit, Pikit.</t>
  </si>
  <si>
    <t>Madulas (trơn), Tuyo, Alpas, Hiwalay, Malabnaw.</t>
  </si>
  <si>
    <t>Cháu muốn đi dạo công viên.</t>
  </si>
  <si>
    <t>Gusto ko maglakad-lakad sa park .</t>
  </si>
  <si>
    <t>Jīntiān zǎoshang hěn liángshuǎng.</t>
  </si>
  <si>
    <t>Bật quạt lên được không ạ?</t>
  </si>
  <si>
    <t>Pwedeng paki-bukas ang electric fan ?</t>
  </si>
  <si>
    <t>Nhà mình có điều hòa không?</t>
  </si>
  <si>
    <t>May aircon ba tayo ?</t>
  </si>
  <si>
    <t>Yǒu cǎihóng!</t>
  </si>
  <si>
    <t>Quạt trần đang quay.</t>
  </si>
  <si>
    <r>
      <rPr>
        <sz val="11"/>
        <color rgb="FFFF0000"/>
        <rFont val="Arial"/>
      </rPr>
      <t xml:space="preserve">Umiikot </t>
    </r>
    <r>
      <rPr>
        <sz val="11"/>
        <color theme="1"/>
        <rFont val="Arial"/>
      </rPr>
      <t>ang ceiling fan .</t>
    </r>
  </si>
  <si>
    <r>
      <rPr>
        <sz val="11"/>
        <color theme="1"/>
        <rFont val="Arial"/>
      </rPr>
      <t xml:space="preserve">Umiikot (Đang quay/xoay)
Từ gốc: Ikot (Vòng quay)
5 Mẹo âm thanh tương tự:
Ít-cốt: </t>
    </r>
    <r>
      <rPr>
        <sz val="11"/>
        <color rgb="FFFF0000"/>
        <rFont val="Arial"/>
      </rPr>
      <t xml:space="preserve">Cái máy Umiikot vì nó có ít cốt truyện (máy quay phim).
</t>
    </r>
    <r>
      <rPr>
        <sz val="11"/>
        <color theme="1"/>
        <rFont val="Arial"/>
      </rPr>
      <t xml:space="preserve">
Y-cốt: Nó quay Umiikot y hệt cái cốt bánh xe.
Đi-cốt: Người ta đi lấy cái cốt để làm cho nó Umiikot.
Ư-í-cọt: Tiếng kêu ư í cọt kẹt khi bánh xe Umiikot.
Im-cốt: Cứ đứng im nhìn cái cốt đang Umiikot.</t>
    </r>
  </si>
  <si>
    <t>Paikot, Bumabaling, Umiinog, Pumipilipit, Dumadaosdos.</t>
  </si>
  <si>
    <t>Nakahinto (dừng), Tuwid, Steady, Tigil, Pirmi.</t>
  </si>
  <si>
    <t>Cháu cần đi tắm.</t>
  </si>
  <si>
    <t>Kailangan ko maligo .</t>
  </si>
  <si>
    <t>Wǒ xǐhuān xià yǔ.</t>
  </si>
  <si>
    <t>Nước nóng hay nước lạnh ạ?</t>
  </si>
  <si>
    <t>Mainit o malamig na tubig ?</t>
  </si>
  <si>
    <t>Đèn bị hỏng rồi.</t>
  </si>
  <si>
    <r>
      <rPr>
        <sz val="11"/>
        <color rgb="FFFF0000"/>
        <rFont val="Arial"/>
      </rPr>
      <t xml:space="preserve">Pundi </t>
    </r>
    <r>
      <rPr>
        <sz val="11"/>
        <color theme="1"/>
        <rFont val="Arial"/>
      </rPr>
      <t>ang ilaw .</t>
    </r>
  </si>
  <si>
    <r>
      <rPr>
        <sz val="11"/>
        <color theme="1"/>
        <rFont val="Arial"/>
      </rPr>
      <t xml:space="preserve">Pundi (Cháy bóng đèn/Hỏng)
Từ gốc: Pundi
5 Mẹo âm thanh tương tự:
Phun-đi: Bóng đèn bị Pundi rồi, phun nước vào cho mát đi.
</t>
    </r>
    <r>
      <rPr>
        <sz val="11"/>
        <color rgb="FFFF0000"/>
        <rFont val="Arial"/>
      </rPr>
      <t>Bún-đi: Đang ăn bún thì bóng đèn đi đời (Pundi).</t>
    </r>
    <r>
      <rPr>
        <sz val="11"/>
        <color theme="1"/>
        <rFont val="Arial"/>
      </rPr>
      <t xml:space="preserve">
Phun-đí: Nó phun một cái đí (tiếng nổ) rồi bóng đèn Pundi.
Bùn-đi: Rơi xuống bùn là cái máy này đi luôn (Pundi).
Phún-đi: Nước phún ra làm mạch điện bị Pundi.</t>
    </r>
  </si>
  <si>
    <t>Wǒ bù xǐhuān rè.</t>
  </si>
  <si>
    <t>Sira, Laspag, Patay, Basag, Kupas.</t>
  </si>
  <si>
    <t>Bago, Gumagana (đang hoạt động), Maliwanag, Buo, Matibay.</t>
  </si>
  <si>
    <t>Cửa bị khóa rồi.</t>
  </si>
  <si>
    <t>Nakalock ang pinto .</t>
  </si>
  <si>
    <t>Cho cháu mượn chìa khóa.</t>
  </si>
  <si>
    <t>Pahiram ng susi .</t>
  </si>
  <si>
    <t>Wǒmen qù yóuyǒng ba, tài rèle!</t>
  </si>
  <si>
    <t>Rác để ở đâu ạ?</t>
  </si>
  <si>
    <t>Nasaan ang basura ?</t>
  </si>
  <si>
    <t>Cháu giúp bác dọn nhà nhé.</t>
  </si>
  <si>
    <t>Tulungan ko kayong maglinis ng bahay .</t>
  </si>
  <si>
    <t>Lù bèi yānle.(Nǐ zhīdào, fēilǜbīn jīngcháng fāshēng hóngshuǐ.)</t>
  </si>
  <si>
    <t>Quét nhà thôi!</t>
  </si>
  <si>
    <t>Magwalis na tayo !</t>
  </si>
  <si>
    <t>Cháu đang lau bàn.</t>
  </si>
  <si>
    <r>
      <rPr>
        <sz val="11"/>
        <color rgb="FFFF0000"/>
        <rFont val="Arial"/>
      </rPr>
      <t xml:space="preserve">Nagpupunas </t>
    </r>
    <r>
      <rPr>
        <sz val="11"/>
        <color theme="1"/>
        <rFont val="Arial"/>
      </rPr>
      <t>ako ng mesa .</t>
    </r>
  </si>
  <si>
    <r>
      <rPr>
        <sz val="11"/>
        <color theme="1"/>
        <rFont val="Arial"/>
      </rPr>
      <t xml:space="preserve">Nagpupunas (Đang lau chùi)
Từ gốc: Punas (Lau)
5 Mẹo âm thanh tương tự:
Nát-phụ-nát: Đồ đã nát mà còn phụ thêm làm nát khi Nagpupunas.
Nấu-phụ-nát: Đang nấu mà phụ lau nhà đến nát cả giẻ (Nagpupunas).
</t>
    </r>
    <r>
      <rPr>
        <sz val="11"/>
        <color rgb="FFFF0000"/>
        <rFont val="Arial"/>
      </rPr>
      <t>Phụ-nát: Cô ấy đang phụ mẹ lau cái bàn đã nát (Nagpupunas).</t>
    </r>
    <r>
      <rPr>
        <sz val="11"/>
        <color theme="1"/>
        <rFont val="Arial"/>
      </rPr>
      <t xml:space="preserve">
Pha-nát: Pha nước lau sàn để lau cái ghế nát (Nagpupunas).
Nạp-phun: Nạp nước vào bình rồi phun ra để Nagpupunas.</t>
    </r>
  </si>
  <si>
    <t>Xiǎoxīn bié lín shī.</t>
  </si>
  <si>
    <t>Naglilinis, Nagpapatuyo, Nagkukuskos, Naghihilamos, Nag-aalis.</t>
  </si>
  <si>
    <t>Nagpapadumi (làm bẩn), Nagkakalat, Nagbabasa, Nagpupurol, Naglalaba.</t>
  </si>
  <si>
    <t>Có con muỗi kìa!</t>
  </si>
  <si>
    <t>May lamok !</t>
  </si>
  <si>
    <t>Cháu sợ gián lắm.</t>
  </si>
  <si>
    <r>
      <rPr>
        <sz val="11"/>
        <color theme="1"/>
        <rFont val="Arial"/>
      </rPr>
      <t xml:space="preserve">Takot ako sa </t>
    </r>
    <r>
      <rPr>
        <sz val="11"/>
        <color rgb="FFFF0000"/>
        <rFont val="Arial"/>
      </rPr>
      <t xml:space="preserve">ipis </t>
    </r>
    <r>
      <rPr>
        <sz val="11"/>
        <color theme="1"/>
        <rFont val="Arial"/>
      </rPr>
      <t>.</t>
    </r>
  </si>
  <si>
    <r>
      <rPr>
        <sz val="11"/>
        <color theme="1"/>
        <rFont val="Arial"/>
      </rPr>
      <t xml:space="preserve">. Ipis (Con gián)
Từ gốc: Ipis
5 Mẹo âm thanh tương tự:
Ít-ít: Con Ipis này chỉ có ít ít chân thôi (đùa).
</t>
    </r>
    <r>
      <rPr>
        <sz val="11"/>
        <color rgb="FFFF0000"/>
        <rFont val="Arial"/>
      </rPr>
      <t>Y-phí: Tiền thuốc diệt Ipis đúng là y như một khoản phí nặng</t>
    </r>
    <r>
      <rPr>
        <sz val="11"/>
        <color theme="1"/>
        <rFont val="Arial"/>
      </rPr>
      <t>.
Y-hệt: Con này trông y hệt con Ipis kinh tởm kia.
I-phít: (Tiếng kêu) I... phít một cái là con Ipis chạy mất.
Ít-phí: Diệt gián Ipis tốn rất ít phí.</t>
    </r>
  </si>
  <si>
    <t>Dǎléi shǎndiànle!</t>
  </si>
  <si>
    <t>Kulisap, Gaga, Ipis-lupa, Ipis-bahay, Hayop.</t>
  </si>
  <si>
    <t>(Không có từ trái nghĩa trực tiếp cho danh từ con vật, nhưng có thể hiểu là sự sạch sẽ): Kalinisan, Bangat, Basura-free, Sterilisado, Bango.</t>
  </si>
  <si>
    <t>Con chó đang sủa.</t>
  </si>
  <si>
    <r>
      <rPr>
        <sz val="11"/>
        <color theme="1"/>
        <rFont val="Arial"/>
      </rPr>
      <t xml:space="preserve">Tahol nang </t>
    </r>
    <r>
      <rPr>
        <sz val="11"/>
        <color rgb="FFFF0000"/>
        <rFont val="Arial"/>
      </rPr>
      <t xml:space="preserve">tahol </t>
    </r>
    <r>
      <rPr>
        <sz val="11"/>
        <color theme="1"/>
        <rFont val="Arial"/>
      </rPr>
      <t>ang aso .</t>
    </r>
  </si>
  <si>
    <r>
      <rPr>
        <sz val="11"/>
        <color theme="1"/>
        <rFont val="Arial"/>
      </rPr>
      <t xml:space="preserve">Tahol (Tiếng chó sủa)
Từ gốc: Tahol
5 Mẹo âm thanh tương tự:
</t>
    </r>
    <r>
      <rPr>
        <sz val="11"/>
        <color rgb="FFFF0000"/>
        <rFont val="Arial"/>
      </rPr>
      <t>Ta-hôn: Ta đang định hôn nhau thì con chó Tahol.</t>
    </r>
    <r>
      <rPr>
        <sz val="11"/>
        <color theme="1"/>
        <rFont val="Arial"/>
      </rPr>
      <t xml:space="preserve">
Tả-tơi: Con chó sủa Tahol làm bộ quần áo của tên trộm tả tơi.
Ta-hỏi: Ta hỏi mà sao ngươi cứ Tahol mãi thế?
Tả-hồi: Tả lại hồi ức con chó Tahol đêm qua.
Tá-hỏa: Tá hỏa tam tinh vì nghe tiếng chó Tahol lúc nửa đêm.</t>
    </r>
  </si>
  <si>
    <t>Kahol, Alulong, Ngiyaw (nghĩa rộng), Angal, Bulyaw.</t>
  </si>
  <si>
    <t>Tahimik (im lặng), Ngiyaw (mèo kêu - đối lập loài), Ungol, Hinto, Tikom.</t>
  </si>
  <si>
    <t>Con mèo dễ thương quá.</t>
  </si>
  <si>
    <t>Ang cute ng pusa .</t>
  </si>
  <si>
    <t>Míngtiān huì shì qíngtiān ma?</t>
  </si>
  <si>
    <t>Cháu muốn trồng cây.</t>
  </si>
  <si>
    <t>Gusto ko magtanim .</t>
  </si>
  <si>
    <t>Tưới nước cho hoa nhé.</t>
  </si>
  <si>
    <r>
      <rPr>
        <sz val="11"/>
        <color rgb="FFFF0000"/>
        <rFont val="Arial"/>
      </rPr>
      <t xml:space="preserve">Diligan </t>
    </r>
    <r>
      <rPr>
        <sz val="11"/>
        <color theme="1"/>
        <rFont val="Arial"/>
      </rPr>
      <t>natin ang mga bulaklak .</t>
    </r>
  </si>
  <si>
    <r>
      <rPr>
        <sz val="11"/>
        <color theme="1"/>
        <rFont val="Arial"/>
      </rPr>
      <t xml:space="preserve">Diligan (Tưới nước)
Từ gốc: Dilig (Tưới)
5 Mẹo âm thanh tương tự:
Đi-liếc: Vừa đi vừa liếc nhìn xem hoa đã được Diligan chưa.
Di-lý: Di lý phạm nhân qua vườn hoa đang được Diligan.
Đi-lì: Cứ đi lì ra đó không chịu giúp mẹ Diligan cây.
Dì-lì: Dì ngồi lì một chỗ xem tôi Diligan rau.
</t>
    </r>
    <r>
      <rPr>
        <sz val="11"/>
        <color rgb="FFFF0000"/>
        <rFont val="Arial"/>
      </rPr>
      <t>Đi-liên: Đi liên tục để Diligan hết cả cánh đồng.</t>
    </r>
  </si>
  <si>
    <t>Shīdù tài gāole.</t>
  </si>
  <si>
    <t>Basain, Patubig, Pabasa, Wisikan, Buhusan.</t>
  </si>
  <si>
    <t>Patuyuin (làm khô), Tuyuin, Hayaan, Tigang, Ibilad.</t>
  </si>
  <si>
    <t>Cỏ mọc cao quá.</t>
  </si>
  <si>
    <r>
      <rPr>
        <sz val="11"/>
        <color theme="1"/>
        <rFont val="Arial"/>
      </rPr>
      <t xml:space="preserve">Ang haba na ng </t>
    </r>
    <r>
      <rPr>
        <sz val="11"/>
        <color rgb="FFFF0000"/>
        <rFont val="Arial"/>
      </rPr>
      <t xml:space="preserve">damo </t>
    </r>
    <r>
      <rPr>
        <sz val="11"/>
        <color theme="1"/>
        <rFont val="Arial"/>
      </rPr>
      <t>.</t>
    </r>
  </si>
  <si>
    <r>
      <rPr>
        <sz val="11"/>
        <color theme="1"/>
        <rFont val="Arial"/>
      </rPr>
      <t>Âm của từ "Damo" nghe rất giống với "Đã mổ", "Đá mò", hay "Da mô" trong tiếng Việt.
Mẹo 1: "Đã mổ"
Câu chuyện: Con gà nhà tôi đã mổ sạch bách mấy ngọn Damo (cỏ) non ở trong vườn rồi.
Mẹo 2: "Đá mò"
Câu chuyện: Tôi vô ý làm rơi nhẫn xuống bãi Damo (cỏ) cao lút đầu, thế là phải dùng chân đá mò mãi mới thấy.
Mẹo 3: "Da mô" (Da nào - giọng miền Trung)
Câu chuyện: Ngồi trên bãi cỏ này xót quá, da mô mà chịu nổi cái loại Damo (cỏ) sắc như dao này chứ!
Mẹo 4: "Đa mưu"
Câu chuyện:</t>
    </r>
    <r>
      <rPr>
        <sz val="11"/>
        <color rgb="FFFF0000"/>
        <rFont val="Arial"/>
      </rPr>
      <t xml:space="preserve"> Vị tướng đa mưu túc trí đã ra lệnh cho quân lính lấy Damo (cỏ) ngụy trang lên đầu để áp sát quân địch.</t>
    </r>
    <r>
      <rPr>
        <sz val="11"/>
        <color theme="1"/>
        <rFont val="Arial"/>
      </rPr>
      <t xml:space="preserve">
Mẹo 5: "Dã mô" (Dã mô - từ cổ/địa phương chỉ sự hoang dã)
Câu chuyện: Ở nơi dã mô (hoang dã) này, đâu đâu cũng thấy Damo (cỏ) dại mọc um tùm.</t>
    </r>
  </si>
  <si>
    <t>Cháu muốn đi ngủ.</t>
  </si>
  <si>
    <t>Gusto ko na matulog .</t>
  </si>
  <si>
    <t>Wǒ xiǎng qù gōngyuán sànbù.</t>
  </si>
  <si>
    <t>Tắt điện đi ạ.</t>
  </si>
  <si>
    <t>Paki-patay ang ilaw .</t>
  </si>
  <si>
    <t>Good night .</t>
  </si>
  <si>
    <t>Wǒ kěyǐ kāi fēngshàn ma?</t>
  </si>
  <si>
    <t>Mấy giờ rồi ạ?</t>
  </si>
  <si>
    <t>Anong oras na ?</t>
  </si>
  <si>
    <t>Sáng rồi, dậy thôi!</t>
  </si>
  <si>
    <t>Umaga na , gising na !</t>
  </si>
  <si>
    <t>Nǐmen yǒu kòng diào ma?</t>
  </si>
  <si>
    <t>Cháu đang đánh răng.</t>
  </si>
  <si>
    <r>
      <rPr>
        <sz val="11"/>
        <color rgb="FFFF0000"/>
        <rFont val="Arial"/>
      </rPr>
      <t xml:space="preserve">Nagsepisilyo </t>
    </r>
    <r>
      <rPr>
        <sz val="11"/>
        <color theme="1"/>
        <rFont val="Arial"/>
      </rPr>
      <t>ako .</t>
    </r>
  </si>
  <si>
    <r>
      <rPr>
        <sz val="11"/>
        <color theme="1"/>
        <rFont val="Arial"/>
      </rPr>
      <t xml:space="preserve">Nagsepisilyo (Đang đánh răng)
Từ gốc: Sepilyo (Bàn chải - từ tiếng Tây Ban Nha Cepillo)
5 Mẹo âm thanh tương tự:
</t>
    </r>
    <r>
      <rPr>
        <sz val="11"/>
        <color rgb="FFFF0000"/>
        <rFont val="Arial"/>
      </rPr>
      <t>Xe-phí-lố: Đi xe máy phí tiền vì đi lố trong khi đang nghĩ về việc Nagsepisily</t>
    </r>
    <r>
      <rPr>
        <sz val="11"/>
        <color theme="1"/>
        <rFont val="Arial"/>
      </rPr>
      <t>o.
Sếp-đi-lố: Sếp đi lố giờ họp vì mải Nagsepisilyo.
Xé-phong-lô: Xé cái phong bì lấy cái lô để Nagsepisilyo.
Sấp-phí-lố: Ngã sấp mặt vì phí lố đà khi đang chạy đi Nagsepisilyo.
Sen-phí-lố: Hoa sen này phí lố tiền mua về chỉ để ngắm lúc Nagsepisilyo.</t>
    </r>
  </si>
  <si>
    <t>Naglilinis ng ngipin, Nagsisipilyo, Naghihilamos (nghĩa rộng), Nag-aayos, Naglilinis.</t>
  </si>
  <si>
    <t>Nagpapadumi, Nagpapabaya, Kumakain (làm bẩn răng), Walang-linis, Nagbubulok.</t>
  </si>
  <si>
    <t>Cháu đi học đây.</t>
  </si>
  <si>
    <t>Papapasok na ako sa school .</t>
  </si>
  <si>
    <t>Diàoshàn zài zhuǎn.</t>
  </si>
  <si>
    <t>Hôm nay là một ngày dài.</t>
  </si>
  <si>
    <t>Mahabang araw ito .</t>
  </si>
  <si>
    <t>Cháu thấy rất bình yên.</t>
  </si>
  <si>
    <r>
      <rPr>
        <sz val="11"/>
        <color theme="1"/>
        <rFont val="Arial"/>
      </rPr>
      <t xml:space="preserve">Ang </t>
    </r>
    <r>
      <rPr>
        <sz val="11"/>
        <color rgb="FFFF0000"/>
        <rFont val="Arial"/>
      </rPr>
      <t xml:space="preserve">payapa </t>
    </r>
    <r>
      <rPr>
        <sz val="11"/>
        <color theme="1"/>
        <rFont val="Arial"/>
      </rPr>
      <t>rito .</t>
    </r>
  </si>
  <si>
    <r>
      <rPr>
        <sz val="11"/>
        <color theme="1"/>
        <rFont val="Arial"/>
      </rPr>
      <t xml:space="preserve">Âm của từ "Payapa" nghe gần giống như "Ba già quá", "Phà vã" hoặc "Pa-da-pa" trong tiếng Việt.
Mẹo 1: "Ba già quá"
Câu chuyện: </t>
    </r>
    <r>
      <rPr>
        <sz val="11"/>
        <color rgb="FFFF0000"/>
        <rFont val="Arial"/>
      </rPr>
      <t xml:space="preserve">Ba già quá rồi nên không còn thích sự ồn ào của phố thị, ba chỉ muốn về quê sống một cuộc đời Payapa (bình yên).
</t>
    </r>
    <r>
      <rPr>
        <sz val="11"/>
        <color theme="1"/>
        <rFont val="Arial"/>
      </rPr>
      <t xml:space="preserve">
Mẹo 2: "Phà vã" (Phà vất vả)
Câu chuyện: Sau một ngày hoạt động vã mồ hôi, chiếc phà cuối cùng cũng được nghỉ ngơi dưới mặt nước Payapa (phẳng lặng).
Mẹo 3: "Pa-da-pa" (Gần giống "Ngã sấp mặt")
Câu chuyện: Đang chạy loạn giữa đám đông, bỗng nhiên bạn bị pa-da-pa (ngã sấp mặt), lúc đó cả thế giới bỗng dừng lại và trở nên Payapa (tĩnh lặng) lạ thường.
Mẹo 4: "Phá giá quá"
Câu chuyện: Khi chợ không còn ai tranh giành hay phá giá quá mức nữa, việc buôn bán trở nên Payapa (êm đềm).
Mẹo 5: "Ba và bả" (Ba và bà ấy)
Câu chuyện: Ba và bả (mẹ) ngồi uống trà trong khu vườn xanh mát, tận hưởng không gian Payapa (thanh bình).</t>
    </r>
  </si>
  <si>
    <t>Wǒ xiǎng xǐ gè zǎo.</t>
  </si>
  <si>
    <t>Philippines thật tuyệt vời!</t>
  </si>
  <si>
    <t>Napakaganda ng Pilipinas !</t>
  </si>
  <si>
    <t>Rè shuǐ háishì lěngshuǐ?</t>
  </si>
  <si>
    <t>Dēng huàile.</t>
  </si>
  <si>
    <t>Mén suǒle.</t>
  </si>
  <si>
    <t>Wǒ kěyǐ jiè yàoshi ma?</t>
  </si>
  <si>
    <t xml:space="preserve">Lèsè yīnggāi fàng zài nǎlǐ? </t>
  </si>
  <si>
    <t>Nǎinai, wǒ lái bāng nín dǎsǎo fángzǐ ba.</t>
  </si>
  <si>
    <t>Sǎodì!</t>
  </si>
  <si>
    <t>Wǒ zài cā zhuōzǐ.</t>
  </si>
  <si>
    <t>Yǒu zhǐ wénzǐ!</t>
  </si>
  <si>
    <t>Wǒ hàipà zhāngláng.</t>
  </si>
  <si>
    <t>Gǒu zài jiào.</t>
  </si>
  <si>
    <t>Māo zhēn kě'ài.</t>
  </si>
  <si>
    <t>Wǒ xiǎng zhǒng kē shù.</t>
  </si>
  <si>
    <t>Wǒmen lái jiāo huā ba.</t>
  </si>
  <si>
    <t>Cǎo zhǎng dé tài gāole.</t>
  </si>
  <si>
    <t>Wǒ xiǎng shuìjiàole.</t>
  </si>
  <si>
    <t>Guān dēng.</t>
  </si>
  <si>
    <t>Xiànzài jǐ diǎnle?</t>
  </si>
  <si>
    <t>Zǎoshang hǎo, wǒmen qǐchuáng ba!</t>
  </si>
  <si>
    <t>Wǒ zài shuāyá.</t>
  </si>
  <si>
    <t>Wǒ yào qù shàngxué.</t>
  </si>
  <si>
    <t>Jīntiān zhēnshi màncháng de yītiān.</t>
  </si>
  <si>
    <t>Wǒ gǎnjué hǎo píngjìng.</t>
  </si>
  <si>
    <t>Fēilǜbīn zhēn bàng!</t>
  </si>
  <si>
    <t>Chủ đề 8: Sở thích và Kết bạn (50 câu)</t>
  </si>
  <si>
    <t>Bạn thích làm gì lúc rảnh?</t>
  </si>
  <si>
    <t>Ano ginagawa niyo pag libre kayo ?</t>
  </si>
  <si>
    <t>Nǐ kòngxián shíjiān xǐhuān zuò shénme?</t>
  </si>
  <si>
    <t>Cháu thích nghe nhạc.</t>
  </si>
  <si>
    <t>Gusto ko makinig ng musika .</t>
  </si>
  <si>
    <t>Bạn có thích hát Karaoke không? (Người Philippines cực thích cái này).</t>
  </si>
  <si>
    <t>Mahilig ka ba mag-Videoke ?</t>
  </si>
  <si>
    <t>Wǒ xǐhuān tīng yīnyuè.</t>
  </si>
  <si>
    <t>Bạn hát hay quá!</t>
  </si>
  <si>
    <t>Ang galing niyo kumanta !</t>
  </si>
  <si>
    <t>Cháu thích xem phim hoạt hình.</t>
  </si>
  <si>
    <t>Gusto ko manood ng cartoons .</t>
  </si>
  <si>
    <t>Nǐ xǐhuān chàng kǎlā OK ma?(Fēilǜbīn rén chāo ài chàng kǎlā OK!)</t>
  </si>
  <si>
    <t>Phim này tên là gì ạ?</t>
  </si>
  <si>
    <r>
      <rPr>
        <b/>
        <sz val="11"/>
        <color theme="1"/>
        <rFont val="Arial"/>
      </rPr>
      <t xml:space="preserve">Anong </t>
    </r>
    <r>
      <rPr>
        <b/>
        <sz val="11"/>
        <color rgb="FFFF0000"/>
        <rFont val="Arial"/>
      </rPr>
      <t xml:space="preserve">pamagat </t>
    </r>
    <r>
      <rPr>
        <b/>
        <sz val="11"/>
        <color theme="1"/>
        <rFont val="Arial"/>
      </rPr>
      <t>ng movie na ito ?</t>
    </r>
  </si>
  <si>
    <r>
      <rPr>
        <b/>
        <sz val="11"/>
        <color theme="1"/>
        <rFont val="Arial"/>
      </rPr>
      <t>"Pa mà gạt": Ba (Pa) tôi mà gạt tay làm rơi cuốn sách thì cái Pamagat (tiêu đề) sẽ bị mờ đi mất.
"Ba mã gạt": Ba tôi lấy cái mã số rồi gạt nó đi để viết lại cái Pamagat (tiêu đề) mới.
"Pha mà gạt": Bạn đang pha trà mà gạt đổ vào bìa sách là hỏng mất cái Pamagat đẹp rồi.
"Phà mã gạt": Trên chiếc phà, con mã (ngựa) lấy chân gạt tấm bảng có cái Pamagat (tựa đề) xuống sông.
"Ba má gạt"</t>
    </r>
    <r>
      <rPr>
        <b/>
        <sz val="11"/>
        <color rgb="FFFF0000"/>
        <rFont val="Arial"/>
      </rPr>
      <t>: Ba má tôi đang gạt bỏ những cái tên cũ để chọn một cái Pamagat thật hay cho cuốn hồi ký.</t>
    </r>
  </si>
  <si>
    <t>Cháu thích chơi điện tử.</t>
  </si>
  <si>
    <t>Gusto ko maglaro ng video games .</t>
  </si>
  <si>
    <t>Nǐ chàng dé zhēn hǎotīng!</t>
  </si>
  <si>
    <t>Bạn có chơi Roblox không?</t>
  </si>
  <si>
    <t>Naglalaro ka ba ng Roblox ?</t>
  </si>
  <si>
    <t>Cháu thích chơi bóng rổ.</t>
  </si>
  <si>
    <t>Gusto ko mag-basketball .</t>
  </si>
  <si>
    <t>Wǒ xǐhuān kàn dònghuà piàn.</t>
  </si>
  <si>
    <t>Sân bóng rổ ở đâu ạ?</t>
  </si>
  <si>
    <t>Nasaan ang basketball court ?</t>
  </si>
  <si>
    <t>Cho cháu chơi cùng với.</t>
  </si>
  <si>
    <t>Pasali naman .</t>
  </si>
  <si>
    <t>Zhè bù diànyǐng jiào shénme míngzì?</t>
  </si>
  <si>
    <t>Đội nào đang thắng thế?</t>
  </si>
  <si>
    <t>Anong team ang nananalo ?</t>
  </si>
  <si>
    <t>Bạn giỏi thể thao quá!</t>
  </si>
  <si>
    <t>Ang galing niyo sa sports !</t>
  </si>
  <si>
    <t>Wǒ xǐhuān wán diànzǐ yóuxì.</t>
  </si>
  <si>
    <t>Cháu thích đi du lịch.</t>
  </si>
  <si>
    <t>Gusto ko mag-travel .</t>
  </si>
  <si>
    <t>Bạn đã đi Boracay chưa?</t>
  </si>
  <si>
    <t>Nakapunta ka na ba sa Boracay ?</t>
  </si>
  <si>
    <t>Nǐ wán Roblox ma?</t>
  </si>
  <si>
    <t>Biển ở đó đẹp lắm.</t>
  </si>
  <si>
    <t>Maganda ang dagat doon .</t>
  </si>
  <si>
    <t>Cháu thích vẽ tranh.</t>
  </si>
  <si>
    <t>Gusto ko mag-drawing .</t>
  </si>
  <si>
    <t>Wǒ xǐhuān dǎ lánqiú.</t>
  </si>
  <si>
    <t>Nhìn bức tranh của cháu này.</t>
  </si>
  <si>
    <t>Tingnan niyo ang drawing ko .</t>
  </si>
  <si>
    <t>Cháu thích đọc sách.</t>
  </si>
  <si>
    <t>Gusto ko magbasa ng libro .</t>
  </si>
  <si>
    <t>Lánqiú chǎng zài nǎlǐ?</t>
  </si>
  <si>
    <t>Bạn có truyện tranh không?</t>
  </si>
  <si>
    <t>May komiks ka ba ?</t>
  </si>
  <si>
    <t>Cháu thích nhảy múa.</t>
  </si>
  <si>
    <t>Gusto ko sumayaw .</t>
  </si>
  <si>
    <t>Wǒ kěyǐ hé nǐ yīqǐ dǎ ma?</t>
  </si>
  <si>
    <t>Bài hát này đang hot trên TikTok.</t>
  </si>
  <si>
    <t>Sikat ang kanta na ito sa TikTok .</t>
  </si>
  <si>
    <t>Chúng mình cùng chụp ảnh nhé.</t>
  </si>
  <si>
    <t>Mag-picture tayo .</t>
  </si>
  <si>
    <t>Nǎ duì yíngle?</t>
  </si>
  <si>
    <t>Cười lên nào!</t>
  </si>
  <si>
    <t>Smile !</t>
  </si>
  <si>
    <t>Gửi ảnh cho tôi nhé.</t>
  </si>
  <si>
    <t>Paki-send ng picture sa akin .</t>
  </si>
  <si>
    <t>Nǐ yùndòng zhēn bàng!</t>
  </si>
  <si>
    <t>Bạn có Facebook không?</t>
  </si>
  <si>
    <t>May Facebook ka ba ?</t>
  </si>
  <si>
    <t>Kết bạn với tôi nhé.</t>
  </si>
  <si>
    <t>Add niyo ako .</t>
  </si>
  <si>
    <t>Wǒ xǐhuān lǚxíng.</t>
  </si>
  <si>
    <t>Bạn thật là vui tính.</t>
  </si>
  <si>
    <t>Ang saya niyo kasama .</t>
  </si>
  <si>
    <t>Cảm ơn vì đã chơi với cháu.</t>
  </si>
  <si>
    <t>Salamat sa pakikipaglaro .</t>
  </si>
  <si>
    <t>Nǐ qùguò zhǎngtān dǎo ma?</t>
  </si>
  <si>
    <t>Hôm nay cháu rất vui.</t>
  </si>
  <si>
    <t>Masaya ako ngayon .</t>
  </si>
  <si>
    <t>Bạn là người bạn tốt nhất của tôi.</t>
  </si>
  <si>
    <t>Ikaw ang best friend ko .</t>
  </si>
  <si>
    <t>Nàlǐ dì hǎitān hěn měi.</t>
  </si>
  <si>
    <t>Đừng quên tôi nhé.</t>
  </si>
  <si>
    <t>Huwag niyo akong kakalimutan .</t>
  </si>
  <si>
    <t>Cháu thích màu gì nhất?</t>
  </si>
  <si>
    <t>Ano paborito ninyong kulay ?</t>
  </si>
  <si>
    <t>Wǒ xǐhuān huà huà.</t>
  </si>
  <si>
    <t>Cháu thích màu xanh lá cây.</t>
  </si>
  <si>
    <t>Gusto ko ng kulay green .</t>
  </si>
  <si>
    <t>Món ăn yêu thích của bạn là gì?</t>
  </si>
  <si>
    <t>Ano paborito ninyong pagkain ?</t>
  </si>
  <si>
    <t>Kàn kàn wǒ de huà!</t>
  </si>
  <si>
    <t>Cháu thích ăn kem.</t>
  </si>
  <si>
    <t>Gusto ko ng ice cream .</t>
  </si>
  <si>
    <t>Đi ăn kem không?</t>
  </si>
  <si>
    <t>Gusto niyo mag-ice cream ?</t>
  </si>
  <si>
    <t>Wǒ xǐhuān dúshū.</t>
  </si>
  <si>
    <t>Cháu thích siêu anh hùng nào?</t>
  </si>
  <si>
    <t>Sinong paborito ninyong superhero ?</t>
  </si>
  <si>
    <t>Cháu thích Người Nhện.</t>
  </si>
  <si>
    <t>Gusto ko kay Spider-Man .</t>
  </si>
  <si>
    <t>Nǐ yǒu mànhuà shū ma?</t>
  </si>
  <si>
    <t>Bạn có thích nuôi thú cưng không?</t>
  </si>
  <si>
    <t>Mahilig ka ba sa pets ?</t>
  </si>
  <si>
    <t>Cháu muốn nuôi một chú chó.</t>
  </si>
  <si>
    <t>Gusto ko magkaroon ng aso .</t>
  </si>
  <si>
    <t>Wǒ xǐhuān tiàowǔ.</t>
  </si>
  <si>
    <t>Con chó của bạn tên là gì?</t>
  </si>
  <si>
    <t>Ano pangalan ng aso niyo ?</t>
  </si>
  <si>
    <t>Nó mấy tuổi rồi?</t>
  </si>
  <si>
    <t>Ilang taon na siya ?</t>
  </si>
  <si>
    <t>Zhè shǒu gē zài TikTok shàng hěn huǒ.</t>
  </si>
  <si>
    <t>Nó có cắn không ạ?</t>
  </si>
  <si>
    <r>
      <rPr>
        <b/>
        <sz val="11"/>
        <color rgb="FFFF0000"/>
        <rFont val="Arial"/>
      </rPr>
      <t xml:space="preserve">Nangangagat </t>
    </r>
    <r>
      <rPr>
        <b/>
        <sz val="11"/>
        <color theme="1"/>
        <rFont val="Arial"/>
      </rPr>
      <t>ba siya ?</t>
    </r>
  </si>
  <si>
    <r>
      <rPr>
        <b/>
        <sz val="11"/>
        <color rgb="FFFF0000"/>
        <rFont val="Arial"/>
      </rPr>
      <t>"Nàng ăn gà tạt": Nàng đang ăn gà bỗng bị con chó tạt qua và Nangangagat (đang cắn) vào tay nàng.</t>
    </r>
    <r>
      <rPr>
        <b/>
        <sz val="11"/>
        <color theme="1"/>
        <rFont val="Arial"/>
      </rPr>
      <t xml:space="preserve">
"Nắng ăn gạt": Trời nắng, bạn đang ăn kem và lấy tay gạt mồ hôi thì bị con ong bay tới Nangangagat (cắn/đốt).
"Nâng gà tát": Bạn định nâng con gà lên thì bị nó tát cánh rồi Nangangagat (cắn) một cái đau điếng.
"Nặng gạ gạt": Một túi đồ rất nặng, bạn gạ bạn mình gạt nó đi để khỏi bị lũ kiến Nangangagat.
"Nàng gạ tạt": Nàng gạ tôi tạt qua nhà chơi nhưng thực ra là để nhờ tôi bắt con chuột đang Nangangagat (cắn phá) đồ đạc.</t>
    </r>
  </si>
  <si>
    <t>Cháu thích đi dạo phố.</t>
  </si>
  <si>
    <r>
      <rPr>
        <b/>
        <sz val="11"/>
        <color theme="1"/>
        <rFont val="Arial"/>
      </rPr>
      <t>Gusto ko</t>
    </r>
    <r>
      <rPr>
        <b/>
        <sz val="11"/>
        <color rgb="FFFF0000"/>
        <rFont val="Arial"/>
      </rPr>
      <t xml:space="preserve"> mag-gala</t>
    </r>
    <r>
      <rPr>
        <b/>
        <sz val="11"/>
        <color theme="1"/>
        <rFont val="Arial"/>
      </rPr>
      <t xml:space="preserve"> .</t>
    </r>
  </si>
  <si>
    <r>
      <rPr>
        <b/>
        <sz val="11"/>
        <color theme="1"/>
        <rFont val="Arial"/>
      </rPr>
      <t xml:space="preserve">Mẹo 1: "Mặc Ga-la"
Câu chuyện: Bạn phải mặc đồ thật đẹp như đi dự tiệc Gala thì mới chịu đi Mag-gala (đi chơi, dạo phố) với người yêu.
Mẹo 2: "Mắc gà lạ"
Câu chuyện: Đang đi Mag-gala (đi dạo) tung tăng trong vườn, bỗng chân bạn bị mắc vào một con gà lạ khiến bạn suýt ngã.
Mẹo 3: "Mát ga là..."
Câu chuyện: Chỉ cần nhấn mát ga là xe phóng đi ngay, chúng ta cùng đi Mag-gala (đi ngao du) khắp thế gian nào!
Mẹo 4: "Mặc gà lạ"
Câu chuyện: Có một con </t>
    </r>
    <r>
      <rPr>
        <b/>
        <sz val="11"/>
        <color rgb="FFFF0000"/>
        <rFont val="Arial"/>
      </rPr>
      <t>gà thích mặc bộ đồ lạ lẫm để đi Mag-gala (đi rông) khắp xóm</t>
    </r>
    <r>
      <rPr>
        <b/>
        <sz val="11"/>
        <color theme="1"/>
        <rFont val="Arial"/>
      </rPr>
      <t xml:space="preserve"> mà không sợ ai nhận ra.
Mẹo 5: "Má gả là..."
Câu chuyện: Ngày xưa, hễ má gả con đi là con hết được tự do đi Mag-gala (đi chơi bời) với đám bạn thân nữa.</t>
    </r>
  </si>
  <si>
    <t>Wǒmen yīqǐ pāi zhāng zhào ba!</t>
  </si>
  <si>
    <t>Ở đây có công viên giải trí không?</t>
  </si>
  <si>
    <t>May amusement park ba rito ?</t>
  </si>
  <si>
    <t>Cháu thích đi tàu lượn siêu tốc.</t>
  </si>
  <si>
    <t>Gusto ko ng roller coaster .</t>
  </si>
  <si>
    <t>Xiào yīgè!</t>
  </si>
  <si>
    <t>Bạn thật là dũng cảm!</t>
  </si>
  <si>
    <r>
      <rPr>
        <b/>
        <sz val="11"/>
        <color theme="1"/>
        <rFont val="Arial"/>
      </rPr>
      <t xml:space="preserve">Ang </t>
    </r>
    <r>
      <rPr>
        <b/>
        <sz val="11"/>
        <color rgb="FFFF0000"/>
        <rFont val="Arial"/>
      </rPr>
      <t xml:space="preserve">tapang </t>
    </r>
    <r>
      <rPr>
        <b/>
        <sz val="11"/>
        <color theme="1"/>
        <rFont val="Arial"/>
      </rPr>
      <t>niyo !</t>
    </r>
  </si>
  <si>
    <r>
      <rPr>
        <b/>
        <sz val="11"/>
        <color rgb="FFFF0000"/>
        <rFont val="Arial"/>
      </rPr>
      <t>"Ta phang": Một người anh hùng dũng cảm hô to: "Ta phang hết bọn quái vật này!" để thể hiện lòng Tapang.</t>
    </r>
    <r>
      <rPr>
        <b/>
        <sz val="11"/>
        <color theme="1"/>
        <rFont val="Arial"/>
      </rPr>
      <t xml:space="preserve">
"Tả phăng": Anh ta dũng cảm đến mức cầm bút tả phăng phắc những sự thật mà không sợ ai đe dọa.
"Tạ nặng": Muốn có sức mạnh và lòng Tapang, bạn phải nhấc những khối tạ nặng mỗi ngày.
"Tạt ngang": Con hổ dũng cảm tạt ngang qua dòng suối dữ để săn mồi.</t>
    </r>
  </si>
  <si>
    <t>Chúng mình sẽ gặp lại nhau chứ?</t>
  </si>
  <si>
    <t>Magkikita pa ba tayo ulit ?</t>
  </si>
  <si>
    <t>Gěi wǒ fā zhāng zhàopiàn!</t>
  </si>
  <si>
    <t>Nhớ nhắn tin cho cháu nhé.</t>
  </si>
  <si>
    <t>Message niyo ako ha .</t>
  </si>
  <si>
    <t>Nǐ yǒu Facebook ma?</t>
  </si>
  <si>
    <t>Jiā wǒ hǎoyǒu ba!</t>
  </si>
  <si>
    <t>Nǐ zhēn yōumò!</t>
  </si>
  <si>
    <t xml:space="preserve"> Xièxiè nǐ péi wǒ wán.</t>
  </si>
  <si>
    <t xml:space="preserve"> Wǒ jīntiān hǎo kāixīn!</t>
  </si>
  <si>
    <t>Nǐ shì wǒ zuì hǎo de péngyǒu.</t>
  </si>
  <si>
    <t>Bié wàngle wǒ.</t>
  </si>
  <si>
    <t>Nǐ zuì xǐhuān de yánsè shì shénme?</t>
  </si>
  <si>
    <t>Wǒ xǐhuān lǜsè.</t>
  </si>
  <si>
    <t>Nǐ zuì xǐhuān de shíwù shì shénme?</t>
  </si>
  <si>
    <t>Wǒ xǐhuān bīngqílín.</t>
  </si>
  <si>
    <t>Xiǎng qù chī bīngqílín ma?</t>
  </si>
  <si>
    <t>Nǐ zuì xǐhuān de chāojí yīngxióng shì shéi?</t>
  </si>
  <si>
    <t>Wǒ xǐhuān zhīzhū xiá.</t>
  </si>
  <si>
    <t>Nǐ xǐhuān yǎng chǒngwù ma?</t>
  </si>
  <si>
    <t>Wǒ xiǎng yǎng yī zhǐ gǒu.</t>
  </si>
  <si>
    <t>Nǐ de gǒu jiào shénme míngzì?</t>
  </si>
  <si>
    <t>Tā duōdàle?</t>
  </si>
  <si>
    <t>Tā huì yǎo rén ma?</t>
  </si>
  <si>
    <t>Wǒ xǐhuān sànbù.</t>
  </si>
  <si>
    <t>Zhè fùjìn yǒu yóu lèyuán ma?</t>
  </si>
  <si>
    <t>Wǒ xǐhuān zuò guòshānchē.</t>
  </si>
  <si>
    <t>Nǐ zhēn yǒnggǎn!</t>
  </si>
  <si>
    <t>Wǒmen hái huì zài jiànmiàn ma?</t>
  </si>
  <si>
    <t>Jìdé gěi wǒ fā duǎnxìn!</t>
  </si>
  <si>
    <t>Chủ đề 9: Gia đình và Các mối quan hệ (50 câu)</t>
  </si>
  <si>
    <t>Đây là gia đình của cháu.</t>
  </si>
  <si>
    <t>Ito ang pamilya ko .</t>
  </si>
  <si>
    <t>Zhè shì wǒ de jiārén.</t>
  </si>
  <si>
    <t>Cháu yêu bố mẹ lắm.</t>
  </si>
  <si>
    <t>Mahal ko ang mga magulang ko .</t>
  </si>
  <si>
    <t>Bố cháu tên là gì?</t>
  </si>
  <si>
    <t>Ano pangalan ng Tatay mo ?</t>
  </si>
  <si>
    <t>Wǒ fēicháng ài wǒ de fùmǔ.</t>
  </si>
  <si>
    <t>Mẹ cháu đang nấu ăn.</t>
  </si>
  <si>
    <t>Nagluluto si Nanay .</t>
  </si>
  <si>
    <t>Cháu có một anh trai.</t>
  </si>
  <si>
    <t>May isa akong Kuya .</t>
  </si>
  <si>
    <t>Wǒ bàba jiào shénme míngzì?</t>
  </si>
  <si>
    <t>Chị gái cháu rất xinh.</t>
  </si>
  <si>
    <t>Maganda ang Ate ko .</t>
  </si>
  <si>
    <t>Em út của cháu còn nhỏ.</t>
  </si>
  <si>
    <t>Bata pa ang Bunso namin .</t>
  </si>
  <si>
    <t>Wǒ māmā zài zuò fàn.</t>
  </si>
  <si>
    <t>Ông nội/ngoại đang nghỉ ngơi.</t>
  </si>
  <si>
    <t>Nagpapahinga si Lolo .</t>
  </si>
  <si>
    <t>Bà nội/ngoại kể chuyện rất hay.</t>
  </si>
  <si>
    <t>Magaling magkwento si Lola .</t>
  </si>
  <si>
    <t>Wǒ yǒu yīgè gēgē.</t>
  </si>
  <si>
    <t>Cháu chào ông bà ạ (thực hiện nghi thức lễ phép).</t>
  </si>
  <si>
    <t>Mano , Lolo / Lola .</t>
  </si>
  <si>
    <t>Chú/Bác trai ơi, cháu đây ạ.</t>
  </si>
  <si>
    <t>Tito , nandito ako .</t>
  </si>
  <si>
    <t>Wǒ jiějiě hěn piàoliang.</t>
  </si>
  <si>
    <t>Cô/Dì ơi, cháu đói rồi.</t>
  </si>
  <si>
    <t>Tita , gutom na ako .</t>
  </si>
  <si>
    <t>Anh em họ của cháu rất vui tính.</t>
  </si>
  <si>
    <r>
      <rPr>
        <b/>
        <sz val="11"/>
        <color theme="1"/>
        <rFont val="Arial"/>
      </rPr>
      <t xml:space="preserve">Masayahin ang mga </t>
    </r>
    <r>
      <rPr>
        <b/>
        <sz val="11"/>
        <color rgb="FFFF0000"/>
        <rFont val="Arial"/>
      </rPr>
      <t xml:space="preserve">pinsan </t>
    </r>
    <r>
      <rPr>
        <b/>
        <sz val="11"/>
        <color theme="1"/>
        <rFont val="Arial"/>
      </rPr>
      <t>ko .</t>
    </r>
  </si>
  <si>
    <t>Mẹo ghi nhớ (Mnemonics): * Hãy tưởng tượng bạn và người anh em họ đang cầm cục Pin chạy nhảy ngoài Sân.
Ghép âm: Pin + Sân = Pinsan.</t>
  </si>
  <si>
    <t>Wǒ zuìxiǎo de dìdì mèimei hái xiǎo.</t>
  </si>
  <si>
    <t>Nhà bạn có bao nhiêu người?</t>
  </si>
  <si>
    <t>Ilan kayo sa pamilya ?</t>
  </si>
  <si>
    <t>Nhà cháu có 5 người ạ.</t>
  </si>
  <si>
    <t>Lima kami sa pamilya .</t>
  </si>
  <si>
    <t>Wǒ de yéyé/wàigōng zhèngzài xiūxí.</t>
  </si>
  <si>
    <t>Cháu là con cả.</t>
  </si>
  <si>
    <r>
      <rPr>
        <b/>
        <sz val="11"/>
        <color rgb="FFFF0000"/>
        <rFont val="Arial"/>
      </rPr>
      <t xml:space="preserve">Panganay </t>
    </r>
    <r>
      <rPr>
        <b/>
        <sz val="11"/>
        <color theme="1"/>
        <rFont val="Arial"/>
      </rPr>
      <t>ako .</t>
    </r>
  </si>
  <si>
    <r>
      <rPr>
        <sz val="11"/>
        <color theme="1"/>
        <rFont val="Calibri"/>
      </rPr>
      <t xml:space="preserve">Con cả trong nhà hôm Nay bị bố Phang cho một trận vì tội không bảo ban em.
Anh Con cả cầm gậy Phang quả bóng bay Nay đã bay cao vút.
Nay (hôm nay), anh Panganay (con cả) ra tay Phang con sâu đục thân cây trong vườn.
Vì là Con cả, anh ấy phải Phang (làm) hết việc nặng hôm Nay.
Cảnh </t>
    </r>
    <r>
      <rPr>
        <sz val="11"/>
        <color rgb="FFFF0000"/>
        <rFont val="Calibri"/>
      </rPr>
      <t>anh Con cả vung tay Phang quả cực mạnh để bảo vệ các em mình hôm Nay.</t>
    </r>
  </si>
  <si>
    <t>Cháu là con thứ.</t>
  </si>
  <si>
    <r>
      <rPr>
        <b/>
        <sz val="11"/>
        <color rgb="FFFF0000"/>
        <rFont val="Arial"/>
      </rPr>
      <t xml:space="preserve">Gitnang </t>
    </r>
    <r>
      <rPr>
        <b/>
        <sz val="11"/>
        <color theme="1"/>
        <rFont val="Arial"/>
      </rPr>
      <t>anak ako .</t>
    </r>
  </si>
  <si>
    <t>Gitna (Ở giữa/Miền trung)
Từ gốc: Gitna (từ gốc của "Gitnang")
Âm thanh tương tự: "Gít" (rít) + "Nặng"
5 Mẹo ghi nhớ:
Đứng ở Giữa đám đông nên bị chèn ép, thở Gít lên những hơi Nặng nề.
Chiếc xe phanh Gít một tiếng Nặng ngay Giữa ngã tư đường.
Khi đặt vật Nặng vào Giữa cái khe, nó kêu Gít lên một tiếng.
Cảm giác bị Gít chặt vì cái bao Nặng đang đè ngay Giữa lưng.
Bạn đang cố Gít (rít) một hơi thuốc thật Nặng khi đứng Giữa tâm bão.</t>
  </si>
  <si>
    <t>Wǒ de nǎinai/wàipó hěn huì jiǎng gùshì.</t>
  </si>
  <si>
    <t>Bố mẹ bạn làm nghề gì?</t>
  </si>
  <si>
    <t>Ano trabaho ng mga magulang mo ?</t>
  </si>
  <si>
    <t>Bố cháu là kỹ sư.</t>
  </si>
  <si>
    <t>Engineer ang Tatay ko .</t>
  </si>
  <si>
    <t>Yéyé/wàigōng wàipó, wǒ xiàng nín wènhǎo (xíng lǐmào de wènhòu).</t>
  </si>
  <si>
    <t>Mẹ cháu ở nhà nội trợ.</t>
  </si>
  <si>
    <t>Housewife ang Nanay ko .</t>
  </si>
  <si>
    <t>Cháu rất nhớ nhà.</t>
  </si>
  <si>
    <t>Miss ko na ang bahay namin .</t>
  </si>
  <si>
    <t>Shūshu/āyí, shì wǒ.</t>
  </si>
  <si>
    <t>Cháu muốn gọi điện cho mẹ.</t>
  </si>
  <si>
    <t>Gusto ko tawagan si Nanay .</t>
  </si>
  <si>
    <t>Bạn có khỏe không, bố?</t>
  </si>
  <si>
    <t>Tatay , kumusta kayo ?</t>
  </si>
  <si>
    <t>Āyí/āyí, wǒ èle.</t>
  </si>
  <si>
    <t>Chúc mừng sinh nhật chị nhé!</t>
  </si>
  <si>
    <t>Happy Birthday , Ate !</t>
  </si>
  <si>
    <t>Đây là ảnh gia đình cháu.</t>
  </si>
  <si>
    <t>Ito ang picture ng pamilya ko .</t>
  </si>
  <si>
    <t>Wǒ de táng xiōngdì jiěmèimen hěn yōumò.</t>
  </si>
  <si>
    <t>Nhà cháu sống ở Việt Nam.</t>
  </si>
  <si>
    <t>Sa Vietnam nakatira ang pamilya ko .</t>
  </si>
  <si>
    <t>Cháu về thăm nhà vào mùa hè.</t>
  </si>
  <si>
    <t>Uuuwi ako sa summer .</t>
  </si>
  <si>
    <t>Nǐ jiā yǒu jǐ kǒu rén?</t>
  </si>
  <si>
    <t>Gia đình là trên hết.</t>
  </si>
  <si>
    <t>Pamilya ang muna sa lahat .</t>
  </si>
  <si>
    <t>Cháu thích ăn cơm cùng gia đình.</t>
  </si>
  <si>
    <t>Gusto ko sumabay kumain sa pamilya .</t>
  </si>
  <si>
    <t>Wǒjiā yǒu 5 kǒu rén.</t>
  </si>
  <si>
    <t>Bố cháu nấu món Adobo rất ngon.</t>
  </si>
  <si>
    <t>Masarap magluto ng Adobo ang Tatay ko .</t>
  </si>
  <si>
    <t>Chị cháu đang học đại học.</t>
  </si>
  <si>
    <r>
      <rPr>
        <b/>
        <sz val="11"/>
        <color rgb="FFFF0000"/>
        <rFont val="Arial"/>
      </rPr>
      <t>Nag-college</t>
    </r>
    <r>
      <rPr>
        <b/>
        <sz val="11"/>
        <color theme="1"/>
        <rFont val="Arial"/>
      </rPr>
      <t xml:space="preserve"> ang Ate ko .</t>
    </r>
  </si>
  <si>
    <t>Wǒ shì lǎodà.</t>
  </si>
  <si>
    <t>Em trai cháu rất nghịch ngợm.</t>
  </si>
  <si>
    <r>
      <rPr>
        <b/>
        <sz val="11"/>
        <color theme="1"/>
        <rFont val="Arial"/>
      </rPr>
      <t xml:space="preserve">Makulit ang </t>
    </r>
    <r>
      <rPr>
        <b/>
        <sz val="11"/>
        <color rgb="FFFF0000"/>
        <rFont val="Arial"/>
      </rPr>
      <t xml:space="preserve">ading </t>
    </r>
    <r>
      <rPr>
        <b/>
        <sz val="11"/>
        <color theme="1"/>
        <rFont val="Arial"/>
      </rPr>
      <t>/ kapatid ko .</t>
    </r>
  </si>
  <si>
    <r>
      <rPr>
        <b/>
        <sz val="11"/>
        <color theme="1"/>
        <rFont val="Arial"/>
      </rPr>
      <t xml:space="preserve">"A! Đứa Em đang chơi ở ngoài mái Đình kìa!"
</t>
    </r>
    <r>
      <rPr>
        <b/>
        <sz val="11"/>
        <color rgb="FFFF0000"/>
        <rFont val="Arial"/>
      </rPr>
      <t>Mỗi lần thấy đứa Em, tôi lại thốt lên "A" và dắt nó ra Đình làng.</t>
    </r>
    <r>
      <rPr>
        <b/>
        <sz val="11"/>
        <color theme="1"/>
        <rFont val="Arial"/>
      </rPr>
      <t xml:space="preserve">
Đứa Ading (em) đang chạy quanh cái Đình và reo "A, A".
Tôi và Em cùng trốn tìm ở phía sau ngôi Đình cũ, kêu "A" khi tìm thấy nhau.
Hình ảnh đứa Em nhỏ cầm chữ A đứng trước cổng Đình.</t>
    </r>
  </si>
  <si>
    <t>Cháu giúp mẹ rửa bát.</t>
  </si>
  <si>
    <t>Tinutulungan ko si Nanay maghugas ng plato .</t>
  </si>
  <si>
    <t>Wǒ shì lǎo èr.</t>
  </si>
  <si>
    <t>Cháu đi chơi với anh trai.</t>
  </si>
  <si>
    <t>Lalabas kami ni Kuya .</t>
  </si>
  <si>
    <t>Bạn có người yêu chưa?  (Hỏi vui thôi nhé!).</t>
  </si>
  <si>
    <t>May boyfriend ka na ba ?</t>
  </si>
  <si>
    <t>Nǐ fùmǔ shì zuò shénme gōngzuò de?</t>
  </si>
  <si>
    <t>Cháu vẫn còn nhỏ mà.</t>
  </si>
  <si>
    <t>Bata pa ako .</t>
  </si>
  <si>
    <t>Bạn tốt với cháu quá.</t>
  </si>
  <si>
    <t>Ang bait niyo sa akin .</t>
  </si>
  <si>
    <t>Wǒ bàba shì gōngchéngshī.</t>
  </si>
  <si>
    <t>Coi cháu như con cháu trong nhà nhé.</t>
  </si>
  <si>
    <t>Ituring niyo akong kapamilya .</t>
  </si>
  <si>
    <t>Cháu rất hạnh phúc.</t>
  </si>
  <si>
    <t>Wǒ māmā shì quánzhí jiātíng zhǔfù.</t>
  </si>
  <si>
    <t>Cảm ơn vì đã chăm sóc cháu.</t>
  </si>
  <si>
    <t>Salamat sa pag-aalaga sa akin .</t>
  </si>
  <si>
    <t>Nhà bạn có nuôi chó không?</t>
  </si>
  <si>
    <t>May aso ba kayo sa bahay ?</t>
  </si>
  <si>
    <t>Wǒ hěn xiǎng jiā.</t>
  </si>
  <si>
    <t>Con chó cũng là thành viên gia đình.</t>
  </si>
  <si>
    <t>Member din ng pamilya ang aso .</t>
  </si>
  <si>
    <t>Cháu đi ngủ cùng em gái.</t>
  </si>
  <si>
    <t>Katabi ko matulog ang kapatid ko .</t>
  </si>
  <si>
    <t>Wǒ xiǎng gěi māmā dǎ diànhuà.</t>
  </si>
  <si>
    <t>Bố cháu dạy cháu đá bóng.</t>
  </si>
  <si>
    <t>Tinuturuan ako ni Tatay mag-football .</t>
  </si>
  <si>
    <t>Mẹ cháu dạy cháu nấu ăn.</t>
  </si>
  <si>
    <t>Tinuturuan ako ni Nanay magluto .</t>
  </si>
  <si>
    <t>Bàba, nín hǎo ma?</t>
  </si>
  <si>
    <t>Cháu yêu mọi người rất nhiều.</t>
  </si>
  <si>
    <t>Mahal na mahal ko kayong lahat .</t>
  </si>
  <si>
    <t>Đừng cãi nhau nhé.</t>
  </si>
  <si>
    <t>Huwag kayong mag-away .</t>
  </si>
  <si>
    <t>Jiějiě, shēngrì kuàilè!</t>
  </si>
  <si>
    <t>Hãy giúp đỡ lẫn nhau.</t>
  </si>
  <si>
    <t>Magtulungan tayo .</t>
  </si>
  <si>
    <t>Cháu tự hào về gia đình mình.</t>
  </si>
  <si>
    <t>Proud ako sa pamilya ko .</t>
  </si>
  <si>
    <t>Zhè shì wǒ de quánjiāfú.</t>
  </si>
  <si>
    <t>Chúc cả nhà ngủ ngon.</t>
  </si>
  <si>
    <t>Good night sa inyong lahat .</t>
  </si>
  <si>
    <t>Wǒ jiāzhù zài yuènán.</t>
  </si>
  <si>
    <t>Wǒ shǔjià huí jiā tànqīn.</t>
  </si>
  <si>
    <t>Jiārén yǒngyuǎn shì dì yī wèi de.</t>
  </si>
  <si>
    <t>Wǒ xǐhuān hé jiārén yīqǐ chīfàn.</t>
  </si>
  <si>
    <t>Wǒ bàba zuò de ādǒu bō (Adobo) hěn hào chī.</t>
  </si>
  <si>
    <t>Wǒ jiějiě zài shàng dàxué.</t>
  </si>
  <si>
    <t>Wǒ dìdì hěn tiáopí.</t>
  </si>
  <si>
    <t>Wǒ bāng māmā xǐ wǎn.</t>
  </si>
  <si>
    <t>Wǒ hé gēgē yīqǐ chūqù wán.</t>
  </si>
  <si>
    <t>Nǐ yǒu nán péngyǒu/nǚ péngyǒu ma?(Kāiwánxiào la!)</t>
  </si>
  <si>
    <t>Wǒ hái xiǎo.</t>
  </si>
  <si>
    <t>Nǐ duì wǒ zhēn hǎo.</t>
  </si>
  <si>
    <t>Qǐng xiàng duìdài qīnshēng háizǐ yīyàng duìdài wǒ.</t>
  </si>
  <si>
    <t>Wǒ hěn kāixīn.</t>
  </si>
  <si>
    <t>Xièxiè nǐ zhàogù wǒ.</t>
  </si>
  <si>
    <t>Nǐ jiā yǒu gǒu ma?</t>
  </si>
  <si>
    <t>Gǒu gǒu yěshì wǒmen jiā de yī fènzǐ.</t>
  </si>
  <si>
    <t>Wǒ hé mèimei yīqǐ shuì.</t>
  </si>
  <si>
    <t>Bàba jiào wǒ tī zúqiú.</t>
  </si>
  <si>
    <t>Māmā jiào wǒ zuò fàn.</t>
  </si>
  <si>
    <t>Wǒ fēicháng ài jiālǐ de měi yīgè rén.</t>
  </si>
  <si>
    <t>Bùyào chǎojià.</t>
  </si>
  <si>
    <t>Hùxiāng bāngzhù.</t>
  </si>
  <si>
    <t xml:space="preserve">Wǒ wèi wǒ de jiārén gǎndào jiāo'ào. </t>
  </si>
  <si>
    <t>Gèwèi wǎn'ān.</t>
  </si>
  <si>
    <t>Chủ đề 10: Tình huống khẩn cấp và Thủ tục (50 câu)</t>
  </si>
  <si>
    <t>Cứu tôi với!</t>
  </si>
  <si>
    <t xml:space="preserve">Saklolo  / Tulong </t>
  </si>
  <si>
    <t>Jiùmìng!</t>
  </si>
  <si>
    <t>Có ai không, giúp cháu với!</t>
  </si>
  <si>
    <t>Tulong ! May tao ba diyan ?</t>
  </si>
  <si>
    <t>Yǒurén ma? Qǐng bāng bāng wǒ!</t>
  </si>
  <si>
    <t>Cháu không biết đường về nhà.</t>
  </si>
  <si>
    <t>Hindi ko alam ang pauwi .</t>
  </si>
  <si>
    <t>Cháu bị mất ví tiền rồi.</t>
  </si>
  <si>
    <t>Nawala ang wallet ko .</t>
  </si>
  <si>
    <t>Cháu bị mất điện thoại.</t>
  </si>
  <si>
    <t>Nawala ang cellphone ko .</t>
  </si>
  <si>
    <t>Có kẻ trộm!</t>
  </si>
  <si>
    <t>May magnanakaw !</t>
  </si>
  <si>
    <t>Wǒ bù zhīdào huí jiā de lù.</t>
  </si>
  <si>
    <t>Gọi cảnh sát giúp cháu!</t>
  </si>
  <si>
    <t>Tumawag kayo ng pulis !</t>
  </si>
  <si>
    <t>Đồn cảnh sát ở đâu ạ?</t>
  </si>
  <si>
    <r>
      <rPr>
        <b/>
        <sz val="11"/>
        <color theme="1"/>
        <rFont val="Arial"/>
      </rPr>
      <t xml:space="preserve">Nasaan ang </t>
    </r>
    <r>
      <rPr>
        <b/>
        <sz val="11"/>
        <color rgb="FFFF0000"/>
        <rFont val="Arial"/>
      </rPr>
      <t xml:space="preserve">presinto </t>
    </r>
    <r>
      <rPr>
        <b/>
        <sz val="11"/>
        <color theme="1"/>
        <rFont val="Arial"/>
      </rPr>
      <t>?</t>
    </r>
  </si>
  <si>
    <r>
      <rPr>
        <b/>
        <sz val="11"/>
        <color rgb="FFFF0000"/>
        <rFont val="Arial"/>
      </rPr>
      <t>Anh Pre (người anh) vào Đồn cảnh sát để Xin lại cái Tô bị mất cắp.</t>
    </r>
    <r>
      <rPr>
        <b/>
        <sz val="11"/>
        <color theme="1"/>
        <rFont val="Arial"/>
      </rPr>
      <t xml:space="preserve">
Tại Presinto, các chiến sĩ cảnh sát đang ngồi Xin mỗi người một Tô phở để ăn đêm.
Muốn vào Đồn cảnh sát, bạn phải gọi "Pre" một tiếng rồi mới được vào Xin cái Tô.
Hình dung cảnh một anh chàng lúng túng đứng trước Presinto chỉ để Xin lại cái Tô kỷ niệm.
Cảnh sát ở Presinto tặng cho mỗi người dân một cái Tô có in chữ "Pre" (anh bạn)</t>
    </r>
  </si>
  <si>
    <t>Wǒ de qiánbāo diūle.</t>
  </si>
  <si>
    <t>Cháu bị đau, giúp cháu với.</t>
  </si>
  <si>
    <t>Nasasaktan ako , tulong .</t>
  </si>
  <si>
    <t>Có tai nạn rồi!</t>
  </si>
  <si>
    <t>May aksidente !</t>
  </si>
  <si>
    <t>Wǒ de shǒujī diūle.</t>
  </si>
  <si>
    <t>Gọi xe cấp cứu ngay!</t>
  </si>
  <si>
    <t>Tumawag ng ambulansya , bilis !</t>
  </si>
  <si>
    <t>Cháu cần đến bệnh viện.</t>
  </si>
  <si>
    <t>Kailangan ko pumunta sa ospital .</t>
  </si>
  <si>
    <t>Yǒu xiǎotōu!</t>
  </si>
  <si>
    <t>Cháu bị ngã xe.</t>
  </si>
  <si>
    <r>
      <rPr>
        <b/>
        <sz val="11"/>
        <color theme="1"/>
        <rFont val="Arial"/>
      </rPr>
      <t xml:space="preserve">Nahulog ako sa motor / </t>
    </r>
    <r>
      <rPr>
        <b/>
        <sz val="11"/>
        <color rgb="FFFF0000"/>
        <rFont val="Arial"/>
      </rPr>
      <t xml:space="preserve">bisikleta </t>
    </r>
    <r>
      <rPr>
        <b/>
        <sz val="11"/>
        <color theme="1"/>
        <rFont val="Arial"/>
      </rPr>
      <t>.</t>
    </r>
  </si>
  <si>
    <r>
      <rPr>
        <b/>
        <sz val="11"/>
        <color rgb="FFFF0000"/>
        <rFont val="Arial"/>
      </rPr>
      <t>Chiếc Xe đạp đang đi thì cán trúng hòn Bi, lốp kêu "Sì" một tiếng ngay Kế bên Ta.</t>
    </r>
    <r>
      <rPr>
        <b/>
        <sz val="11"/>
        <color theme="1"/>
        <rFont val="Arial"/>
      </rPr>
      <t xml:space="preserve">
Ta có một cái Kế hoạch là dùng hòn Bi để sửa tiếng kêu "Sì" trên chiếc Xe đạp.
Khi đạp Bisikleta, hòn Bi ở ổ trục kêu "Sì" làm Ta phải dừng lại Kế bên đường.
Đừng để hòn Bi làm Sì lốp chiếc Xe đạp thân yêu Kế bên Ta.
Hình dung bạn đang dắt Xe đạp, miệng ngậm viên Bi, thổi tiếng "Sì" trêu người đứng Kế bên Ta.</t>
    </r>
  </si>
  <si>
    <t>Cháu bị chảy máu rồi.</t>
  </si>
  <si>
    <t>May dugo / Nagdudugo ako .</t>
  </si>
  <si>
    <t>Bàojǐng!</t>
  </si>
  <si>
    <t>Đừng chạm vào cháu!</t>
  </si>
  <si>
    <t>Huwag niyo akong hawakan !</t>
  </si>
  <si>
    <t>Tránh xa cháu ra!</t>
  </si>
  <si>
    <t>Layo kayo sa akin !</t>
  </si>
  <si>
    <t>Jǐngchá jú zài nǎlǐ?</t>
  </si>
  <si>
    <t>Cháu muốn gọi điện cho bố mẹ.</t>
  </si>
  <si>
    <t>Gusto ko tawagan ang parents ko .</t>
  </si>
  <si>
    <t>Đây là số điện thoại của bố cháu.</t>
  </si>
  <si>
    <t>Ito ang number ng Tatay ko .</t>
  </si>
  <si>
    <t>Wǒ hǎo tòng, qǐng bāng bāng wǒ.</t>
  </si>
  <si>
    <t>Làm ơn giúp cháu gọi số này.</t>
  </si>
  <si>
    <t>Paki-tawag ang number na ito .</t>
  </si>
  <si>
    <t>Cháu bị hỏng xe giữa đường.</t>
  </si>
  <si>
    <t>Nasira ang sasakyan ko .</t>
  </si>
  <si>
    <t>Chū chēhuòle!</t>
  </si>
  <si>
    <t>Có ai biết sửa xe không ạ?</t>
  </si>
  <si>
    <t>May marunong ba mag-ayos ng sasakyan ?</t>
  </si>
  <si>
    <t>Cháu bị hết xăng rồi.</t>
  </si>
  <si>
    <t>Naubusan ako ng gasolina .</t>
  </si>
  <si>
    <t>Lìjí jiào jiùhù chē!</t>
  </si>
  <si>
    <t>Cây xăng gần nhất ở đâu?</t>
  </si>
  <si>
    <t>Nasaan ang gasolinahan ?</t>
  </si>
  <si>
    <t>Cháu bị mất hộ chiếu (Passport).</t>
  </si>
  <si>
    <t>Nawala ang passport ko .</t>
  </si>
  <si>
    <t>Wǒ xūyào qù yīyuàn.</t>
  </si>
  <si>
    <t>Đại sứ quán Việt Nam ở đâu?</t>
  </si>
  <si>
    <t>Nasaan ang Vietnam Embassy ?</t>
  </si>
  <si>
    <t>Cháu cần làm lại giấy tờ.</t>
  </si>
  <si>
    <t>Kailangan ko mag-ayos ng documents .</t>
  </si>
  <si>
    <t>Wǒ cóng zìxíngchē shàng shuāi xiàláile.</t>
  </si>
  <si>
    <t>Văn phòng nhập cư ở đâu?</t>
  </si>
  <si>
    <t>Nasaan ang Immigration office ?</t>
  </si>
  <si>
    <t>Cháu cần gia hạn Visa.</t>
  </si>
  <si>
    <t>Magpapa-extend ako ng Visa .</t>
  </si>
  <si>
    <t>Wǒ liúxuèle.</t>
  </si>
  <si>
    <t>Phí bao nhiêu tiền ạ?</t>
  </si>
  <si>
    <t>Magkano ang bayad ?</t>
  </si>
  <si>
    <t>Cháu phải đợi bao lâu?</t>
  </si>
  <si>
    <t>Gaano katagal maghihintay ?</t>
  </si>
  <si>
    <t>Bié pèng wǒ!</t>
  </si>
  <si>
    <t>Có cháy! Cháy nhà rồi!</t>
  </si>
  <si>
    <t>Sunog ! May sunog !</t>
  </si>
  <si>
    <t>Chạy mau đi!</t>
  </si>
  <si>
    <t>Takbo na ! Bilis !</t>
  </si>
  <si>
    <t>Lí wǒ yuǎn diǎn!</t>
  </si>
  <si>
    <t>Đừng mang theo đồ đạc, chạy thôi!</t>
  </si>
  <si>
    <t>Iwan ang gamit , takbo na !</t>
  </si>
  <si>
    <t>Cháu thấy sợ quá.</t>
  </si>
  <si>
    <t>Natatakot ako .</t>
  </si>
  <si>
    <t>Wǒ xiǎng gěi fùmǔ dǎ diànhuà.</t>
  </si>
  <si>
    <t>Đừng khóc, mọi chuyện sẽ ổn thôi.</t>
  </si>
  <si>
    <t>Huwag kang umiyak , magiging okay din ang lahat .</t>
  </si>
  <si>
    <t>Cháu bị dị ứng thức ăn, giúp với!</t>
  </si>
  <si>
    <t>Allergic ako , tulong !</t>
  </si>
  <si>
    <t>Zhè shì wǒ bàba de diànhuà hàomǎ.</t>
  </si>
  <si>
    <t>Cháu không thở được.</t>
  </si>
  <si>
    <r>
      <rPr>
        <b/>
        <sz val="11"/>
        <color theme="1"/>
        <rFont val="Arial"/>
      </rPr>
      <t xml:space="preserve">Hindi ako </t>
    </r>
    <r>
      <rPr>
        <b/>
        <sz val="11"/>
        <color rgb="FFFF0000"/>
        <rFont val="Arial"/>
      </rPr>
      <t xml:space="preserve">makahinga </t>
    </r>
    <r>
      <rPr>
        <b/>
        <sz val="11"/>
        <color theme="1"/>
        <rFont val="Arial"/>
      </rPr>
      <t>.</t>
    </r>
  </si>
  <si>
    <r>
      <rPr>
        <b/>
        <sz val="11"/>
        <color theme="1"/>
        <rFont val="Arial"/>
      </rPr>
      <t xml:space="preserve">Con Ma đang Kha (khạc) ra cái </t>
    </r>
    <r>
      <rPr>
        <b/>
        <sz val="11"/>
        <color rgb="FFFF0000"/>
        <rFont val="Arial"/>
      </rPr>
      <t>Hình bình Ga</t>
    </r>
    <r>
      <rPr>
        <b/>
        <sz val="11"/>
        <color theme="1"/>
        <rFont val="Arial"/>
      </rPr>
      <t xml:space="preserve"> khiến tôi không thể nào Hít thở được.
Thấy con Ma cầm cái Hình bình Ga, tôi sợ quá phải cố gắng lắm mới Makahinga (hít thở) được.
Khi thoát khỏi đám cháy Ga, tôi nhìn thấy Hình con Ma và bắt đầu Hít thở hồng hộc.
Con Ma tên Kha đang cầm cái Hình bình Ga để tập Hít thở.
May quá, bình Ga không nổ nên con Ma vẫn còn Có thể hít thở.</t>
    </r>
  </si>
  <si>
    <t>Cháu bị ong đốt.</t>
  </si>
  <si>
    <r>
      <rPr>
        <b/>
        <sz val="11"/>
        <color theme="1"/>
        <rFont val="Arial"/>
      </rPr>
      <t xml:space="preserve">Kinagat ako ng </t>
    </r>
    <r>
      <rPr>
        <b/>
        <sz val="11"/>
        <color rgb="FFFF0000"/>
        <rFont val="Arial"/>
      </rPr>
      <t>bubuyog</t>
    </r>
    <r>
      <rPr>
        <b/>
        <sz val="11"/>
        <color theme="1"/>
        <rFont val="Arial"/>
      </rPr>
      <t xml:space="preserve"> .</t>
    </r>
  </si>
  <si>
    <r>
      <rPr>
        <b/>
        <sz val="11"/>
        <color theme="1"/>
        <rFont val="Arial"/>
      </rPr>
      <t>Một đàn</t>
    </r>
    <r>
      <rPr>
        <b/>
        <sz val="11"/>
        <color rgb="FFFF0000"/>
        <rFont val="Arial"/>
      </rPr>
      <t xml:space="preserve"> Con ong đang Bu vào Bú hết hộp Yogurt (sữa chua)</t>
    </r>
    <r>
      <rPr>
        <b/>
        <sz val="11"/>
        <color theme="1"/>
        <rFont val="Arial"/>
      </rPr>
      <t xml:space="preserve"> của tôi.
Đừng để Bubuyog (con ong) Bu vào người, nó mà Bú nhầm là đau như ăn Yogurt lạnh đó.
Con Bubuyog này lạ thật, không hút mật hoa mà lại thích Bu vào Bú Yogurt.
Hình dung một con Ong khổng lồ đang cầm thìa ăn Yogurt và kêu "Bu Bu".
Mẹ bảo: "Con Ong kia đang Bu vào lọ Yogurt để Bú sữa kìa!".</t>
    </r>
  </si>
  <si>
    <t>Qǐng bāng wǒ bōdǎ zhège hàomǎ.</t>
  </si>
  <si>
    <t>Có con chó dữ kìa!</t>
  </si>
  <si>
    <t>May matapang na aso !</t>
  </si>
  <si>
    <t>Đừng lại gần nó.</t>
  </si>
  <si>
    <t>Huwag kayong lalapit .</t>
  </si>
  <si>
    <t>Wǒ de zìxíngchē zài lù zhōngjiān pāomáole.</t>
  </si>
  <si>
    <t>Cháu bị mắc kẹt trong thang máy.</t>
  </si>
  <si>
    <t>Na-stuck ako sa elevator .</t>
  </si>
  <si>
    <t>Nhấn nút cứu hộ đi!</t>
  </si>
  <si>
    <r>
      <rPr>
        <b/>
        <sz val="11"/>
        <color rgb="FFFF0000"/>
        <rFont val="Arial"/>
      </rPr>
      <t xml:space="preserve">Pindutin </t>
    </r>
    <r>
      <rPr>
        <b/>
        <sz val="11"/>
        <color theme="1"/>
        <rFont val="Arial"/>
      </rPr>
      <t>ang emergency button !</t>
    </r>
  </si>
  <si>
    <r>
      <rPr>
        <b/>
        <sz val="11"/>
        <color theme="1"/>
        <rFont val="Arial"/>
      </rPr>
      <t>Bạn phải</t>
    </r>
    <r>
      <rPr>
        <b/>
        <sz val="11"/>
        <color rgb="FFFF0000"/>
        <rFont val="Arial"/>
      </rPr>
      <t xml:space="preserve"> Đút viên Pin vào máy rồi mới Nhấn nút gửi Tin nhắn được.</t>
    </r>
    <r>
      <rPr>
        <b/>
        <sz val="11"/>
        <color theme="1"/>
        <rFont val="Arial"/>
      </rPr>
      <t xml:space="preserve">
Để xem được Tin nhắn, hãy Đút cục Pin mới vào và Pindutin (ấn) cái nút nguồn.
Anh ấy đang Đút Pin vào đèn pin và Nhấn nút để báo Tin cho đồng đội.
Cứ mỗi lần Đút viên Pin trúng chỗ là tôi lại muốn Nhấn nút gửi Tin.
Hành động Nhấn nút mạnh đến nỗi viên Pin Đút bên trong suýt rơi ra ngoài lúc đang xem Tin.</t>
    </r>
  </si>
  <si>
    <t>Yǒurén huì xiū zìxíngchē ma?</t>
  </si>
  <si>
    <t>Có ai nghe thấy cháu nói không?</t>
  </si>
  <si>
    <t>May nakakarinig ba sa akin ?</t>
  </si>
  <si>
    <t>Cháu bị mất chìa khóa nhà.</t>
  </si>
  <si>
    <t>Nawala ang susi ng bahay .</t>
  </si>
  <si>
    <t>Wǒ de chē méi yóule.</t>
  </si>
  <si>
    <t>Có ai có chìa khóa dự phòng không?</t>
  </si>
  <si>
    <t>May duplicate key ba kayo ?</t>
  </si>
  <si>
    <t>Cháu cần sự giúp đỡ của bạn.</t>
  </si>
  <si>
    <t>Kailangan ko ng tulong mo .</t>
  </si>
  <si>
    <t>Zuìjìn de jiāyóu zhàn zài nǎlǐ?</t>
  </si>
  <si>
    <t>Cảm ơn bạn đã cứu cháu!</t>
  </si>
  <si>
    <t>Salamat sa pagligtas sa akin !</t>
  </si>
  <si>
    <t>Cháu sẽ không bao giờ quên ơn này.</t>
  </si>
  <si>
    <t>Hindi ko ito makakalimutan .</t>
  </si>
  <si>
    <t>Wǒ de hùzhào diūle.</t>
  </si>
  <si>
    <t>Mọi người đều an toàn rồi.</t>
  </si>
  <si>
    <t>Safe na ang lahat .</t>
  </si>
  <si>
    <t>Yuènán dàshǐ guǎn zài nǎlǐ?</t>
  </si>
  <si>
    <t>Wǒ xūyào chóngxīn bànlǐ zhèngjiàn.</t>
  </si>
  <si>
    <t>Yímín jú zài nǎlǐ?</t>
  </si>
  <si>
    <t xml:space="preserve"> Wǒ xūyào xùqiān qiānzhèng.</t>
  </si>
  <si>
    <t>Fèiyòng shì duōshǎo?</t>
  </si>
  <si>
    <t>Wǒ xūyào děng duōjiǔ?</t>
  </si>
  <si>
    <t>Zháohuǒle! Fángzǐ zháohuǒle!</t>
  </si>
  <si>
    <t>Kuài pǎo!</t>
  </si>
  <si>
    <t>Shénme dōu bié ná, kuài pǎo!</t>
  </si>
  <si>
    <t>Wǒ hǎo hàipà.</t>
  </si>
  <si>
    <t>Bié kū, yīqiè dūhuì hǎo qǐlái de.</t>
  </si>
  <si>
    <t>Wǒ duì shíwù guòmǐn, jiùmìng!</t>
  </si>
  <si>
    <t>Wǒ chuǎn bùguò qì lái.</t>
  </si>
  <si>
    <t>Wǒ bèi mìfēng zhéle.</t>
  </si>
  <si>
    <t>Yǒu tiáo è quǎn!</t>
  </si>
  <si>
    <t>Bié kàojìn tā.</t>
  </si>
  <si>
    <t>Wǒ bèi kùn zài diàntī lǐle.</t>
  </si>
  <si>
    <t>Àn jǐnjí ànniǔ!</t>
  </si>
  <si>
    <t>Yǒurén néng tīng dào wǒ shuōhuà ma?</t>
  </si>
  <si>
    <t>Wǒ de yàoshi diūle.</t>
  </si>
  <si>
    <t>Yǒurén yǒu bèiyòng yàoshi ma?</t>
  </si>
  <si>
    <t>Wǒ xūyào nǐ de bāngzhù.</t>
  </si>
  <si>
    <t>Xièxiè nǐ jiùle wǒ!</t>
  </si>
  <si>
    <t>Wǒ yǒngyuǎn bù huì wàngjì zhè fèn shànyì.</t>
  </si>
  <si>
    <t>Dàjiā dū ānquánle.</t>
  </si>
  <si>
    <t>Chủ đề 11: Ngân hàng, Tiền bạc và GCash (50 câu)</t>
  </si>
  <si>
    <t>Ngân hàng gần nhất ở đâu ạ?</t>
  </si>
  <si>
    <t>Nasaan ang pinakamalapit na bangko ?</t>
  </si>
  <si>
    <t>Zuìjìn de yínháng zài nǎlǐ?</t>
  </si>
  <si>
    <t>Cháu muốn rút tiền.</t>
  </si>
  <si>
    <t>Gusto ko mag-withdraw ng pera .</t>
  </si>
  <si>
    <t>Cây ATM này có hoạt động không?</t>
  </si>
  <si>
    <t>Gumagana ba ang ATM na ito ?</t>
  </si>
  <si>
    <t>Wǒ xiǎng qǔkuǎn.</t>
  </si>
  <si>
    <t>Cháu bị nuốt thẻ rồi!</t>
  </si>
  <si>
    <t>Kinain ang card ko !</t>
  </si>
  <si>
    <t>Cháu cần gặp nhân viên ngân hàng.</t>
  </si>
  <si>
    <t>Kailangan ko makausap ang bank teller .</t>
  </si>
  <si>
    <t>Zhè tái ATM jīnéng yòng ma?</t>
  </si>
  <si>
    <t>Cháu muốn mở một tài khoản.</t>
  </si>
  <si>
    <t>Gusto ko mag-open ng account .</t>
  </si>
  <si>
    <t>Cháu cần giấy tờ gì ạ?</t>
  </si>
  <si>
    <t>Anong mga dokumento ang kailangan ?</t>
  </si>
  <si>
    <t>Wǒ de kǎ bèi tūnle!</t>
  </si>
  <si>
    <t>Cho cháu xin tờ khai.</t>
  </si>
  <si>
    <t>Pahingi ng form .</t>
  </si>
  <si>
    <t>Điền vào đây phải không ạ?</t>
  </si>
  <si>
    <t>Dito ba susulatan ?</t>
  </si>
  <si>
    <t>Wǒ xūyào jiàn yínháng gōngzuò rényuán.</t>
  </si>
  <si>
    <t>Ký tên ở đâu ạ?</t>
  </si>
  <si>
    <t>Saan pipirma ?</t>
  </si>
  <si>
    <t>Cháu muốn đổi tiền lẻ.</t>
  </si>
  <si>
    <t>Pwedeng papalit ng barya ?</t>
  </si>
  <si>
    <t>Wǒ xiǎng kāihù.</t>
  </si>
  <si>
    <t>Cho cháu đổi tờ 1000 sang tờ 100.</t>
  </si>
  <si>
    <t>Papalit ng isang libo sa isandaan .</t>
  </si>
  <si>
    <t>Cháu muốn nạp tiền vào GCash.</t>
  </si>
  <si>
    <t>Magka-cash-in ako sa GCash .</t>
  </si>
  <si>
    <t>Wǒ xūyào nǎxiē wénjiàn?</t>
  </si>
  <si>
    <t>Bác có nhận chuyển khoản GCash không?</t>
  </si>
  <si>
    <t>Tumatanggap ba kayo ng GCash ?</t>
  </si>
  <si>
    <t>Cho cháu xin số GCash của bác.</t>
  </si>
  <si>
    <t>Pahingi ng GCash number ninyo .</t>
  </si>
  <si>
    <t>Qǐng gěi wǒ shēnqǐng biǎo hǎo ma?</t>
  </si>
  <si>
    <t>Cháu đã gửi tiền rồi ạ.</t>
  </si>
  <si>
    <t>Nasend ko na ang pera .</t>
  </si>
  <si>
    <t>Bác kiểm tra xem nhận được chưa?</t>
  </si>
  <si>
    <t>Paki-check kung nakuha na ninyo .</t>
  </si>
  <si>
    <t>Wǒ xūyào zài zhèlǐ tiánxiě ma?</t>
  </si>
  <si>
    <t>Cháu bị hết tiền trong tài khoản rồi.</t>
  </si>
  <si>
    <t>Wala nang laman ang account ko .</t>
  </si>
  <si>
    <t>Cháu muốn kiểm tra số dư.</t>
  </si>
  <si>
    <t>Gusto ko mag-balance check .</t>
  </si>
  <si>
    <t>Wǒ yīnggāi zài nǎlǐ qiānzì?</t>
  </si>
  <si>
    <t>Phí chuyển khoản là bao nhiêu?</t>
  </si>
  <si>
    <t>Magkano ang transfer fee ?</t>
  </si>
  <si>
    <t>Cháu muốn gửi tiền về Việt Nam.</t>
  </si>
  <si>
    <t>Gusto ko magpadala ng pera sa Vietnam .</t>
  </si>
  <si>
    <t>Wǒ xiǎng duìhuàn xiǎo é chāopiào.</t>
  </si>
  <si>
    <t>Tỷ giá hôm nay thế nào ạ?</t>
  </si>
  <si>
    <t>Magkano ang palitan ngayon ?</t>
  </si>
  <si>
    <t>Cháu cần đổi tiền Đô (USD) sang Peso.</t>
  </si>
  <si>
    <t>Magpapapalit ako ng Dollar sa Peso .</t>
  </si>
  <si>
    <t>Qǐngwèn nín néng bāng wǒ bǎ 1000 yuán de chāopiào huàn chéng 100 yuán de chāopiào ma?</t>
  </si>
  <si>
    <t>Tiền này là tiền giả phải không? (Cẩn thận nhé!).</t>
  </si>
  <si>
    <t>Fake money ba ito ?</t>
  </si>
  <si>
    <t>Wǒ xiǎng wǎng wǒ de GCash zhànghù lǐ cún qián.</t>
  </si>
  <si>
    <t>Khóa thẻ giúp cháu với!</t>
  </si>
  <si>
    <t>Paki-block ang card ko !</t>
  </si>
  <si>
    <t>Đừng cho ai biết mã PIN nhé.</t>
  </si>
  <si>
    <r>
      <rPr>
        <b/>
        <sz val="11"/>
        <color theme="1"/>
        <rFont val="Arial"/>
      </rPr>
      <t xml:space="preserve">Huwag </t>
    </r>
    <r>
      <rPr>
        <b/>
        <sz val="11"/>
        <color rgb="FFFF0000"/>
        <rFont val="Arial"/>
      </rPr>
      <t xml:space="preserve">ipamigay </t>
    </r>
    <r>
      <rPr>
        <b/>
        <sz val="11"/>
        <color theme="1"/>
        <rFont val="Arial"/>
      </rPr>
      <t>ang PIN code .</t>
    </r>
  </si>
  <si>
    <r>
      <rPr>
        <b/>
        <sz val="11"/>
        <color theme="1"/>
        <rFont val="Arial"/>
      </rPr>
      <t>Ipamigay (Đem cho/phát đi)
Từ gốc: Bigay (Cho)
Âm thanh tương tự: "Bi gậy" hoặc "Đi biếu gậy"
5 Mẹo ghi nhớ:
Tưởng tượng bạn</t>
    </r>
    <r>
      <rPr>
        <b/>
        <sz val="11"/>
        <color rgb="FFFF0000"/>
        <rFont val="Arial"/>
      </rPr>
      <t xml:space="preserve"> cầm một viên Bi và cái Gậy để ipamigay (đem cho) người nghèo.</t>
    </r>
    <r>
      <rPr>
        <b/>
        <sz val="11"/>
        <color theme="1"/>
        <rFont val="Arial"/>
      </rPr>
      <t xml:space="preserve">
"Đi-bi-gậy": Đi bộ chống gậy để đi phát quà.
Bạn có quá nhiều Bi và Gậy, bạn quyết định ipamigay bớt cho nhẹ túi.
Nghĩ đến cảnh tặng một hộp Bi và một chiếc Gậy làm quà kỷ niệm.
Đọc lái đi: "Cho đi (ipamigay) một món quà Bí mật trong Gậy".</t>
    </r>
  </si>
  <si>
    <t>Nǐmen jiēshòu GCash zhuǎnzhàng ma?</t>
  </si>
  <si>
    <t>Cháu muốn thanh toán hóa đơn.</t>
  </si>
  <si>
    <t>Magbabayad ako ng mga bill .</t>
  </si>
  <si>
    <t>Hóa đơn điện nước tháng này bao nhiêu?</t>
  </si>
  <si>
    <t>Magkano ang kuryente at tubig ngayon ?</t>
  </si>
  <si>
    <t>Qǐngwèn nín néng gàosù wǒ nín de GCash zhànghào ma?</t>
  </si>
  <si>
    <t>Cho cháu xin hóa đơn.</t>
  </si>
  <si>
    <t>Tiền này rách rồi, bác đổi cái khác được không?</t>
  </si>
  <si>
    <r>
      <rPr>
        <b/>
        <sz val="11"/>
        <color rgb="FFFF0000"/>
        <rFont val="Arial"/>
      </rPr>
      <t>Punit</t>
    </r>
    <r>
      <rPr>
        <b/>
        <sz val="11"/>
        <color theme="1"/>
        <rFont val="Arial"/>
      </rPr>
      <t xml:space="preserve"> ito , pwedeng papalit ?</t>
    </r>
  </si>
  <si>
    <r>
      <rPr>
        <b/>
        <sz val="11"/>
        <color theme="1"/>
        <rFont val="Arial"/>
      </rPr>
      <t>Punit (Rách/Xé)
Từ gốc: Punit (Rách)
Âm thanh tương tự: "Phun ít" hoặc "Phu nịt"
5 Mẹo ghi nhớ:
Bạn lỡ là</t>
    </r>
    <r>
      <rPr>
        <b/>
        <sz val="11"/>
        <color rgb="FFFF0000"/>
        <rFont val="Arial"/>
      </rPr>
      <t>m Punit (rách) áo nên chỉ dám Phun ít nước hoa để che vết bẩn.</t>
    </r>
    <r>
      <rPr>
        <b/>
        <sz val="11"/>
        <color theme="1"/>
        <rFont val="Arial"/>
      </rPr>
      <t xml:space="preserve">
Một anh Phu xe làm nịt quần bị Punit (rách).
Tờ giấy bị Punit (rách) nát khi bạn Phun mực vào nó.
"Punit - Phun ít": Xé rách tờ hóa đơn vì chỉ muốn trả ít tiền.
Hình ảnh con gấu Phun lửa làm Punit (rách) bức màn.</t>
    </r>
  </si>
  <si>
    <t>Wǒ yǐjīng huìkuǎnle.</t>
  </si>
  <si>
    <t>Cháu có ít tiền tiết kiệm.</t>
  </si>
  <si>
    <t>May konti akong ipon .</t>
  </si>
  <si>
    <t>Cháu muốn mua heo đất.</t>
  </si>
  <si>
    <r>
      <rPr>
        <b/>
        <sz val="11"/>
        <color theme="1"/>
        <rFont val="Arial"/>
      </rPr>
      <t xml:space="preserve">Gusto ko bumili ng </t>
    </r>
    <r>
      <rPr>
        <b/>
        <sz val="11"/>
        <color rgb="FFFF0000"/>
        <rFont val="Arial"/>
      </rPr>
      <t xml:space="preserve">alkansya </t>
    </r>
    <r>
      <rPr>
        <b/>
        <sz val="11"/>
        <color theme="1"/>
        <rFont val="Arial"/>
      </rPr>
      <t>.</t>
    </r>
  </si>
  <si>
    <r>
      <rPr>
        <b/>
        <sz val="11"/>
        <color theme="1"/>
        <rFont val="Arial"/>
      </rPr>
      <t xml:space="preserve">Alkansya (Ống tiết kiệm/Heo đất)
Từ gốc: Alkansya (Ống tiền)
Âm thanh tương tự: "Ăn can xa"
5 Mẹo ghi nhớ:
</t>
    </r>
    <r>
      <rPr>
        <b/>
        <sz val="11"/>
        <color rgb="FFFF0000"/>
        <rFont val="Arial"/>
      </rPr>
      <t>Bạn phải nhịn Ăn, xách Can đi thật Xa để kiếm tiền bỏ vào Alkansya.</t>
    </r>
    <r>
      <rPr>
        <b/>
        <sz val="11"/>
        <color theme="1"/>
        <rFont val="Arial"/>
      </rPr>
      <t xml:space="preserve">
Muốn mua cái Can ở Xa, bạn phải chăm bỏ tiền vào Alkansya.
Alkansya giống như một cái Can chứa đầy tiền bạn nhặt được ở Xa.
"Ăn-Can-Xa": Đừng ăn hết, hãy để dành tiền mua cái Can để ở xa (góc nhà).
Tưởng tượng con heo đất (alkansya) đang ăn những cái can nhựa từ xa.</t>
    </r>
  </si>
  <si>
    <t>Qǐngwèn nín néng bāng wǒ quèrèn yīxià shìfǒu shōu dào ma?</t>
  </si>
  <si>
    <t>Cho cháu xin ít tiền lẻ đi xe Jeepney.</t>
  </si>
  <si>
    <t>Pahingi ng barya para sa Jeepney .</t>
  </si>
  <si>
    <t>Cháu không có tiền mặt ở đây.</t>
  </si>
  <si>
    <t>Wala akong cash dito .</t>
  </si>
  <si>
    <t>Wǒ de zhànghù yú'é bùzú.</t>
  </si>
  <si>
    <t>Bác có nhận quét mã QR không?</t>
  </si>
  <si>
    <t>Pwede bang mag-scan ng QR code ?</t>
  </si>
  <si>
    <t>Cháu gửi tiền thừa ạ.</t>
  </si>
  <si>
    <t>Ito ang sukli ninyo .</t>
  </si>
  <si>
    <t>Wǒ xiǎng cháxún yīxià wǒ de zhànghù yú'é.</t>
  </si>
  <si>
    <t>Cảm ơn bác đã giảm giá.</t>
  </si>
  <si>
    <t>Salamat sa bawas .</t>
  </si>
  <si>
    <t>Cháu sẽ trả tiền vào ngày mai.</t>
  </si>
  <si>
    <t>Magbabayad ako bukas .</t>
  </si>
  <si>
    <t>Zhuǎnzhàng shǒuxù fèi shì duōshǎo?</t>
  </si>
  <si>
    <t>Cháu hứa sẽ trả đúng hạn.</t>
  </si>
  <si>
    <t>Pangako , magbabayad ako sa tamang oras .</t>
  </si>
  <si>
    <t>Cháu nợ bác bao nhiêu tiền?</t>
  </si>
  <si>
    <t>Magkano ang utang ko sa inyo ?</t>
  </si>
  <si>
    <t>Wǒ xiǎng huìkuǎn dào yuènán.</t>
  </si>
  <si>
    <t>Cháu muốn thanh toán hết nợ.</t>
  </si>
  <si>
    <t>Gusto ko na bayaran lahat .</t>
  </si>
  <si>
    <t>Tiền bạc phân minh, ái tình dứt khoát! (Câu này đùa chút thôi!).</t>
  </si>
  <si>
    <r>
      <rPr>
        <sz val="11"/>
        <color rgb="FFFF0000"/>
        <rFont val="Arial"/>
      </rPr>
      <t xml:space="preserve">Malinaw </t>
    </r>
    <r>
      <rPr>
        <sz val="11"/>
        <color theme="1"/>
        <rFont val="Arial"/>
      </rPr>
      <t>dapat sa pera .</t>
    </r>
  </si>
  <si>
    <r>
      <rPr>
        <sz val="11"/>
        <color theme="1"/>
        <rFont val="Arial"/>
      </rPr>
      <t xml:space="preserve">Malinaw (Rõ ràng/Trong trẻo)
Từ gốc: Linaw (Sự rõ ràng)
Âm thanh tương tự: "Má-ly-nao" (Má cầm ly lau)
5 Mẹo ghi nhớ:
Má cầm cái Ly lau cho đến khi nó Malinaw (rõ ràng/trong suốt).
Nước trong Ly của Má rất Malinaw (trong vắt).
Nhìn vào cái Ly của Má, mọi thứ hiện lên thật Malinaw (rõ nét).
</t>
    </r>
    <r>
      <rPr>
        <sz val="11"/>
        <color rgb="FFFF0000"/>
        <rFont val="Arial"/>
      </rPr>
      <t xml:space="preserve">"Má-li-nao": Má bảo hãy nhìn lại (li) cho nao (nào) có Malinaw không?
</t>
    </r>
    <r>
      <rPr>
        <sz val="11"/>
        <color theme="1"/>
        <rFont val="Arial"/>
      </rPr>
      <t xml:space="preserve">
Đeo kính vào, bạn thấy cái Ly của Má trông Malinaw hẳn ra.</t>
    </r>
  </si>
  <si>
    <t>Jīntiān de huìlǜ shì duōshǎo?</t>
  </si>
  <si>
    <t>Cháu phải tiết kiệm tiền.</t>
  </si>
  <si>
    <r>
      <rPr>
        <b/>
        <sz val="11"/>
        <color theme="1"/>
        <rFont val="Arial"/>
      </rPr>
      <t>Kailangan ko mag-</t>
    </r>
    <r>
      <rPr>
        <b/>
        <sz val="11"/>
        <color rgb="FFFF0000"/>
        <rFont val="Arial"/>
      </rPr>
      <t xml:space="preserve">ipon </t>
    </r>
    <r>
      <rPr>
        <b/>
        <sz val="11"/>
        <color theme="1"/>
        <rFont val="Arial"/>
      </rPr>
      <t>ng pera .</t>
    </r>
  </si>
  <si>
    <r>
      <rPr>
        <b/>
        <sz val="11"/>
        <color theme="1"/>
        <rFont val="Arial"/>
      </rPr>
      <t>Ipon (Gom lại/Tiết kiệm)
Từ gốc: Ipon (Tích trữ)
Âm thanh tương tự: "Í-pon" (Í! Bồn)
5 Mẹo ghi nhớ:
Í! Trong cái Bồn này bạn Ipon (gom/tích) được bao nhiêu là tiền lẻ.
Bạn Ipon (tích trữ) nước đầy vào cái Bồn (pon) to.
"Í-pon": Í, có người đang Ipon (gom) rác kìa.
Tưởng tượng bạn đang Ipon (nhặt) những quả bóng (phát âm giống pon) rơi vãi.
"I-pon": I (Tôi)</t>
    </r>
    <r>
      <rPr>
        <b/>
        <sz val="11"/>
        <color rgb="FFFF0000"/>
        <rFont val="Arial"/>
      </rPr>
      <t xml:space="preserve"> đang pon (bòn) rút từng đồng để ipon (tiết kiệm)</t>
    </r>
  </si>
  <si>
    <t>Đừng tiêu xài lãng phí nhé.</t>
  </si>
  <si>
    <r>
      <rPr>
        <b/>
        <sz val="11"/>
        <color theme="1"/>
        <rFont val="Arial"/>
      </rPr>
      <t>Huwag mag-</t>
    </r>
    <r>
      <rPr>
        <b/>
        <sz val="11"/>
        <color rgb="FFFF0000"/>
        <rFont val="Arial"/>
      </rPr>
      <t xml:space="preserve">aksaya </t>
    </r>
    <r>
      <rPr>
        <b/>
        <sz val="11"/>
        <color theme="1"/>
        <rFont val="Arial"/>
      </rPr>
      <t>ng pera .</t>
    </r>
  </si>
  <si>
    <r>
      <rPr>
        <b/>
        <sz val="11"/>
        <color theme="1"/>
        <rFont val="Arial"/>
      </rPr>
      <t xml:space="preserve">Aksaya (Lãng phí)
Từ gốc: Aksaya (Lãng phí)
Âm thanh tương tự: "Ác-xa-ya" (Ác xa ra)
5 Mẹo ghi nhớ:
</t>
    </r>
    <r>
      <rPr>
        <b/>
        <sz val="11"/>
        <color rgb="FFFF0000"/>
        <rFont val="Arial"/>
      </rPr>
      <t xml:space="preserve">Lãng phí (Aksaya) là một hành động rất Ác, hãy tránh Xa nó Ya!
</t>
    </r>
    <r>
      <rPr>
        <b/>
        <sz val="11"/>
        <color theme="1"/>
        <rFont val="Arial"/>
      </rPr>
      <t xml:space="preserve">
Một con quỷ Ác ở phương Xa chuyên đi Aksaya (phá hoại/lãng phí) đồ đạc.
Đừng để cái Ác đi quá Xa, đó là sự Aksaya (lãng phí) cuộc đời.
"Ác-xa-ya": Đứa trẻ Ác vứt đồ Xa ra để Aksaya.
Tưởng tượng bạn ném tiền đi thật Xa, thật là Aksaya.</t>
    </r>
  </si>
  <si>
    <t>Wǒ xūyào bǎ měiyuán duìhuàn chéng bǐsuǒ.</t>
  </si>
  <si>
    <t>Cháu muốn mua một món quà cho mẹ.</t>
  </si>
  <si>
    <t>Bibili ako ng regalo para kay Nanay .</t>
  </si>
  <si>
    <t>Cái này đắt quá cháu không mua nổi.</t>
  </si>
  <si>
    <t>Masyadong mahal , hindi ko kaya .</t>
  </si>
  <si>
    <t xml:space="preserve">Zhè qián shì jiǎbì ma?(Xiǎoxīn!) </t>
  </si>
  <si>
    <t>Cháu rất thích tiền Philippines vì nó nhiều màu.</t>
  </si>
  <si>
    <t>Gusto ko ang pera ng Pilipinas kasi makulay .</t>
  </si>
  <si>
    <t>Chúc bác kiếm được nhiều tiền nhé.</t>
  </si>
  <si>
    <t>Sana marami kayong kitain .</t>
  </si>
  <si>
    <t>Qǐng bāng wǒ suǒdìng kǎ!</t>
  </si>
  <si>
    <t>Tiền không phải là tất cả nhưng rất quan trọng.</t>
  </si>
  <si>
    <t>Hindi lahat ang pera pero mahalaga ito .</t>
  </si>
  <si>
    <t>Bùyào bǎ wǒ de mìmǎ gàosù rènhé rén.</t>
  </si>
  <si>
    <t>Wǒ xiǎng jiǎofèi.</t>
  </si>
  <si>
    <t>Wǒ zhège yuè de shuǐdiàn fèi shì duōshǎo?</t>
  </si>
  <si>
    <t>Néng gěi wǒ yī fèn zhàngdān ma?</t>
  </si>
  <si>
    <t>Zhè zhāng zhàngdān sī pòle, kěyǐ bāng wǒ huàn yī zhāng ma?</t>
  </si>
  <si>
    <t>Wǒ yǒu yīxiē jīxù.</t>
  </si>
  <si>
    <t>Wǒ xiǎng mǎi gè cún qián guàn.</t>
  </si>
  <si>
    <t>Néng gěi wǒ yīxiē língqián zuò jípǔ ní ma?</t>
  </si>
  <si>
    <t>Wǒ zhèlǐ méiyǒu xiànjīn.</t>
  </si>
  <si>
    <t>Nǐmen jiēshòu èr wéi mǎ zhīfù ma?</t>
  </si>
  <si>
    <t>Zhè shì zhǎo líng.</t>
  </si>
  <si>
    <t>Xièxiè nǐmen de zhékòu.</t>
  </si>
  <si>
    <t>Wǒ míngtiān fùkuǎn.</t>
  </si>
  <si>
    <t>Wǒ bǎozhèng ànshí fùkuǎn.</t>
  </si>
  <si>
    <t>Wǒ qiàn nǐmen duōshǎo qián?</t>
  </si>
  <si>
    <t>Wǒ xiǎng huán qīng suǒyǒu zhàiwù.</t>
  </si>
  <si>
    <t>Cáiwù qīngxī, àiqíng guǒduàn!(Kāiwánxiào la!)</t>
  </si>
  <si>
    <t>Wǒ dé cún qián.</t>
  </si>
  <si>
    <t>Bùyào làngfèi.</t>
  </si>
  <si>
    <t>Wǒ xiǎng gěi māmā mǎi fèn lǐwù.</t>
  </si>
  <si>
    <t>Zhè tài guìle, wǒ mǎi bù qǐ.</t>
  </si>
  <si>
    <t>Wǒ fēicháng xǐhuān fēilǜbīn huòbì, yīnwèi tā sècǎi xiānyàn.</t>
  </si>
  <si>
    <t>Zhù nǐ zhuànqián shùnlì.</t>
  </si>
  <si>
    <t>Jīnqián bìngfēi wànnéng, dàn tā fēicháng zhòngyào.</t>
  </si>
  <si>
    <t>Chủ đề 12: Nhà cửa và Thuê nhà (50 câu)</t>
  </si>
  <si>
    <t>Cháu muốn thuê phòng.</t>
  </si>
  <si>
    <t>Gusto ko umupa ng kwarto .</t>
  </si>
  <si>
    <t>Wǒ xiǎng zū yī jiàn fáng.</t>
  </si>
  <si>
    <t>Giá thuê mỗi tháng là bao nhiêu ạ?</t>
  </si>
  <si>
    <t>Magkano ang upa bawat buwan ?</t>
  </si>
  <si>
    <t>Có cần đặt cọc trước không ạ?</t>
  </si>
  <si>
    <t>Kailangan ba ng deposit ?</t>
  </si>
  <si>
    <t>Yuè zūjīn shì duōshǎo?</t>
  </si>
  <si>
    <t>Đặt cọc mấy tháng ạ?</t>
  </si>
  <si>
    <t>Ilang buwan ang deposit ?</t>
  </si>
  <si>
    <t>Phòng này có điều hòa không?</t>
  </si>
  <si>
    <t>May aircon ba ang kwartong ito ?</t>
  </si>
  <si>
    <t>Xūyào yājīn ma?</t>
  </si>
  <si>
    <t>Cháu muốn xem phòng trước.</t>
  </si>
  <si>
    <t>Gusto ko munang makita ang kwarto .</t>
  </si>
  <si>
    <t>Phòng này hơi nhỏ ạ.</t>
  </si>
  <si>
    <t>Medyo maliit ang kwarto .</t>
  </si>
  <si>
    <t>Xūyào jǐ gè yuè de yājīn?</t>
  </si>
  <si>
    <t>Có cửa sổ không ạ?</t>
  </si>
  <si>
    <t>May bintana ba ?</t>
  </si>
  <si>
    <t>Nhà vệ sinh ở đâu ạ?</t>
  </si>
  <si>
    <t>Zhè jiān fáng yǒu kòng diào ma?</t>
  </si>
  <si>
    <t>Có nước nóng để tắm không?</t>
  </si>
  <si>
    <t>May mainit na tubig ba sa shower ?</t>
  </si>
  <si>
    <t>Cháu có thể nấu ăn ở đây không?</t>
  </si>
  <si>
    <t>Pwede bang magluto rito ?</t>
  </si>
  <si>
    <t>Wǒ xiǎng xiān kàn kàn fángjiān.</t>
  </si>
  <si>
    <t>Có chỗ phơi quần áo không ạ?</t>
  </si>
  <si>
    <r>
      <rPr>
        <b/>
        <sz val="11"/>
        <color theme="1"/>
        <rFont val="Arial"/>
      </rPr>
      <t xml:space="preserve">May </t>
    </r>
    <r>
      <rPr>
        <b/>
        <sz val="11"/>
        <color rgb="FFFF0000"/>
        <rFont val="Arial"/>
      </rPr>
      <t xml:space="preserve">sampayan </t>
    </r>
    <r>
      <rPr>
        <b/>
        <sz val="11"/>
        <color theme="1"/>
        <rFont val="Arial"/>
      </rPr>
      <t>ba rito ?</t>
    </r>
  </si>
  <si>
    <r>
      <rPr>
        <b/>
        <sz val="11"/>
        <color theme="1"/>
        <rFont val="Arial"/>
      </rPr>
      <t xml:space="preserve">Sampayan (Dây phơi quần áo)
Từ gốc: Sampay (Phơi đồ)
Âm thanh tương tự: "Sâm-pha-nhàn"
5 Mẹo ghi nhớ:
Vừa uống nước Sâm vừa pha đồ ra Sampayan (dây phơi) thật là nhàn.
Bạn </t>
    </r>
    <r>
      <rPr>
        <b/>
        <sz val="11"/>
        <color rgb="FFFF0000"/>
        <rFont val="Arial"/>
      </rPr>
      <t>treo củ Sâm lên Sampayan để phơi khô.</t>
    </r>
    <r>
      <rPr>
        <b/>
        <sz val="11"/>
        <color theme="1"/>
        <rFont val="Arial"/>
      </rPr>
      <t xml:space="preserve">
"Sâm-pha-nhàn": Đi phơi đồ ở Sampayan mà như đi chơi, rất nhàn.
Những chai nước Sâm được xếp hàng trên giá Sampayan.
Tưởng tượng một cái Sampayan treo đầy những túi trà Sâm.</t>
    </r>
  </si>
  <si>
    <t>Cháu muốn ký hợp đồng.</t>
  </si>
  <si>
    <t>Gusto ko pumirma ng contract .</t>
  </si>
  <si>
    <t>Zhè jiān fáng yǒudiǎn xiǎo.</t>
  </si>
  <si>
    <t>Khi nào cháu có thể chuyển đến?</t>
  </si>
  <si>
    <t>Kailan ako pwedeng lumipat ?</t>
  </si>
  <si>
    <t>Cho cháu xin chìa khóa phòng.</t>
  </si>
  <si>
    <t>Pahingi ng susi ng kwarto .</t>
  </si>
  <si>
    <t>Yǒu chuānghù ma?</t>
  </si>
  <si>
    <t>Bác chủ nhà ơi, vòi nước bị hỏng.</t>
  </si>
  <si>
    <t>Landlord , sira ang gripo .</t>
  </si>
  <si>
    <t>Đèn trong phòng bị cháy rồi.</t>
  </si>
  <si>
    <t>Pundi ang ilaw sa kwarto .</t>
  </si>
  <si>
    <t>Yùshì zài nǎlǐ?</t>
  </si>
  <si>
    <t>Bác gọi thợ sửa giúp cháu với.</t>
  </si>
  <si>
    <t>Paki-tawag ng repairman .</t>
  </si>
  <si>
    <t>Cháu bị mất chìa khóa rồi.</t>
  </si>
  <si>
    <t>Nawala ang susi ko .</t>
  </si>
  <si>
    <t>Yǒu rè shuǐ línyù ma?</t>
  </si>
  <si>
    <t>Bác có chìa khóa dự phòng không?</t>
  </si>
  <si>
    <t>Tối nay cháu có bạn đến chơi.</t>
  </si>
  <si>
    <t>May kaibigan akong bibisita mamaya .</t>
  </si>
  <si>
    <t>Wǒ kěyǐ zài zhèlǐ zuò fàn ma?</t>
  </si>
  <si>
    <t>Bạn cháu có được ở lại qua đêm không?</t>
  </si>
  <si>
    <t>Pwede bang mag-overnight ang kaibigan ko ?</t>
  </si>
  <si>
    <t>Ở đây có an toàn không ạ?</t>
  </si>
  <si>
    <t>Safe ba rito ?</t>
  </si>
  <si>
    <t>Yǒu liàng yīfú dì dìfāng ma?</t>
  </si>
  <si>
    <t>Có bảo vệ trực không ạ?</t>
  </si>
  <si>
    <t>May security guard ba ?</t>
  </si>
  <si>
    <t>Cháu gửi xe máy ở đâu?</t>
  </si>
  <si>
    <t>Saan pwedeng i-park ang motor ?</t>
  </si>
  <si>
    <t>Wǒ xiǎng qiān hétóng.</t>
  </si>
  <si>
    <t>Phí gửi xe là bao nhiêu?</t>
  </si>
  <si>
    <t>Magkano ang parking fee ?</t>
  </si>
  <si>
    <t>Cháu muốn giặt quần áo.</t>
  </si>
  <si>
    <t>Maglalaba ako ng damit .</t>
  </si>
  <si>
    <t>Wǒ shénme shíhòu kěyǐ rùzhù?</t>
  </si>
  <si>
    <t>Tiệm giặt là gần nhất ở đâu?</t>
  </si>
  <si>
    <t>Nasaan ang pinakamalapit na laundry shop ?</t>
  </si>
  <si>
    <t>Cháu cần mua nước bình (nước uống).</t>
  </si>
  <si>
    <t>Oorder ako ng tubig (gallon).</t>
  </si>
  <si>
    <t>Qǐng gěi wǒ fángjiān yàoshi hǎo ma?</t>
  </si>
  <si>
    <t>Cho cháu 2 bình nước đến phòng 302.</t>
  </si>
  <si>
    <t>Dalawang gallon sa room 302 .</t>
  </si>
  <si>
    <t>Đổ rác ở đâu ạ?</t>
  </si>
  <si>
    <t>Saan tinatapon ang basura ?</t>
  </si>
  <si>
    <t>Fángdōng, shuǐlóngtóu huàile.</t>
  </si>
  <si>
    <t>Mấy giờ thì xe rác đến?</t>
  </si>
  <si>
    <t>Anong oras dumating ang truck ng basura ?</t>
  </si>
  <si>
    <t>Cháu muốn lắp mạng Internet.</t>
  </si>
  <si>
    <r>
      <rPr>
        <b/>
        <sz val="11"/>
        <color rgb="FFFF0000"/>
        <rFont val="Arial"/>
      </rPr>
      <t>Magpapakabit</t>
    </r>
    <r>
      <rPr>
        <b/>
        <sz val="11"/>
        <color theme="1"/>
        <rFont val="Arial"/>
      </rPr>
      <t xml:space="preserve"> ako ng internet .</t>
    </r>
  </si>
  <si>
    <r>
      <rPr>
        <b/>
        <sz val="11"/>
        <color theme="1"/>
        <rFont val="Arial"/>
      </rPr>
      <t xml:space="preserve">Magpapakabit (Sẽ lắp đặt/sẽ gắn vào)
Từ gốc: Kabit (Gắn/Kết nối)
Âm thanh tương tự: "Má-pha-cà-bít" (Má pha cà phê bít-tết)
5 Mẹo ghi nhớ:
Má đang pha cà phê và làm bít tết trong khi thợ đang Magpapakabit (lắp đặt) điều hòa.
Bạn Magpapakabit (thuê người lắp) một cái máy pha Cà phê và làm Bít tết.
"Má-pa-ca-bít": Má pa (bảo) con đi ca (hát) rồi bít (vít) ốc để Magpapakabit cái kệ.
Tưởng tượng bạn đang Magpapakabit </t>
    </r>
    <r>
      <rPr>
        <b/>
        <sz val="11"/>
        <color rgb="FFFF0000"/>
        <rFont val="Arial"/>
      </rPr>
      <t>(gắn) một cái biển quảng cáo "Cà phê &amp; Bít tết".</t>
    </r>
    <r>
      <rPr>
        <b/>
        <sz val="11"/>
        <color theme="1"/>
        <rFont val="Arial"/>
      </rPr>
      <t xml:space="preserve">
Anh thợ vừa ăn Bít tết vừa Magpapakabit cái bóng đèn</t>
    </r>
  </si>
  <si>
    <t>Fángjiān lǐ de dēng huàile.</t>
  </si>
  <si>
    <t>Mạng ở đây có nhanh không ạ?</t>
  </si>
  <si>
    <t>Mabilis ba ang internet dito ?</t>
  </si>
  <si>
    <t>Cháu muốn trả tiền phòng tháng này.</t>
  </si>
  <si>
    <t>Magbabayad ako ng upa ngayong buwan .</t>
  </si>
  <si>
    <t>Qǐng nín bāng wǒ jiào gè wéixiū gōng hǎo ma?</t>
  </si>
  <si>
    <t>Cháu có thể trả muộn vài ngày được không?</t>
  </si>
  <si>
    <t>Pwedeng late ng ilang araw ang bayad ?</t>
  </si>
  <si>
    <t>Cảm ơn bác đã thông cảm.</t>
  </si>
  <si>
    <t>Salamat sa pag-unawa .</t>
  </si>
  <si>
    <t>Cháu muốn dọn đi vào tháng sau.</t>
  </si>
  <si>
    <t>Lalipat na ako sa susunod na buwan .</t>
  </si>
  <si>
    <t>Cháu có được lấy lại tiền cọc không?</t>
  </si>
  <si>
    <t>Makukuha ko ba ang deposit ko ?</t>
  </si>
  <si>
    <t>Nín yǒu bèiyòng yàoshi ma?</t>
  </si>
  <si>
    <t>Phòng này ồn quá.</t>
  </si>
  <si>
    <t>Masyadong maingay sa kwartong ito .</t>
  </si>
  <si>
    <t>Hàng xóm hát Karaoke to quá!</t>
  </si>
  <si>
    <t>Masyadong malakas ang videoke ng kapitbahay !</t>
  </si>
  <si>
    <t>Wǒ péngyǒu jīn wǎn yào guòlái.</t>
  </si>
  <si>
    <t>Cháu cần yên tĩnh để ngủ.</t>
  </si>
  <si>
    <t>Kailangan ko ng katahimikan para makatulog .</t>
  </si>
  <si>
    <t>Bác nhắc họ giúp cháu với.</t>
  </si>
  <si>
    <t>Paki-sabi sa kanila .</t>
  </si>
  <si>
    <t>Wǒ péngyǒu kěyǐ liúsù ma?</t>
  </si>
  <si>
    <t>Nhà mình có nuôi gián không ạ? (Hỏi để đề phòng).</t>
  </si>
  <si>
    <t>May mga ipis ba rito ?</t>
  </si>
  <si>
    <t>Cháu cần mua thuốc diệt côn trùng.</t>
  </si>
  <si>
    <t>Bibili ako ng insecticide .</t>
  </si>
  <si>
    <t>Zhèlǐ ānquán ma?</t>
  </si>
  <si>
    <t>Cửa sổ bị kẹt rồi.</t>
  </si>
  <si>
    <t>Stock-up ang bintana .</t>
  </si>
  <si>
    <t>Cháu rất thích ngôi nhà này.</t>
  </si>
  <si>
    <t>Gusto ko ang bahay na ito .</t>
  </si>
  <si>
    <t>Yǒu bǎo'ān zhíbān ma?</t>
  </si>
  <si>
    <t>Bác chủ nhà rất tốt bụng.</t>
  </si>
  <si>
    <t>Napakabait ng landlord .</t>
  </si>
  <si>
    <t>Cháu sẽ giữ gìn nhà sạch sẽ.</t>
  </si>
  <si>
    <t>Pananatilihin ko malinis ang bahay .</t>
  </si>
  <si>
    <t>Wǒ de mótuō chē kěyǐ tíng zài nǎlǐ?</t>
  </si>
  <si>
    <t>Chúc bác một ngày tốt lành.</t>
  </si>
  <si>
    <t>Magandang araw sa inyo .</t>
  </si>
  <si>
    <t xml:space="preserve">Tíngchē fèi duōshǎo? </t>
  </si>
  <si>
    <t>Wǒ xiǎng xǐyīfú.</t>
  </si>
  <si>
    <t>Zuìjìn de zìzhù xǐ yī diàn zài nǎlǐ?</t>
  </si>
  <si>
    <t>Wǒ xū yāo mǎi píngzhuāng shuǐ (yǐnyòng shuǐ).</t>
  </si>
  <si>
    <t>Qǐng sòng liǎng píng shuǐ dào 302 fángjiān.</t>
  </si>
  <si>
    <t>Lèsè yīnggāi rēng dào nǎlǐ?</t>
  </si>
  <si>
    <t>Lèsè chē jǐ diǎn lái?</t>
  </si>
  <si>
    <t>Wǒ xiǎng ānzhuāng wǎngluò.</t>
  </si>
  <si>
    <t>Zhèlǐ de wǎng sù kuài ma?</t>
  </si>
  <si>
    <t>Wǒ xiǎng zhège yuè jiāo fángzū.</t>
  </si>
  <si>
    <t>Wǒ kěyǐ wǎn jǐ tiān jiāo ma?</t>
  </si>
  <si>
    <t>Xièxiè nín de lǐjiě.</t>
  </si>
  <si>
    <t>Wǒ xià gè yuè xiǎng bān zǒu.</t>
  </si>
  <si>
    <t>Wǒ kěyǐ ná huí yājīn ma?</t>
  </si>
  <si>
    <t>Zhège fángjiān tài chǎole.</t>
  </si>
  <si>
    <t>Línjū chàng kǎlā OK de shēngyīn tài dàle!</t>
  </si>
  <si>
    <t>Wǒ xūyào ānjìng shuìjiào.</t>
  </si>
  <si>
    <t>Qǐng ràng tāmen ānjìng xiē.</t>
  </si>
  <si>
    <t>Zhè fángzǐ li yǒu zhāngláng ma?(Xúnwèn yǐbiàn zuò hǎo zhǔnbèi)</t>
  </si>
  <si>
    <t>wǒ xū yāo mǎi shā chóng jì.</t>
  </si>
  <si>
    <t>Chuānghù kǎ zhùle.</t>
  </si>
  <si>
    <t>Wǒ zhēn de hěn xǐhuān zhè fángzǐ.</t>
  </si>
  <si>
    <t>Fángdōng rén hěn hǎo.</t>
  </si>
  <si>
    <t>Wǒ huì bǎochí fángzǐ gānjìng zhěngjié.</t>
  </si>
  <si>
    <t>Zhù nǐ yǒu měihǎo de yītiān.</t>
  </si>
  <si>
    <t>Chủ đề 13: Trường học và Học tập (50 câu)</t>
  </si>
  <si>
    <t>Chào cô giáo ạ.</t>
  </si>
  <si>
    <t>Magandang umaga , Teacher .</t>
  </si>
  <si>
    <t>Lǎoshī hǎo.</t>
  </si>
  <si>
    <t>Chào các bạn.</t>
  </si>
  <si>
    <t>Kumusta kayo , mga classmates ?</t>
  </si>
  <si>
    <t>Cháu ngồi đây được không ạ?</t>
  </si>
  <si>
    <t>Pwede ba akong umupo rito ?</t>
  </si>
  <si>
    <t>Dàjiā hǎo.</t>
  </si>
  <si>
    <t>Cho cháu mượn bút chì với.</t>
  </si>
  <si>
    <t>Pahiram ng lapis .</t>
  </si>
  <si>
    <t>Cháu quên mang vở rồi.</t>
  </si>
  <si>
    <t>Nakalimutan ko ang notebook ko .</t>
  </si>
  <si>
    <t>Wǒ kěyǐ zuò zhèlǐ ma?</t>
  </si>
  <si>
    <t>Bài học hôm nay là gì ạ?</t>
  </si>
  <si>
    <t>Ano ang lesson natin ngayon ?</t>
  </si>
  <si>
    <t>Cháu không hiểu chỗ này.</t>
  </si>
  <si>
    <t>Hindi ko maintindihan ito .</t>
  </si>
  <si>
    <t>Wǒ kěyǐ jièzhī qiānbǐ ma?</t>
  </si>
  <si>
    <t>Cô nói lại lần nữa được không ạ?</t>
  </si>
  <si>
    <t>Paki-ulit , Teacher ?</t>
  </si>
  <si>
    <t>Cháu có câu hỏi ạ.</t>
  </si>
  <si>
    <t>May tanong ako .</t>
  </si>
  <si>
    <t>Wǒ wàngle dài bǐjìběn.</t>
  </si>
  <si>
    <t>Đi vệ sinh ở đâu ạ?</t>
  </si>
  <si>
    <t>Cháu muốn đi vệ sinh.</t>
  </si>
  <si>
    <t>Lalabas ako para mag-CR .</t>
  </si>
  <si>
    <t>Jīntiān de kèchéng shì shénme?</t>
  </si>
  <si>
    <t>Bài tập về nhà là gì ạ?</t>
  </si>
  <si>
    <t>Ano ang homework natin ?</t>
  </si>
  <si>
    <t>Khi nào thì nộp bài ạ?</t>
  </si>
  <si>
    <t>Kailan ang pasa nito ?</t>
  </si>
  <si>
    <t>Zhè bùfèn wǒ bù tài míngbái.</t>
  </si>
  <si>
    <t>Cháu làm xong rồi ạ.</t>
  </si>
  <si>
    <t>Cháu được mấy điểm ạ?</t>
  </si>
  <si>
    <t>Anong score ko ?</t>
  </si>
  <si>
    <t>Nín néng zài jiěshì yīxià ma?</t>
  </si>
  <si>
    <t>Bạn giỏi quá!</t>
  </si>
  <si>
    <t>Ang galing mo !</t>
  </si>
  <si>
    <t>Giúp tớ bài này với.</t>
  </si>
  <si>
    <t>Patulong naman rito .</t>
  </si>
  <si>
    <t>Wǒ yǒu gè wèntí.</t>
  </si>
  <si>
    <t>Chúng mình cùng học nhóm nhé.</t>
  </si>
  <si>
    <t>Mag-study group tayo .</t>
  </si>
  <si>
    <t>Thư viện ở đâu ạ?</t>
  </si>
  <si>
    <t>Nasaan ang library ?</t>
  </si>
  <si>
    <t>Xǐshǒujiān zài nǎlǐ?</t>
  </si>
  <si>
    <t>Cháu muốn mượn sách này.</t>
  </si>
  <si>
    <t>Gusto ko hiramin ang librong ito .</t>
  </si>
  <si>
    <t>Sách này rất hay.</t>
  </si>
  <si>
    <t>Maganda ang librong ito .</t>
  </si>
  <si>
    <t>Wǒ xiǎng qù xǐshǒujiān.</t>
  </si>
  <si>
    <t>Cháu thích môn Toán.</t>
  </si>
  <si>
    <t>Gusto ko ng Math .</t>
  </si>
  <si>
    <t>Tiếng Tagalog khó nhưng vui.</t>
  </si>
  <si>
    <t>Mahirap ang Tagalog pero masaya .</t>
  </si>
  <si>
    <t>Jīntiān de zuòyè shì shénme?</t>
  </si>
  <si>
    <t>Cháu muốn nói tiếng Tagalog giỏi.</t>
  </si>
  <si>
    <t>Gusto ko gumaling sa Tagalog .</t>
  </si>
  <si>
    <t>Cô dạy cháu từ này nhé.</t>
  </si>
  <si>
    <t>Turuan niyo ako ng salitang ito .</t>
  </si>
  <si>
    <t>Từ này phát âm thế nào ạ?</t>
  </si>
  <si>
    <t>Paano ito i-pronounce ?</t>
  </si>
  <si>
    <t>Cháu viết đúng chưa ạ?</t>
  </si>
  <si>
    <t>Tama ba ang gawa ko ?</t>
  </si>
  <si>
    <t>Wǒ zuò wánliǎo.</t>
  </si>
  <si>
    <t>Sai rồi, làm lại nhé.</t>
  </si>
  <si>
    <t>Mali , ulitin natin .</t>
  </si>
  <si>
    <t>Cố gắng lên!</t>
  </si>
  <si>
    <t>Kaya mo 'yan !</t>
  </si>
  <si>
    <t>Wǒ déliǎo duōshǎo fēn?</t>
  </si>
  <si>
    <t>Hôm nay có bài kiểm tra không ạ?</t>
  </si>
  <si>
    <t>May quiz ba ngayon ?</t>
  </si>
  <si>
    <t>Cháu lo quá.</t>
  </si>
  <si>
    <r>
      <rPr>
        <b/>
        <sz val="11"/>
        <color rgb="FFFF0000"/>
        <rFont val="Arial"/>
      </rPr>
      <t xml:space="preserve">Kinakabahan </t>
    </r>
    <r>
      <rPr>
        <b/>
        <sz val="11"/>
        <color theme="1"/>
        <rFont val="Arial"/>
      </rPr>
      <t>ako .</t>
    </r>
  </si>
  <si>
    <r>
      <rPr>
        <b/>
        <sz val="11"/>
        <color theme="1"/>
        <rFont val="Arial"/>
      </rPr>
      <t xml:space="preserve">Kinakabahan (Lo lắng / Hồi hộp)
Từ gốc: Kaba (Sự hồi hộp)
Âm thanh tương tự: "Kìa-cá-ba" (Kìa con cá ba sa) hoặc "Kha-bả"
5 Mẹo ghi nhớ:
Bạn đang </t>
    </r>
    <r>
      <rPr>
        <b/>
        <sz val="11"/>
        <color rgb="FFFF0000"/>
        <rFont val="Arial"/>
      </rPr>
      <t>rất Kinakabahan (lo lắng) vì thấy Kìa! Con cá ba sa khổng lồ đang đuổi theo mình.</t>
    </r>
    <r>
      <rPr>
        <b/>
        <sz val="11"/>
        <color theme="1"/>
        <rFont val="Arial"/>
      </rPr>
      <t xml:space="preserve">
Cầm con Cá ba (Kaba) trên tay khiến bạn thấy rất Kinakabahan vì sợ nó nhảy mất.
Bạn hồi hộp vì bị anh Kha đánh bả (Kha-bả) nên tim đập Kinakabahan.
Tưởng tượng trái tim bạn đập nhanh như tiếng quẫy đuôi của con Cá ba sa: Kinakabahan.
Đọc lái đi: "Kìa cá bắn" (Kinakabahan) làm mình giật mình lo sợ.</t>
    </r>
  </si>
  <si>
    <t>Nǐ zhēn bàng!</t>
  </si>
  <si>
    <t>Chúc bạn thi tốt nhé.</t>
  </si>
  <si>
    <t>Good luck sa exam .</t>
  </si>
  <si>
    <t>Cháu thi đỗ rồi!</t>
  </si>
  <si>
    <t>Pumasa ako !</t>
  </si>
  <si>
    <t>Bāng wǒ jiědá yīxià zhège wèntí.</t>
  </si>
  <si>
    <t>Cháu bị điểm kém.</t>
  </si>
  <si>
    <r>
      <rPr>
        <b/>
        <sz val="11"/>
        <color rgb="FFFF0000"/>
        <rFont val="Arial"/>
      </rPr>
      <t xml:space="preserve">Bagsak </t>
    </r>
    <r>
      <rPr>
        <b/>
        <sz val="11"/>
        <color theme="1"/>
        <rFont val="Arial"/>
      </rPr>
      <t>ako .</t>
    </r>
  </si>
  <si>
    <r>
      <rPr>
        <b/>
        <sz val="11"/>
        <color theme="1"/>
        <rFont val="Arial"/>
      </rPr>
      <t xml:space="preserve">Bagsak (Rớt / Ngã / Hỏng thi)
Từ gốc: Bagsak
Âm thanh tương tự: "Bác-sắc" (Bác cầm dao sắc)
5 Mẹo ghi nhớ:
</t>
    </r>
    <r>
      <rPr>
        <b/>
        <sz val="11"/>
        <color rgb="FFFF0000"/>
        <rFont val="Arial"/>
      </rPr>
      <t>Bác cầm con dao rất Sắc nhưng lỡ tay làm nó Bagsak (rơi) xuống đất</t>
    </r>
    <r>
      <rPr>
        <b/>
        <sz val="11"/>
        <color theme="1"/>
        <rFont val="Arial"/>
      </rPr>
      <t>.
Nghe tin thi Bagsak (rớt), mặt Bác trở nên Sắc lẹm và đáng sợ.
Một túi Bạc có cạnh Sắc bị Bagsak (ngã) đổ tung tóe ra đường.
Bạn buồn đến mức Bạc cả tóc khi nhận kết quả Bagsak (hỏng) trong kỳ thi.
"Bác-sắc": Bác đang đi thì bị trượt chân Bagsak (ngã) vì đường quá Sắc nhọn.</t>
    </r>
  </si>
  <si>
    <t>Cháu sẽ cố gắng hơn.</t>
  </si>
  <si>
    <t>Mag-aaral ako nang mabuti .</t>
  </si>
  <si>
    <t>Wǒmen yīqǐ xuéxí ba.</t>
  </si>
  <si>
    <t>Giờ ra chơi rồi!</t>
  </si>
  <si>
    <r>
      <rPr>
        <b/>
        <sz val="11"/>
        <color rgb="FFFF0000"/>
        <rFont val="Arial"/>
      </rPr>
      <t xml:space="preserve">Recess </t>
    </r>
    <r>
      <rPr>
        <b/>
        <sz val="11"/>
        <color theme="1"/>
        <rFont val="Arial"/>
      </rPr>
      <t>na !</t>
    </r>
  </si>
  <si>
    <r>
      <rPr>
        <b/>
        <sz val="11"/>
        <color theme="1"/>
        <rFont val="Arial"/>
      </rPr>
      <t xml:space="preserve">. Recess (Giờ giải lao)
Từ gốc: Recess (Từ mượn tiếng Anh, dùng phổ biến ở Philippines)
Âm thanh tương tự: "Rẻ-sét" (Đồ rẻ bị gỉ sét)
5 Mẹo ghi nhớ:
Đến giờ Recess (giải lao), </t>
    </r>
    <r>
      <rPr>
        <b/>
        <sz val="11"/>
        <color rgb="FFFF0000"/>
        <rFont val="Arial"/>
      </rPr>
      <t>bạn chạy đi mua đồ chơi Rẻ tiền nhưng bị gỉ Sét.</t>
    </r>
    <r>
      <rPr>
        <b/>
        <sz val="11"/>
        <color theme="1"/>
        <rFont val="Arial"/>
      </rPr>
      <t xml:space="preserve">
Trong giờ Recess, t</t>
    </r>
    <r>
      <rPr>
        <b/>
        <sz val="11"/>
        <color rgb="FFFF0000"/>
        <rFont val="Arial"/>
      </rPr>
      <t>hầy giáo đi Xét xem ai mua đồ ăn quá Rẻ không đảm bảo.</t>
    </r>
    <r>
      <rPr>
        <b/>
        <sz val="11"/>
        <color theme="1"/>
        <rFont val="Arial"/>
      </rPr>
      <t xml:space="preserve">
Bạn ngồi nghỉ (Recess) và lau những vết Sét trên cái khung xe Rẻ tiền.
"Rè-sét": Tiếng loa thông báo giờ Recess nghe rất Rè làm bạn muốn đi Xét lại loa.
Đợi đến giờ Recess để được ra ngoài mua bánh Rẻ rồi về Xét (ăn) thử.</t>
    </r>
  </si>
  <si>
    <t>Đi ăn nhẹ thôi.</t>
  </si>
  <si>
    <t>Kain tayo ng snack .</t>
  </si>
  <si>
    <t>Túshū guǎn zài nǎlǐ?</t>
  </si>
  <si>
    <t>Bạn có mang đồ ăn theo không?</t>
  </si>
  <si>
    <r>
      <rPr>
        <b/>
        <sz val="11"/>
        <color theme="1"/>
        <rFont val="Arial"/>
      </rPr>
      <t xml:space="preserve">May </t>
    </r>
    <r>
      <rPr>
        <b/>
        <sz val="11"/>
        <color rgb="FFFF0000"/>
        <rFont val="Arial"/>
      </rPr>
      <t xml:space="preserve">baon </t>
    </r>
    <r>
      <rPr>
        <b/>
        <sz val="11"/>
        <color theme="1"/>
        <rFont val="Arial"/>
      </rPr>
      <t>ka ba ?</t>
    </r>
  </si>
  <si>
    <r>
      <rPr>
        <b/>
        <sz val="11"/>
        <color theme="1"/>
        <rFont val="Arial"/>
      </rPr>
      <t xml:space="preserve">Baon (Tiền hoặc đồ ăn mang theo khi đi học/làm)
Từ gốc: Baon
Âm thanh tương tự: "Ba-ôn" (Ba đang ôn bài) hoặc "Bao"
5 Mẹo ghi nhớ:
</t>
    </r>
    <r>
      <rPr>
        <b/>
        <sz val="11"/>
        <color rgb="FFFF0000"/>
        <rFont val="Arial"/>
      </rPr>
      <t>Ba đang Ôn bài cho bạn và không quên đưa thêm Baon (tiền/đồ ăn) mang đi.</t>
    </r>
    <r>
      <rPr>
        <b/>
        <sz val="11"/>
        <color theme="1"/>
        <rFont val="Arial"/>
      </rPr>
      <t xml:space="preserve">
Bạn cho tất cả đồ ăn Baon vào trong một cái Bao tải nhỏ.
"Ba-ôn": Ba rất Ôn tồn khi dặn bạn nhớ ăn hết phần Baon mẹ chuẩn bị.
Tưởng tượng bạn cầm một cái Bao chứa đầy tiền Baon để đi du lịch.
Mỗi khi Ba ôn bài xong, Ba lại thưởng cho bạn một phần Baon thật ngon.</t>
    </r>
  </si>
  <si>
    <t>Chia cho tớ một ít nhé.</t>
  </si>
  <si>
    <t>Pahingi naman .</t>
  </si>
  <si>
    <t>Wǒ xiǎng jiè zhè běn shū.</t>
  </si>
  <si>
    <t>Trường học rất rộng.</t>
  </si>
  <si>
    <t>Malaki ang school .</t>
  </si>
  <si>
    <t>Cháu thích đi học.</t>
  </si>
  <si>
    <t>Gusto ko pumasok sa school .</t>
  </si>
  <si>
    <t>Zhè běn shū hěn bàng.</t>
  </si>
  <si>
    <t>Hôm nay cháu được nghỉ học.</t>
  </si>
  <si>
    <t>Wala kaming pasok ngayon .</t>
  </si>
  <si>
    <t>Tại sao trường đóng cửa ạ?</t>
  </si>
  <si>
    <t>Bakit sarado ang school ?</t>
  </si>
  <si>
    <t>Wǒ xǐhuān shùxué.</t>
  </si>
  <si>
    <t>Hôm nay là ngày lễ.</t>
  </si>
  <si>
    <t>Holiday kasi ngayon .</t>
  </si>
  <si>
    <t>Cháu muốn mua cặp sách mới.</t>
  </si>
  <si>
    <t>Gusto ko bumili ng bagong bag .</t>
  </si>
  <si>
    <t>Tā jiā lù yǔ hěn nán, dàn hěn yǒuqù.</t>
  </si>
  <si>
    <t>Cây thước của cháu đâu rồi?</t>
  </si>
  <si>
    <t>Nasaan ang ruler ko ?</t>
  </si>
  <si>
    <t>Bút này hết mực rồi.</t>
  </si>
  <si>
    <r>
      <rPr>
        <b/>
        <sz val="11"/>
        <color theme="1"/>
        <rFont val="Arial"/>
      </rPr>
      <t xml:space="preserve">Wala na </t>
    </r>
    <r>
      <rPr>
        <b/>
        <sz val="11"/>
        <color rgb="FFFF0000"/>
        <rFont val="Arial"/>
      </rPr>
      <t xml:space="preserve">tinta </t>
    </r>
    <r>
      <rPr>
        <b/>
        <sz val="11"/>
        <color theme="1"/>
        <rFont val="Arial"/>
      </rPr>
      <t>ang ballpen .</t>
    </r>
  </si>
  <si>
    <r>
      <rPr>
        <b/>
        <sz val="11"/>
        <color theme="1"/>
        <rFont val="Arial"/>
      </rPr>
      <t xml:space="preserve">Tinta (Mực)
Từ gốc: Tinta
Âm thanh tương tự: "Tin-ta" (Tin tưởng ta)
5 Mẹo ghi nhớ:
Hãy Tin Ta, lọ Tinta (mực) này là loại xịn nhất đấy!
Bạn làm đổ Tinta (mực) ra áo khiến người ta không còn Tin vào Ta nữa.
</t>
    </r>
    <r>
      <rPr>
        <b/>
        <sz val="11"/>
        <color rgb="FFFF0000"/>
        <rFont val="Arial"/>
      </rPr>
      <t>Có Tin báo rằng Ta đã hết sạch Tinta để viết bài.</t>
    </r>
    <r>
      <rPr>
        <b/>
        <sz val="11"/>
        <color theme="1"/>
        <rFont val="Arial"/>
      </rPr>
      <t xml:space="preserve">
Con mực phun Tinta đen ngòm để bảo vệ niềm Tin của Ta.
Dùng Tinta (mực) viết chữ "Tin" thật to lên tay của Ta.</t>
    </r>
  </si>
  <si>
    <t>Wǒ xiǎng shuō yīkǒu liúlì de tā jiā lù yǔ.</t>
  </si>
  <si>
    <t>Cháu mệt quá, cháu muốn về.</t>
  </si>
  <si>
    <t>Pagod na ako , gusto ko nang umuwi .</t>
  </si>
  <si>
    <t>Hẹn gặp lại ngày mai nhé.</t>
  </si>
  <si>
    <t>Nín néng jiào wǒ zhège cí ma?</t>
  </si>
  <si>
    <t>Cảm ơn cô giáo đã dạy cháu.</t>
  </si>
  <si>
    <t>Salamat sa pagtuturo , Teacher .</t>
  </si>
  <si>
    <t>Zhège cí zěnme fāyīn?</t>
  </si>
  <si>
    <t>Wǒ xiě duìle ma?</t>
  </si>
  <si>
    <t>Cuòle, wǒmen zàilái yībiàn.</t>
  </si>
  <si>
    <t xml:space="preserve">Jìxù nǔlì! </t>
  </si>
  <si>
    <t>Jīntiān yǒu kǎoshì ma?</t>
  </si>
  <si>
    <t>Wǒ hǎo dānxīn.</t>
  </si>
  <si>
    <t>Zhù nǐ kǎoshì shùnlì!</t>
  </si>
  <si>
    <t>Wǒ tōngguòle!</t>
  </si>
  <si>
    <t>Wǒ kǎo zále.</t>
  </si>
  <si>
    <t>Wǒ huì gèng nǔlì de.</t>
  </si>
  <si>
    <t>Kè jiān xiūxí shíjiān dào!</t>
  </si>
  <si>
    <t>Wǒmen qù chī diǎn língshí ba.</t>
  </si>
  <si>
    <t>Nǐ dài chī dele ma?</t>
  </si>
  <si>
    <t>Qǐng fēn wǒ yīxiē.</t>
  </si>
  <si>
    <t>Xuéxiào zhēn dà.</t>
  </si>
  <si>
    <t>Wǒ xǐhuān shàngxué.</t>
  </si>
  <si>
    <t>Wǒ jīntiān fàngjià.</t>
  </si>
  <si>
    <t>Xuéxiào wèishéme guānménle?</t>
  </si>
  <si>
    <t>Jīntiān shì jiàrì.</t>
  </si>
  <si>
    <t>Wǒ xiǎng mǎi gè xīn shūbāo.</t>
  </si>
  <si>
    <t>Wǒ de chǐzǐ zài nǎ'er?</t>
  </si>
  <si>
    <t>Zhè zhī bǐ méi mòshuǐle.</t>
  </si>
  <si>
    <t>Wǒ hǎo lèi, wǒ xiǎng huí jiā.</t>
  </si>
  <si>
    <t>Xièxiè lǎoshī jiào wǒ.</t>
  </si>
  <si>
    <t>Chủ đề 14: Điện thoại, Internet và Mạng xã hội (50 câu)</t>
  </si>
  <si>
    <t>Điện thoại cháu hết pin rồi.</t>
  </si>
  <si>
    <t>Lowbat na ang cellphone ko .</t>
  </si>
  <si>
    <t>Wǒ de shǒujī méi diànle.</t>
  </si>
  <si>
    <t>Cho cháu mượn sạc dự phòng.</t>
  </si>
  <si>
    <t>Pahiram ng powerbank .</t>
  </si>
  <si>
    <t>Ổ cắm điện ở đâu ạ?</t>
  </si>
  <si>
    <r>
      <rPr>
        <b/>
        <sz val="11"/>
        <color theme="1"/>
        <rFont val="Arial"/>
      </rPr>
      <t xml:space="preserve">Nasaan ang </t>
    </r>
    <r>
      <rPr>
        <b/>
        <sz val="11"/>
        <color rgb="FFFF0000"/>
        <rFont val="Arial"/>
      </rPr>
      <t xml:space="preserve">saksakan </t>
    </r>
    <r>
      <rPr>
        <b/>
        <sz val="11"/>
        <color theme="1"/>
        <rFont val="Arial"/>
      </rPr>
      <t>?</t>
    </r>
  </si>
  <si>
    <r>
      <rPr>
        <b/>
        <sz val="11"/>
        <color theme="1"/>
        <rFont val="Arial"/>
      </rPr>
      <t xml:space="preserve">Saksakan (Ổ cắm điện / Sự đâm chém)
Từ gốc: Saksak (Đâm)
Âm thanh tương tự: "Sắc-sa-cắn" (Vật sắc ở xa cắn)
5 Mẹo ghi nhớ:
Cái Saksakan (ổ cắm) này bị hở điện, chạm vào như bị con gì Sắc lẻm Cắn.
Đừng dùng vật Sắc nhọn chọc vào Saksakan (ổ cắm điện), rất nguy hiểm.
</t>
    </r>
    <r>
      <rPr>
        <b/>
        <sz val="11"/>
        <color rgb="FFFF0000"/>
        <rFont val="Arial"/>
      </rPr>
      <t>Tưởng tượng cái ổ cắm (Saksakan) có những cái răng Sắc đang Cắn phích cắm.</t>
    </r>
    <r>
      <rPr>
        <b/>
        <sz val="11"/>
        <color theme="1"/>
        <rFont val="Arial"/>
      </rPr>
      <t xml:space="preserve">
"Sắc-sa-cắn": Con cá Sắc ở tận phương Sa đang Cắn nát cái Saksakan.
Bạn cầm một vật Sắc đi tìm cái Saksakan để cắm điện vào</t>
    </r>
  </si>
  <si>
    <t>Wǒ kěyǐ jiè gè chōngdiàn bǎo ma?</t>
  </si>
  <si>
    <t>Cháu muốn nạp tiền điện thoại.</t>
  </si>
  <si>
    <t>Magpapaload ako .</t>
  </si>
  <si>
    <t>Nạp cho cháu 50 Peso nhé.</t>
  </si>
  <si>
    <t>Paload ng 50 pesos .</t>
  </si>
  <si>
    <t>Diànyuán chāzuò zài nǎlǐ?</t>
  </si>
  <si>
    <t>Số điện thoại của cháu đây ạ.</t>
  </si>
  <si>
    <t>Ito ang number ko .</t>
  </si>
  <si>
    <t>Ở đây không có sóng (tín hiệu).</t>
  </si>
  <si>
    <t>Walang signal dito .</t>
  </si>
  <si>
    <t>Wǒ xiǎng chōngzhí huàfèi.</t>
  </si>
  <si>
    <t>Wifi mật khẩu là gì ạ?</t>
  </si>
  <si>
    <t>Wifi chậm quá.</t>
  </si>
  <si>
    <t>Ang bagal ng Wifi .</t>
  </si>
  <si>
    <t>Qǐng bāng wǒ chōngzhí 50 bǐsuǒ.</t>
  </si>
  <si>
    <t>Cháu đang gọi điện cho mẹ.</t>
  </si>
  <si>
    <t>Tinatawagan ko si Nanay .</t>
  </si>
  <si>
    <t>Nghe thấy cháu nói không ạ?</t>
  </si>
  <si>
    <t>Naririnig niyo ba ako ?</t>
  </si>
  <si>
    <t>Zhè shì wǒ de shǒujī hàomǎ.</t>
  </si>
  <si>
    <t>Sóng yếu quá, không nghe rõ.</t>
  </si>
  <si>
    <r>
      <rPr>
        <b/>
        <sz val="11"/>
        <color rgb="FFFF0000"/>
        <rFont val="Arial"/>
      </rPr>
      <t>Putol</t>
    </r>
    <r>
      <rPr>
        <b/>
        <sz val="11"/>
        <color theme="1"/>
        <rFont val="Arial"/>
      </rPr>
      <t>-putol ang boses , mahina ang signal .</t>
    </r>
  </si>
  <si>
    <t>Putol (Cắt / Đứt / Bị chặt)
Từ gốc: Putol
Âm thanh tương tự: "Pu-tô" (Tên loại bánh bò Philippines) hoặc "Pha-tửu"
5 Mẹo ghi nhớ:
Bạn dùng dao để Putol (cắt) miếng bánh Pu-tô thơm ngon.
Sợi dây bị Putol (đứt) ngay khi bạn đang treo túi bánh Pu-tô.
"Phu-tử": Người Phu xe cầm con dao Tử thần làm Putol (chặt) cái cây.
Đang ăn bánh Pu-tô thì câu chuyện bị Putol (gián đoạn) nửa chừng.
"Pu-tô-lỗ": Miếng bánh Pu-tô bị Putol một miếng làm lộ ra cái Lỗ.</t>
  </si>
  <si>
    <t>Cháu sẽ nhắn tin cho bạn.</t>
  </si>
  <si>
    <t>I-text na lang kita .</t>
  </si>
  <si>
    <t>Zhèlǐ méiyǒu xìnhào.</t>
  </si>
  <si>
    <t>Bạn có dùng Viber không?</t>
  </si>
  <si>
    <t>May Viber ka ba ?</t>
  </si>
  <si>
    <t>Cháu vừa gửi ảnh cho bạn đó.</t>
  </si>
  <si>
    <t>Nagsend ako ng picture sa iyo .</t>
  </si>
  <si>
    <t>Wi-Fi mìmǎ shì shénme?</t>
  </si>
  <si>
    <t>Đừng xem video này nhé.</t>
  </si>
  <si>
    <r>
      <rPr>
        <b/>
        <sz val="11"/>
        <color theme="1"/>
        <rFont val="Arial"/>
      </rPr>
      <t xml:space="preserve">Huwag </t>
    </r>
    <r>
      <rPr>
        <b/>
        <sz val="11"/>
        <color rgb="FFFF0000"/>
        <rFont val="Arial"/>
      </rPr>
      <t>panoorin</t>
    </r>
    <r>
      <rPr>
        <b/>
        <sz val="11"/>
        <color theme="1"/>
        <rFont val="Arial"/>
      </rPr>
      <t xml:space="preserve"> ang video na ito .</t>
    </r>
  </si>
  <si>
    <t>Panoorin (Xem / Theo dõi)
Từ gốc: Nood (Xem)
Âm thanh tương tự: "Pa-nô-rình" (Pha nước rồi rình)
5 Mẹo ghi nhớ:
Bạn vừa Pha trà vừa ngồi Nô đùa rồi Rình để Panoorin (xem) phim.
Đứng cạnh cái Pa-nô (biển quảng cáo) để Panoorin (theo dõi) dòng người qua lại.
"Ba-nô-rình": Ba mắng vì tội Nô đùa khi đang Rình để Panoorin kịch.
Ngồi trên Phà (pa), Nô đùa và Rình (Panoorin) cá nhảy dưới sông.
Hãy Panoorin (xem) cách người ta Pha một ly nước có Nô (nổi) bọt.</t>
  </si>
  <si>
    <t>Video này buồn cười quá!</t>
  </si>
  <si>
    <t>Nakakatawa ang video na ito !</t>
  </si>
  <si>
    <t>Wi-Fi tài mànle.</t>
  </si>
  <si>
    <t>Cháu thích video của bạn.</t>
  </si>
  <si>
    <t>Ni-like ko ang video mo .</t>
  </si>
  <si>
    <t>Cháu đang lướt Facebook.</t>
  </si>
  <si>
    <t>Nagfe-facebook ako .</t>
  </si>
  <si>
    <t>Wǒ zài gěi wǒ māmā dǎ diànhuà.</t>
  </si>
  <si>
    <t>Kết bạn với cháu nhé.</t>
  </si>
  <si>
    <t>Nǐ néng tīng dào wǒ shuōhuà ma?</t>
  </si>
  <si>
    <t>Đừng đăng ảnh cháu lên mạng nhé.</t>
  </si>
  <si>
    <t>Huwag niyo i-post ang picture ko .</t>
  </si>
  <si>
    <t>Cháu muốn xóa cái này.</t>
  </si>
  <si>
    <t>Gusto ko i-delete ito .</t>
  </si>
  <si>
    <t>Xìnhào tài ruò, wǒ tīng bù qīngchǔ.</t>
  </si>
  <si>
    <t>Điện thoại cháu bị hỏng màn hình.</t>
  </si>
  <si>
    <t>Sira ang screen ng phone ko .</t>
  </si>
  <si>
    <t>Chỗ nào sửa điện thoại ạ?</t>
  </si>
  <si>
    <t>Saan pwedeng magpa-ayos ng cellphone ?</t>
  </si>
  <si>
    <t>Wǒ gěi nǐ fā duǎnxìn.</t>
  </si>
  <si>
    <t>Cháu muốn mua SIM mới.</t>
  </si>
  <si>
    <t>Bibili ako ng bagong SIM card .</t>
  </si>
  <si>
    <t>SIM của hãng nào tốt ạ?</t>
  </si>
  <si>
    <t>Anong SIM ang maganda , Smart o Globe ?</t>
  </si>
  <si>
    <t>Nǐ yòng Viber ma?</t>
  </si>
  <si>
    <t>Đăng ký mạng (Data) thế nào ạ?</t>
  </si>
  <si>
    <t>Paano mag-register ng data ?</t>
  </si>
  <si>
    <t>Cháu hết dung lượng rồi.</t>
  </si>
  <si>
    <t>Wala na akong data .</t>
  </si>
  <si>
    <t>Wǒ gāng gěi nǐ fāle yī zhāng zhàopiàn.</t>
  </si>
  <si>
    <t>Cháu đang xem phim trên Youtube.</t>
  </si>
  <si>
    <t>Nanonood ako sa Youtube .</t>
  </si>
  <si>
    <t>Đừng chơi điện thoại nhiều quá.</t>
  </si>
  <si>
    <t>Huwag masyadong mag-cellphone .</t>
  </si>
  <si>
    <t>Bié kàn zhège shìpín.</t>
  </si>
  <si>
    <t>Cháu chỉ chơi 10 phút thôi ạ.</t>
  </si>
  <si>
    <t>10 minutes lang .</t>
  </si>
  <si>
    <t>Cho cháu mượn điện thoại một chút.</t>
  </si>
  <si>
    <t>Pahiram ng phone niyo sandali .</t>
  </si>
  <si>
    <t>Zhège shìpín tài gǎoxiàole!</t>
  </si>
  <si>
    <t>Cháu muốn chụp ảnh tự sướng (Selfie).</t>
  </si>
  <si>
    <t>Mag-selfie tayo .</t>
  </si>
  <si>
    <t>Ảnh này bị mờ rồi.</t>
  </si>
  <si>
    <t>Malabo ang picture .</t>
  </si>
  <si>
    <t>Wǒ xǐhuān nǐ de shìpín.</t>
  </si>
  <si>
    <t>Chụp lại nhé.</t>
  </si>
  <si>
    <t>Isa pa .</t>
  </si>
  <si>
    <t>Bạn dùng app gì đấy?</t>
  </si>
  <si>
    <t>Anong app ang gamit niyo ?</t>
  </si>
  <si>
    <t>Wǒ zài liúlǎn Facebook.</t>
  </si>
  <si>
    <t>Tải cái này về thế nào ạ?</t>
  </si>
  <si>
    <t>Paano ito i-download ?</t>
  </si>
  <si>
    <t>Cháu quên mật khẩu rồi.</t>
  </si>
  <si>
    <t>Nakalimutan ko ang password .</t>
  </si>
  <si>
    <t>Nǐ yǒu Facebook zhànghào ma?</t>
  </si>
  <si>
    <t>Làm ơn lấy lại giúp cháu.</t>
  </si>
  <si>
    <t>Paki-recover naman .</t>
  </si>
  <si>
    <t>Điện thoại cháu bị nóng quá.</t>
  </si>
  <si>
    <t>Ang init na ng cellphone ko .</t>
  </si>
  <si>
    <t>Qǐng jiā wǒ hǎoyǒu.</t>
  </si>
  <si>
    <t>Tắt nguồn đi nhé.</t>
  </si>
  <si>
    <t>Paki-turn off muna .</t>
  </si>
  <si>
    <t>Có ai gọi cho cháu không?</t>
  </si>
  <si>
    <t>May tumawag ba sa akin ?</t>
  </si>
  <si>
    <t>Bùyào bǎ wǒ de zhàopiàn fābù dào wǎngshàng.</t>
  </si>
  <si>
    <t>Cháu đang chờ điện thoại.</t>
  </si>
  <si>
    <t>Naghihintay ako ng tawag .</t>
  </si>
  <si>
    <t>Nhấc máy đi ạ!</t>
  </si>
  <si>
    <t>Sagutin niyo ang tawag !</t>
  </si>
  <si>
    <t>Wǒ xiǎng shānchú zhè tiáo xìnxī.</t>
  </si>
  <si>
    <t>Cháu đang để chế độ im lặng.</t>
  </si>
  <si>
    <t>Naka-silent mode ako .</t>
  </si>
  <si>
    <t>Nhắn tin cho cháu sau nhé.</t>
  </si>
  <si>
    <t>Message mo na lang ako mamaya .</t>
  </si>
  <si>
    <t>Wǒ de shǒujī píngmù suìle.</t>
  </si>
  <si>
    <t>Cháu đang bận học bài.</t>
  </si>
  <si>
    <t>Nag-aaral ako ngayon .</t>
  </si>
  <si>
    <t>Điện thoại là người bạn tốt.</t>
  </si>
  <si>
    <t>Kaibigan ko ang cellphone ko .</t>
  </si>
  <si>
    <t>Nǎlǐ kěyǐ xiū shǒujī?</t>
  </si>
  <si>
    <t>Nhưng cháu sẽ đi chơi với bạn thật.</t>
  </si>
  <si>
    <t>Pero makikipaglaro ako sa mga kaibigan ko .</t>
  </si>
  <si>
    <t>Wǒ xiǎng mǎi yī zhāng xīn de SIM kǎ.</t>
  </si>
  <si>
    <t>Shénme páizǐ de SIM kǎ hǎo yòng?</t>
  </si>
  <si>
    <t>Rúhé kāitōng liúliàng?</t>
  </si>
  <si>
    <t>Wǒ de liúliàng yòng wánliǎo.</t>
  </si>
  <si>
    <t>Wǒ zài YouTube shàng kàn diànyǐng.</t>
  </si>
  <si>
    <t>Bié tài pínfán de yòng shǒujī.</t>
  </si>
  <si>
    <t>Wǒ zhǐ yòng 10 fēnzhōng.</t>
  </si>
  <si>
    <t>Wǒ kěyǐ jiè nǐ de shǒujī yòng yīhuǐ'er ma?</t>
  </si>
  <si>
    <t>Wǒ xiǎng zìpāi.</t>
  </si>
  <si>
    <t>Zhè zhāng zhàopiàn yǒudiǎn móhú.</t>
  </si>
  <si>
    <t>Wǒ kěyǐ zài pāi yī zhāng ma?</t>
  </si>
  <si>
    <t>Nǐ zài yòng shénme yìngyòng?</t>
  </si>
  <si>
    <t>Wǒ gāi rúhé xiàzài zhège yìngyòng?</t>
  </si>
  <si>
    <t>Wǒ wàngjì mìmǎle.</t>
  </si>
  <si>
    <t>Qǐng bāng wǒ zhǎo huí mìmǎ.</t>
  </si>
  <si>
    <t>Wǒ de shǒujī tài tàngle.</t>
  </si>
  <si>
    <t>Qǐng guānjī.</t>
  </si>
  <si>
    <t>Yǒurén gěi wǒ dǎ diànhuà ma?</t>
  </si>
  <si>
    <t>Wǒ zài děng diànhuà.</t>
  </si>
  <si>
    <t>Qǐng jiētīng!</t>
  </si>
  <si>
    <t>Wǒ de shǒujī shì jìngyīn móshì.</t>
  </si>
  <si>
    <t>Qǐng shāo hòu zài fā duǎnxìn gěi wǒ.</t>
  </si>
  <si>
    <t>Wǒ zài mángzhe xuéxí.</t>
  </si>
  <si>
    <t>Wǒ de shǒujī shì wǒ de hǎo péngyǒu.</t>
  </si>
  <si>
    <t>Dàn wǒ zhènghé péngyǒu chūqù wán.</t>
  </si>
  <si>
    <t>Chủ đề 15: Lễ hội và Văn hóa (50 câu)</t>
  </si>
  <si>
    <t>Hôm nay có lễ hội gì ạ?</t>
  </si>
  <si>
    <t>Anong fiesta ngayon ?</t>
  </si>
  <si>
    <t>Jīntiān shì shénme jiérì?</t>
  </si>
  <si>
    <t>Lễ hội này tên là gì ạ?</t>
  </si>
  <si>
    <t>Anong tawag sa festival na ito ?</t>
  </si>
  <si>
    <t>Chúc mừng lễ hội nhé!</t>
  </si>
  <si>
    <t>Happy Fiesta !</t>
  </si>
  <si>
    <t>Zhège jiérì jiào shénme míngzì?</t>
  </si>
  <si>
    <t>Diễu hành bắt đầu khi nào ạ?</t>
  </si>
  <si>
    <r>
      <rPr>
        <sz val="11"/>
        <color theme="1"/>
        <rFont val="Calibri"/>
      </rPr>
      <t xml:space="preserve">Kailan magsisimula ang </t>
    </r>
    <r>
      <rPr>
        <b/>
        <sz val="11"/>
        <color rgb="FFFF0000"/>
        <rFont val="Calibri"/>
      </rPr>
      <t xml:space="preserve">parada </t>
    </r>
    <r>
      <rPr>
        <sz val="11"/>
        <color theme="1"/>
        <rFont val="Calibri"/>
      </rPr>
      <t>?</t>
    </r>
  </si>
  <si>
    <r>
      <rPr>
        <sz val="11"/>
        <color theme="1"/>
        <rFont val="Calibri"/>
      </rPr>
      <t xml:space="preserve">Parada (Diễu hành / Đỗ xe)
Từ gốc: Parada (Gốc Tây Ban Nha)
Âm thanh tương tự: "Ba-ra-đa" (Ba ra đa)
5 Mẹo ghi nhớ:
</t>
    </r>
    <r>
      <rPr>
        <sz val="11"/>
        <color rgb="FFFF0000"/>
        <rFont val="Calibri"/>
      </rPr>
      <t>Ba đứng ra xem máy đa (radar) để xem đoàn Parada (diễu hành) đi đến đâu rồ</t>
    </r>
    <r>
      <rPr>
        <sz val="11"/>
        <color theme="1"/>
        <rFont val="Calibri"/>
      </rPr>
      <t>i.
Một đoàn Parada (diễu hành) toàn những người cầm thiết bị Ra-đa đi trên phố.
Bạn thấy Ba đang ra hiệu cho chiếc xe đa (đa dụng) Parada (đỗ lại).
"Ba-ra-đá": Ba bước ra sân đá bóng để cổ vũ đoàn Parada.
Tưởng tượng một chiếc xe Ra-đa khổng lồ đang dẫn đầu đoàn Parada.</t>
    </r>
  </si>
  <si>
    <t>Người ta nhảy múa đẹp quá!</t>
  </si>
  <si>
    <t>Ang ganda nilang sumayaw !</t>
  </si>
  <si>
    <t>Jiérì kuàilè!</t>
  </si>
  <si>
    <t>Cháu có thể chụp ảnh không ạ?</t>
  </si>
  <si>
    <t>Pwede bang kumuha ng litrato ?</t>
  </si>
  <si>
    <t>Bộ đồ này đẹp quá.</t>
  </si>
  <si>
    <r>
      <rPr>
        <sz val="11"/>
        <color theme="1"/>
        <rFont val="Calibri"/>
      </rPr>
      <t xml:space="preserve">Ang ganda ng </t>
    </r>
    <r>
      <rPr>
        <sz val="11"/>
        <color rgb="FFFF0000"/>
        <rFont val="Calibri"/>
      </rPr>
      <t>costume</t>
    </r>
    <r>
      <rPr>
        <sz val="11"/>
        <color theme="1"/>
        <rFont val="Calibri"/>
      </rPr>
      <t xml:space="preserve"> niyo .</t>
    </r>
  </si>
  <si>
    <r>
      <rPr>
        <sz val="11"/>
        <color theme="1"/>
        <rFont val="Calibri"/>
      </rPr>
      <t xml:space="preserve">Costume (Trang phục/Hóa trang)
Từ gốc: Costume (Gốc Anh/Tây Ban Nha: Kasuotan)
Âm thanh tương tự: "Cô-túm" (Cô túm lấy)
5 Mẹo ghi nhớ:
</t>
    </r>
    <r>
      <rPr>
        <sz val="11"/>
        <color rgb="FFFF0000"/>
        <rFont val="Calibri"/>
      </rPr>
      <t>Cô cố Túm lấy cái Costume đẹp nhất để mặc đi lễ hội.</t>
    </r>
    <r>
      <rPr>
        <sz val="11"/>
        <color theme="1"/>
        <rFont val="Calibri"/>
      </rPr>
      <t xml:space="preserve">
"Cốt-tùm": Bạn mặc Costume hình con cá rồi nhảy xuống nước kêu tùm một cái.
Bộ Costume này rộng quá, khiến Cô phải Túm lại cho vừa người.
"Cố-tùm": Cố mặc cái Costume nặng nề nên bị ngã xuống ao kêu tùm.
Tưởng tượng một cái Cốt (xương) biết Túm lấy bộ Costume để mặc vào.</t>
    </r>
  </si>
  <si>
    <t>Yóuxíng shénme shíhòu kāishǐ?</t>
  </si>
  <si>
    <t>Đây là trang phục truyền thống ạ?</t>
  </si>
  <si>
    <t>Traditional costume ba ito ?</t>
  </si>
  <si>
    <t>Cháu muốn mặc thử Barong Tagalog (Barong là áo truyền thống cho nam).</t>
  </si>
  <si>
    <r>
      <rPr>
        <sz val="11"/>
        <color theme="1"/>
        <rFont val="Calibri"/>
      </rPr>
      <t xml:space="preserve">Gusto ko </t>
    </r>
    <r>
      <rPr>
        <sz val="11"/>
        <color rgb="FFFF0000"/>
        <rFont val="Calibri"/>
      </rPr>
      <t xml:space="preserve">isukat </t>
    </r>
    <r>
      <rPr>
        <sz val="11"/>
        <color theme="1"/>
        <rFont val="Calibri"/>
      </rPr>
      <t>ang Barong Tagalog .</t>
    </r>
  </si>
  <si>
    <r>
      <rPr>
        <sz val="11"/>
        <color theme="1"/>
        <rFont val="Calibri"/>
      </rPr>
      <t xml:space="preserve">. Isukat (Thử đồ / Đo đạc)
Từ gốc: Sukat (Kích thước)
Âm thanh tương tự: "I-su-cát" (Đi tu cát) hoặc "Sư-quét-cát"
5 Mẹo ghi nhớ:
</t>
    </r>
    <r>
      <rPr>
        <sz val="11"/>
        <color rgb="FFFF0000"/>
        <rFont val="Calibri"/>
      </rPr>
      <t>Trước khi I-su-cát (đi tu trên cát), bạn phải Isukat (thử) bộ đồ tu xem có vừa không</t>
    </r>
    <r>
      <rPr>
        <sz val="11"/>
        <color theme="1"/>
        <rFont val="Calibri"/>
      </rPr>
      <t xml:space="preserve">.
</t>
    </r>
    <r>
      <rPr>
        <sz val="11"/>
        <color rgb="FFFF0000"/>
        <rFont val="Calibri"/>
      </rPr>
      <t>Ông Sư đang cầm Cát để Isukat (đo) diện tích sân chùa.</t>
    </r>
    <r>
      <rPr>
        <sz val="11"/>
        <color theme="1"/>
        <rFont val="Calibri"/>
      </rPr>
      <t xml:space="preserve">
Bạn mang đôi giày mới ra bãi Cát để Isukat (thử) độ êm.
"I-su-cát": I (Tôi) cầm cái su (xu) đặt lên cát để Isukat (đo) vòng tròn.
Hãy Isukat (thử) chiếc áo có in hình bãi Cát trắng.</t>
    </r>
  </si>
  <si>
    <t>Rénmen tiàowǔ tiào dé zhēnměi!</t>
  </si>
  <si>
    <t>Cháu muốn mặc thử Filipiniana (Váy truyền thống cho nữ).</t>
  </si>
  <si>
    <t>Gusto ko isukat ang Filipiniana .</t>
  </si>
  <si>
    <t>Nhà bác có tổ chức tiệc không ạ?</t>
  </si>
  <si>
    <t>May handaan ba sa bahay niyo ?</t>
  </si>
  <si>
    <t>Wǒ kěyǐ pāizhào ma?</t>
  </si>
  <si>
    <t>Mời cháu vào ăn nhé.</t>
  </si>
  <si>
    <t>Pasok kayo , kain tayo .</t>
  </si>
  <si>
    <t>Món này là Lechon phải không ạ? (Heo quay).</t>
  </si>
  <si>
    <t>Lechon ba ito ?</t>
  </si>
  <si>
    <t>Zhè shēn yīfú zhēn piàoliang.</t>
  </si>
  <si>
    <t>Cháu thích ăn bánh gạo (Puto).</t>
  </si>
  <si>
    <t>Gusto ko ng Puto .</t>
  </si>
  <si>
    <t>Giáng sinh ở đây vui quá!</t>
  </si>
  <si>
    <t>Masaya ang Pasko rito !</t>
  </si>
  <si>
    <t>Zhè shì chuántǒng fúzhuāng ma?</t>
  </si>
  <si>
    <t>Merry Christmas ạ!</t>
  </si>
  <si>
    <r>
      <rPr>
        <sz val="11"/>
        <color rgb="FFFF0000"/>
        <rFont val="Calibri"/>
      </rPr>
      <t>Maligayang</t>
    </r>
    <r>
      <rPr>
        <sz val="11"/>
        <color theme="1"/>
        <rFont val="Calibri"/>
      </rPr>
      <t xml:space="preserve"> Pasko !</t>
    </r>
  </si>
  <si>
    <r>
      <rPr>
        <sz val="11"/>
        <color theme="1"/>
        <rFont val="Calibri"/>
      </rPr>
      <t xml:space="preserve">Maligayang (Hạnh phúc / Vui vẻ - thường dùng trong lời chúc)
Từ gốc: Ligaya (Niềm vui)
Âm thanh tương tự: "Má-lì-ga-yăng" (Má lì ga lăng)
5 Mẹo ghi nhớ:
</t>
    </r>
    <r>
      <rPr>
        <sz val="11"/>
        <color rgb="FFFF0000"/>
        <rFont val="Calibri"/>
      </rPr>
      <t>Má khen anh chàng rất Lì và Ga-lăng (ga yăng) nên ai cũng cảm thấy Maligayang (vui vẻ).</t>
    </r>
    <r>
      <rPr>
        <sz val="11"/>
        <color theme="1"/>
        <rFont val="Calibri"/>
      </rPr>
      <t xml:space="preserve">
Để có được sự Maligayang (hạnh phúc), bạn phải vừa Lì lợm vừa Ga-lăng.
"Má-li-ga-lăng": Má cầm cái Li rất Ga-lăng chúc mừng ngày Maligayang Pasko (Giáng sinh vui vẻ).
Tưởng tượng một người Má đang nhảy múa Ga-lăng trong một bữa tiệc Maligayang.
Lời chúc Maligayang được viết lên một chiếc xe Ga-lăng (sang trọng)</t>
    </r>
  </si>
  <si>
    <t>Cái đèn lồng này tên là gì ạ? (Parol ).</t>
  </si>
  <si>
    <t>Ano tawag dito ?</t>
  </si>
  <si>
    <t>Wǒ xiǎng shì chuān yīxià bā lóng tā jiā lù (Barong Tagalog, nánshì chuántǒng chènshān).</t>
  </si>
  <si>
    <t>Chúc mừng năm mới ạ!</t>
  </si>
  <si>
    <r>
      <rPr>
        <sz val="11"/>
        <color rgb="FFFF0000"/>
        <rFont val="Calibri"/>
      </rPr>
      <t xml:space="preserve">Manigong </t>
    </r>
    <r>
      <rPr>
        <sz val="11"/>
        <color theme="1"/>
        <rFont val="Calibri"/>
      </rPr>
      <t>Bagong Taon !</t>
    </r>
  </si>
  <si>
    <r>
      <rPr>
        <sz val="11"/>
        <color theme="1"/>
        <rFont val="Calibri"/>
      </rPr>
      <t>Manigong (Thịnh vượng / Phát đạt)
Từ gốc: Sigasig (Sự siêng năng/thịnh vượng)
Âm thanh tương tự: "Má-ní-gông"
5 Mẹo ghi nhớ:
Má đeo cái Ní (niềng) bằng vàng</t>
    </r>
    <r>
      <rPr>
        <sz val="11"/>
        <color rgb="FFFF0000"/>
        <rFont val="Calibri"/>
      </rPr>
      <t xml:space="preserve"> to như cái Gông</t>
    </r>
    <r>
      <rPr>
        <sz val="11"/>
        <color theme="1"/>
        <rFont val="Calibri"/>
      </rPr>
      <t xml:space="preserve"> để khoe sự Manigong (thịnh vượng).
"Má-ní-gông": Má bảo nếu không làm việc thịnh vượng (Manigong) thì sẽ bị ní vào gông.
Tưởng tượng một năm mới Manigong đầy ắp tiền vàng đựng trong cái Gông của Má.
Chúc mừng năm mới Manigong, Má tặng bạn một cái Ní (ly) hình cái Gông lạ mắt.
"Ma-ni-gông": Một con Ma cầm cái Ní (ví) và cái Gông đi ban phát sự Manigong.</t>
    </r>
  </si>
  <si>
    <t>Philippines có nhiều lễ hội quá.</t>
  </si>
  <si>
    <t>Maraming festival sa Pilipinas .</t>
  </si>
  <si>
    <t>Wǒ xiǎng shì chuān yīxià fēilǜbīn chuántǒng fúshì (Filipinaiana, nǚshì chuántǒng fúzhuāng).</t>
  </si>
  <si>
    <t>Cháu thích xem bắn pháo hoa.</t>
  </si>
  <si>
    <t>Gusto ko manood ng fireworks .</t>
  </si>
  <si>
    <t>Đừng đốt pháo nguy hiểm nhé.</t>
  </si>
  <si>
    <r>
      <rPr>
        <sz val="11"/>
        <color theme="1"/>
        <rFont val="Calibri"/>
      </rPr>
      <t xml:space="preserve">Huwag </t>
    </r>
    <r>
      <rPr>
        <sz val="11"/>
        <color rgb="FFFF0000"/>
        <rFont val="Calibri"/>
      </rPr>
      <t xml:space="preserve">magpaputok </t>
    </r>
    <r>
      <rPr>
        <sz val="11"/>
        <color theme="1"/>
        <rFont val="Calibri"/>
      </rPr>
      <t xml:space="preserve">, </t>
    </r>
    <r>
      <rPr>
        <sz val="11"/>
        <color rgb="FFFF0000"/>
        <rFont val="Calibri"/>
      </rPr>
      <t xml:space="preserve">delikado </t>
    </r>
    <r>
      <rPr>
        <sz val="11"/>
        <color theme="1"/>
        <rFont val="Calibri"/>
      </rPr>
      <t>.</t>
    </r>
  </si>
  <si>
    <r>
      <rPr>
        <sz val="11"/>
        <color theme="1"/>
        <rFont val="Calibri"/>
      </rPr>
      <t xml:space="preserve">Magpaputok (Đốt pháo / Làm nổ)
Từ gốc: Putok (Tiếng nổ)
Âm thanh tương tự: "Má-pha-phụ-tộc"
5 Mẹo ghi nhớ:
Má đang Pha trà cho các cụ Phụ lão trong Tộc khi mọi người chuẩn bị Magpaputok (đốt pháo).
"Mắc-pha-pu-tộc": Vì Mắc đi Pha nước cho Phụ lão trong Tộc nên bạn lỡ giờ Magpaputok.
Đừng Magpaputok (đốt pháo) trúng cái ấm Pha trà của Phụ lão trong Tộc.
"Má-pa-pu-tô": Má Pa (bảo) con mang bánh Pu-tô ra ăn để xem Magpaputok.
Tiếng nổ Magpaputok làm các cụ Phụ lão trong Tộc giật mình đánh rơi chén trà đang Pha.
---
Delikado (Nguy hiểm)
Từ gốc: Delikado (Gốc Tây Ban Nha)
Âm thanh tương tự: "Để-ly-cá-độ" hoặc "Đi-lì-cá-độ"
5 Mẹo ghi nhớ:
Đi Lì lợm đi Cá độ là một việc cực kỳ Delikado (nguy hiểm).
</t>
    </r>
    <r>
      <rPr>
        <sz val="11"/>
        <color rgb="FFFF0000"/>
        <rFont val="Calibri"/>
      </rPr>
      <t>"Để-ly-cá-độ": Đừng Để cái Ly ở chỗ mấy người Cá độ, vì nó rất Delikado (dễ vỡ/nguy hiểm)</t>
    </r>
    <r>
      <rPr>
        <sz val="11"/>
        <color theme="1"/>
        <rFont val="Calibri"/>
      </rPr>
      <t>.
Bạn thấy rất Delikado khi phải Để cái Ly lên bàn Cá độ.
"Đê-ly-ca-đô": Con Cá đang nhảy Đô (disco) trên cái Ly ở bờ Đê thật là Delikado.
Tưởng tượng một biển báo Delikado (nguy hiểm) cắm ở nơi mọi người đang Cá độ.</t>
    </r>
  </si>
  <si>
    <t>Nǐ jiā zài bàn pàiduì ma?</t>
  </si>
  <si>
    <t>Cháu đi lễ nhà thờ.</t>
  </si>
  <si>
    <t>Pupunta ako sa simbahan .</t>
  </si>
  <si>
    <t>Nhà thờ này cổ kính quá.</t>
  </si>
  <si>
    <t>Ang luma na ng simbahan na ito .</t>
  </si>
  <si>
    <t>Qǐng jìnlái chī diǎn dōngxī.</t>
  </si>
  <si>
    <t>Người Philippines rất thân thiện.</t>
  </si>
  <si>
    <t>Napakabait ng mga Pilipino .</t>
  </si>
  <si>
    <t>Cháu rất thích văn hóa ở đây.</t>
  </si>
  <si>
    <t>Gusto ko ang kultura rito .</t>
  </si>
  <si>
    <t>Zhè shì kǎo rǔ zhū (Lechon) ma?</t>
  </si>
  <si>
    <t>Bác kể cho cháu nghe một câu chuyện cổ tích nhé.</t>
  </si>
  <si>
    <r>
      <rPr>
        <sz val="11"/>
        <color theme="1"/>
        <rFont val="Calibri"/>
      </rPr>
      <t xml:space="preserve">Kwento kayo ng </t>
    </r>
    <r>
      <rPr>
        <sz val="11"/>
        <color rgb="FFFF0000"/>
        <rFont val="Calibri"/>
      </rPr>
      <t xml:space="preserve">alamat </t>
    </r>
    <r>
      <rPr>
        <sz val="11"/>
        <color theme="1"/>
        <rFont val="Calibri"/>
      </rPr>
      <t>sa akin .</t>
    </r>
  </si>
  <si>
    <r>
      <rPr>
        <sz val="11"/>
        <color theme="1"/>
        <rFont val="Calibri"/>
      </rPr>
      <t>1. Alamat (Truyền thuyết / Tích xưa)
Từ gốc: Alamat
Âm thanh tương tự: "Ăn-là-mát" hoặc "Á-là-mắt"
5 Mẹo ghi nhớ:
Nghe kể chuyện Alamat (truyền thuyết) về một loại quả mà c</t>
    </r>
    <r>
      <rPr>
        <sz val="11"/>
        <color rgb="FFFF0000"/>
        <rFont val="Calibri"/>
      </rPr>
      <t xml:space="preserve">ứ Ăn vào là thấy Mát rượi.
</t>
    </r>
    <r>
      <rPr>
        <sz val="11"/>
        <color theme="1"/>
        <rFont val="Calibri"/>
      </rPr>
      <t xml:space="preserve">
"Á! Là mắt": Trong cuốn sách Alamat, nhân vật chính có con mắt thần nhìn thấu quá khứ.
Bạn ngồi dưới gốc cây Mát để đọc những câu chuyện Alamat của Philippines.
Một câu chuyện Alamat kể về việc Ăn một miếng bánh là biến thành vị tiên Mát mẻ.
Hình dung một ông lão đang Ăn kem mát lạnh và kể chuyện Alamat cho lũ trẻ.</t>
    </r>
  </si>
  <si>
    <t>Đây là món quà nhỏ của cháu.</t>
  </si>
  <si>
    <r>
      <rPr>
        <sz val="11"/>
        <color theme="1"/>
        <rFont val="Calibri"/>
      </rPr>
      <t xml:space="preserve">Ito ang </t>
    </r>
    <r>
      <rPr>
        <sz val="11"/>
        <color rgb="FFFF0000"/>
        <rFont val="Calibri"/>
      </rPr>
      <t xml:space="preserve">munting regalo </t>
    </r>
    <r>
      <rPr>
        <sz val="11"/>
        <color theme="1"/>
        <rFont val="Calibri"/>
      </rPr>
      <t>ko .</t>
    </r>
  </si>
  <si>
    <r>
      <rPr>
        <sz val="11"/>
        <color theme="1"/>
        <rFont val="Calibri"/>
      </rPr>
      <t>Munting (Nhỏ bé / Nhỏ nhắn)
Từ gốc: Munti
Âm thanh tương tự: "Mun-tình" (Mèo mun có tình)
5 Mẹo ghi nhớ:
Một món quà Munting (nhỏ bé) nhưng chứa đựng rất nhiều Tình cảm.
Con mèo Mun có cái đuôi Munting (nhỏ xíu) trông rất đáng yêu.
"Mún-tỉnh</t>
    </r>
    <r>
      <rPr>
        <sz val="11"/>
        <color rgb="FFFF0000"/>
        <rFont val="Calibri"/>
      </rPr>
      <t>": Chỉ cần một cốc cà phê Munting (nhỏ) thôi là tôi đã Tỉnh táo ngay</t>
    </r>
    <r>
      <rPr>
        <sz val="11"/>
        <color theme="1"/>
        <rFont val="Calibri"/>
      </rPr>
      <t>.
Bạn tặng một ngôi nhà Munting (nhỏ) cho con búp bê tên Mun.
Những sinh vật Munting (nhỏ bé) đang ẩn nấp trong bụi cây Mun.
---
Regalo (Quà tặng)
Từ gốc: Regalo (Gốc Tây Ban Nha)
Âm thanh tương tự: "Rê-ga-lô" (Rê con gà vào lô)
5 Mẹo ghi nhớ:
Bạn Rê con Gà vào cái Lô đất để tặng người thân làm Regalo tân gia.
"Rẻ-ga-lố":</t>
    </r>
    <r>
      <rPr>
        <sz val="11"/>
        <color rgb="FFFF0000"/>
        <rFont val="Calibri"/>
      </rPr>
      <t xml:space="preserve"> Bạn mua một món Regalo vừa Rẻ, vừa Ga-lăng mà không sợ bị Lố.</t>
    </r>
    <r>
      <rPr>
        <sz val="11"/>
        <color theme="1"/>
        <rFont val="Calibri"/>
      </rPr>
      <t xml:space="preserve">
Trong hộp Regalo có một con Gà bằng nhựa đang nằm trong cái Lô uốn tóc.
Lái xe Ga chở một cái Lô hàng đầy ắp quà Regalo.
"Rê-gà-lố": Con Gà bị Rê đi chạy Lố qua cả chỗ nhận Regalo.
5 Từ đồng nghĩa: Handog, Alaala, Bigay, Pasalubong, Biyaya.
5 Từ trái nghĩa: Nakaw, Utang, Bayad, Pautang, Singil.</t>
    </r>
  </si>
  <si>
    <t>Wǒ xǐhuān chī mǐ gāo (Puto).</t>
  </si>
  <si>
    <t>Cảm ơn bác đã mời cháu.</t>
  </si>
  <si>
    <t>Salamat sa pag-imbita sa akin .</t>
  </si>
  <si>
    <t>Cháu rất vui khi được ở đây.</t>
  </si>
  <si>
    <t>Masaya ako na nandito ako .</t>
  </si>
  <si>
    <t>Zhèlǐ de shèngdàn jié zhēn rènào!</t>
  </si>
  <si>
    <t>Hôm nay là ngày lễ gì thế ạ?</t>
  </si>
  <si>
    <t>Anong okasyon ngayon ?</t>
  </si>
  <si>
    <t>Cháu muốn mua đồ lưu niệm.</t>
  </si>
  <si>
    <r>
      <rPr>
        <sz val="11"/>
        <color theme="1"/>
        <rFont val="Calibri"/>
      </rPr>
      <t xml:space="preserve">Gusto ko bumili ng </t>
    </r>
    <r>
      <rPr>
        <sz val="11"/>
        <color rgb="FFFF0000"/>
        <rFont val="Calibri"/>
      </rPr>
      <t xml:space="preserve">pasalubong </t>
    </r>
    <r>
      <rPr>
        <sz val="11"/>
        <color theme="1"/>
        <rFont val="Calibri"/>
      </rPr>
      <t>.</t>
    </r>
  </si>
  <si>
    <r>
      <rPr>
        <sz val="11"/>
        <color theme="1"/>
        <rFont val="Calibri"/>
      </rPr>
      <t xml:space="preserve">Pasalubong (Quà mua về sau một chuyến đi)
Từ gốc: Salubong (Đón tiếp/Gặp gỡ)
Âm thanh tương tự: "Ba-xa-lu-bông" (Ba đi xa về cho lũ bông)
5 Mẹo ghi nhớ:
Ba đi Xa về mua cho Lũ trẻ một đống thú nhồi Bông làm Pasalubong.
</t>
    </r>
    <r>
      <rPr>
        <sz val="11"/>
        <color rgb="FFFF0000"/>
        <rFont val="Calibri"/>
      </rPr>
      <t>Khi đi Xa, hãy nhớ mua Pasalubong là những chiếc Bông tai xinh xắn.</t>
    </r>
    <r>
      <rPr>
        <sz val="11"/>
        <color theme="1"/>
        <rFont val="Calibri"/>
      </rPr>
      <t xml:space="preserve">
"Pha-xa-lũ-bông": Vừa Pha trà vừa ngồi Xa ngắm Lũ hoa Bông mà bạn được tặng làm Pasalubong.
Mang quà Pasalubong chạy thật Xa để khỏi bị Lũ em tranh giành.
Bạn mua một cái Bông hồng thật Xa xỉ để làm quà Pasalubong.</t>
    </r>
  </si>
  <si>
    <t>Shèngdàn kuàilè!</t>
  </si>
  <si>
    <t>Cái này làm bằng tay ạ?</t>
  </si>
  <si>
    <t>Handmade ba ito ?</t>
  </si>
  <si>
    <t>Đẹp và đặc biệt quá.</t>
  </si>
  <si>
    <t>Maganda at unique .</t>
  </si>
  <si>
    <t>Zhège dēnglóng jiào shénme?(Parol)</t>
  </si>
  <si>
    <t>Cháu sẽ mang nó về Việt Nam.</t>
  </si>
  <si>
    <t>Dadalhin ko ito sa Vietnam .</t>
  </si>
  <si>
    <t>Cháu muốn học nhảy điệu Tinikling (Điệu nhảy sạp bằng tre).</t>
  </si>
  <si>
    <t>Gusto ko matutong mag-Tinikling .</t>
  </si>
  <si>
    <t>xīnnián kuàilè!</t>
  </si>
  <si>
    <t>Cẩn thận kẻo kẹp chân nhé!</t>
  </si>
  <si>
    <t>Ingat sa paa !</t>
  </si>
  <si>
    <t>Nhạc hội vui quá!</t>
  </si>
  <si>
    <t>Masaya ang concert !</t>
  </si>
  <si>
    <t>Fēilǜbīn yǒu hěnduō jiérì.</t>
  </si>
  <si>
    <t>Mọi người hát cùng nhau nào.</t>
  </si>
  <si>
    <t>Sabay-sabay tayong kumanta .</t>
  </si>
  <si>
    <t>Cháu thấy rất tự hào.</t>
  </si>
  <si>
    <t>Proud ako .</t>
  </si>
  <si>
    <t>Wǒ xǐhuān kàn yānhuā.</t>
  </si>
  <si>
    <t>Bác là người vùng nào ạ?</t>
  </si>
  <si>
    <t>Taga-saan kayong probinsya ?</t>
  </si>
  <si>
    <t>Cháu thích đi du lịch các tỉnh.</t>
  </si>
  <si>
    <t>Gusto ko mag-travel sa mga probinsya .</t>
  </si>
  <si>
    <t>Qǐng bùyào ránfàng biānpào, hěn wéixiǎn.</t>
  </si>
  <si>
    <t>Có đặc sản gì không ạ?</t>
  </si>
  <si>
    <t>Ano pasalubong rito ?</t>
  </si>
  <si>
    <t>Cháu mua một ít về làm quà nhé.</t>
  </si>
  <si>
    <t>Bibili ako ng konting pasalubong .</t>
  </si>
  <si>
    <t>Wǒ yào qù jiàotáng.</t>
  </si>
  <si>
    <t>Đừng vứt rác bừa bãi khi đi hội nhé.</t>
  </si>
  <si>
    <r>
      <rPr>
        <sz val="11"/>
        <color theme="1"/>
        <rFont val="Calibri"/>
      </rPr>
      <t xml:space="preserve">Huwag </t>
    </r>
    <r>
      <rPr>
        <sz val="11"/>
        <color rgb="FFFF0000"/>
        <rFont val="Calibri"/>
      </rPr>
      <t xml:space="preserve">magkakalat </t>
    </r>
    <r>
      <rPr>
        <sz val="11"/>
        <color theme="1"/>
        <rFont val="Calibri"/>
      </rPr>
      <t>ng basura .</t>
    </r>
  </si>
  <si>
    <r>
      <rPr>
        <sz val="11"/>
        <color theme="1"/>
        <rFont val="Calibri"/>
      </rPr>
      <t xml:space="preserve">Magkakalat (Sẽ bày bừa / Sẽ xả rác)
Từ gốc: Kalat (Rác/Bừa bãi)
Âm thanh tương tự: "Mắc-ca-lát" (Mắc ca thái lát)
5 Mẹo ghi nhớ:
Nếu bạn ăn hạt Mắc-ca mà thái Lát mỏng thì vỏ sẽ Magkakalat (văng bừa bãi) khắp nhà.
"Mắc-ca-lát": Đừng để Mắc lỗi vì làm rơi những </t>
    </r>
    <r>
      <rPr>
        <sz val="11"/>
        <color rgb="FFFF0000"/>
        <rFont val="Calibri"/>
      </rPr>
      <t>Lát cá khiến sàn nhà bị Magkakalat (bẩn bừa bãi).</t>
    </r>
    <r>
      <rPr>
        <sz val="11"/>
        <color theme="1"/>
        <rFont val="Calibri"/>
      </rPr>
      <t xml:space="preserve">
Em bé đang Magkakalat (bày bừa) những miếng Lát gạch đồ chơi trên sàn.
Đừng Magkakalat (xả rác) những Lát bánh mì ra công viên nhé.
"Mắc-ca-lát": Vì Mắc đi chơi nên bạn đã Magkakalat hết đống quần áo vừa Lát (là/ủi) xong.</t>
    </r>
  </si>
  <si>
    <t>Hãy giữ gìn vệ sinh chung ạ.</t>
  </si>
  <si>
    <r>
      <rPr>
        <sz val="11"/>
        <color rgb="FFFF0000"/>
        <rFont val="Calibri"/>
      </rPr>
      <t xml:space="preserve">Panatilihing </t>
    </r>
    <r>
      <rPr>
        <sz val="11"/>
        <color theme="1"/>
        <rFont val="Calibri"/>
      </rPr>
      <t>malinis ang paligid .</t>
    </r>
  </si>
  <si>
    <r>
      <rPr>
        <sz val="11"/>
        <color theme="1"/>
        <rFont val="Calibri"/>
      </rPr>
      <t>Panatilihing (Hãy duy trì / Giữ cho...)
Từ gốc: Tili (Duy trì/Tiếp tục)
Âm thanh tương tự: "Ba-na-ti-li-hình"
5 Mẹo ghi nhớ:
Ba bảo Na hãy T</t>
    </r>
    <r>
      <rPr>
        <sz val="11"/>
        <color rgb="FFFF0000"/>
        <rFont val="Calibri"/>
      </rPr>
      <t>ỉ mỉ lau cái Ly và cái Hình để Panatilihing (duy trì) độ sạch sẽ.</t>
    </r>
    <r>
      <rPr>
        <sz val="11"/>
        <color theme="1"/>
        <rFont val="Calibri"/>
      </rPr>
      <t xml:space="preserve">
"Pha-na-tí-ly": Pha cho Na một Tí nước vào Ly để Panatilihing (giữ cho) nó không bị cạn.
Panatilihing (hãy giữ cho) cái Hình của bạn luôn đẹp như phim Ti-vi.
"Ba-na-tí-li": Ba và Na đứng Tí (một tí) ở chỗ Lì (cũ) để Panatilihing vị trí đứng.
Để Panatilihing (duy trì) sức khỏe, hãy tập thể dục Tí rồi xem Hình.</t>
    </r>
  </si>
  <si>
    <t>Zhè zuò jiàotáng zhēn gǔlǎo.</t>
  </si>
  <si>
    <t>Lễ hội này diễn ra hàng năm ạ?</t>
  </si>
  <si>
    <t>Taon-taon ba ito ?</t>
  </si>
  <si>
    <t>Cháu sẽ quay lại vào năm sau.</t>
  </si>
  <si>
    <t>Babalik ako sa susunod na taon .</t>
  </si>
  <si>
    <t>Fēilǜbīn rén fēicháng yǒuhǎo.</t>
  </si>
  <si>
    <t>Philippines thật tuyệt vời.</t>
  </si>
  <si>
    <t>Ang galing ng Pilipinas .</t>
  </si>
  <si>
    <t>Cháu yêu con người ở đây.</t>
  </si>
  <si>
    <t>Mahal ko ang mga tao rito .</t>
  </si>
  <si>
    <t>Wǒ zhēn de hěn xǐhuān zhèlǐ de wénhuà.</t>
  </si>
  <si>
    <t>Chúc mọi người một mùa lễ vui vẻ!</t>
  </si>
  <si>
    <t>Happy holidays sa lahat !</t>
  </si>
  <si>
    <t>Qǐng gěi wǒ jiǎng gè tónghuà gùshì ba.</t>
  </si>
  <si>
    <t>Zhè shì wǒ de xiǎo lǐwù.</t>
  </si>
  <si>
    <t>Xièxiè nǐ yāoqǐng wǒ.</t>
  </si>
  <si>
    <t>Wǒ hěn gāoxìng lái dào zhèlǐ.</t>
  </si>
  <si>
    <t>Wǒ xiǎng mǎi xiē jìniànpǐn.</t>
  </si>
  <si>
    <t>Zhè shì shǒugōng zhìzuò de ma?</t>
  </si>
  <si>
    <t>Tā zhēn piàoliang, dúyīwú'èr.</t>
  </si>
  <si>
    <t>Wǒ yào bǎ tā dài huí yuènán.</t>
  </si>
  <si>
    <t>Wǒ xiǎng xué zhúgān wǔ (Tinikling).</t>
  </si>
  <si>
    <t>Xiǎoxīn bié bèi zhúgān bàn zhù!</t>
  </si>
  <si>
    <t>Yīnyuè jié zhēn hǎowán!</t>
  </si>
  <si>
    <t>Wǒmen yīqǐ chànggē ba.</t>
  </si>
  <si>
    <t>Wǒ gǎndào fēicháng zìháo.</t>
  </si>
  <si>
    <t>Wǒ xǐhuān qù bùtóng de shěngfèn lǚxíng.</t>
  </si>
  <si>
    <t>Yǒu shé me dāngdì tèchǎn ma?</t>
  </si>
  <si>
    <t>Wǒ xiǎng mǎi yīxiē sòng rén.</t>
  </si>
  <si>
    <t>Qǐng bùyào zài jiérì qíjiān luàn rēng lèsè.</t>
  </si>
  <si>
    <t>Qǐng bǎochí chǎngdì qīngjié.</t>
  </si>
  <si>
    <t>Zhège jiérì měinián dōu jǔbàn ma?</t>
  </si>
  <si>
    <t>Wǒ míngnián hái huì zàilái.</t>
  </si>
  <si>
    <t>Fēilǜbīn zhēnshi tài bàngle!</t>
  </si>
  <si>
    <t>Wǒ xǐhuān zhèlǐ de rénmen.</t>
  </si>
  <si>
    <t>Zhù dàjiā jiérì kuàilè!</t>
  </si>
  <si>
    <t>Chủ đề 16: Thể thao và Giải trí</t>
  </si>
  <si>
    <t>Bạn có thích thể thao không?</t>
  </si>
  <si>
    <t>Mahilig ka ba sa sports ?</t>
  </si>
  <si>
    <t>Nǐ xǐhuān yùndòng ma?</t>
  </si>
  <si>
    <t>Đi chơi bóng rổ đi!</t>
  </si>
  <si>
    <t>Mag-basketball tayo !</t>
  </si>
  <si>
    <t>Bạn chơi vị trí nào?</t>
  </si>
  <si>
    <t>Anong position mo ?</t>
  </si>
  <si>
    <t>Wǒmen lái dǎ lánqiú ba!</t>
  </si>
  <si>
    <t>Cho tớ vào đội với</t>
  </si>
  <si>
    <t>Pasali naman sa team .</t>
  </si>
  <si>
    <t>Ném bóng đi!</t>
  </si>
  <si>
    <t>I-shoot mo na !</t>
  </si>
  <si>
    <t>Nǐ dǎ shénme wèizhì?</t>
  </si>
  <si>
    <t>Chuyền bóng cho tớ!</t>
  </si>
  <si>
    <t>Pasa rito !</t>
  </si>
  <si>
    <t>Bạn ném giỏi quá!</t>
  </si>
  <si>
    <t>Ang galing mong mag-shoot !</t>
  </si>
  <si>
    <t>Ràng wǒ jiārù nǐmen duì!</t>
  </si>
  <si>
    <r>
      <rPr>
        <sz val="11"/>
        <color theme="1"/>
        <rFont val="Calibri"/>
      </rPr>
      <t xml:space="preserve">Anong team ang </t>
    </r>
    <r>
      <rPr>
        <sz val="11"/>
        <color rgb="FFFF0000"/>
        <rFont val="Calibri"/>
      </rPr>
      <t xml:space="preserve">lamang </t>
    </r>
    <r>
      <rPr>
        <sz val="11"/>
        <color theme="1"/>
        <rFont val="Calibri"/>
      </rPr>
      <t>?</t>
    </r>
  </si>
  <si>
    <r>
      <rPr>
        <sz val="11"/>
        <color theme="1"/>
        <rFont val="Calibri"/>
      </rPr>
      <t>Lamang (Chỉ là / Ưu thế / Dẫn trước)
Từ gốc: Lamang
Âm thanh tương tự: "Là-măng" (Là búp măng)
5 Mẹo ghi nhớ:
Trong cuộc đua, bạn Lamang (dẫn trước) đối thủ vì bạn ăn nhiều Măng.
"Chỉ là (Lamang) một búp Măng thôi mà, có gì đâu!"
Tưởng tượng một người cầm búp Măng đứng ở vị trí Lamang (ưu thế) trên đỉnh núi.
"Là-măng": Bạn khẳng định món quà này Là Măng,</t>
    </r>
    <r>
      <rPr>
        <sz val="11"/>
        <color rgb="FFFF0000"/>
        <rFont val="Calibri"/>
      </rPr>
      <t xml:space="preserve"> chỉ là măng thôi.</t>
    </r>
    <r>
      <rPr>
        <sz val="11"/>
        <color theme="1"/>
        <rFont val="Calibri"/>
      </rPr>
      <t xml:space="preserve">
Đọc lái đ</t>
    </r>
    <r>
      <rPr>
        <sz val="11"/>
        <color rgb="FFFF0000"/>
        <rFont val="Calibri"/>
      </rPr>
      <t>i: "Lá-măng" - Chiếc Lá của búp Măng là phần Lamang (vượt trội) nhất</t>
    </r>
    <r>
      <rPr>
        <sz val="11"/>
        <color theme="1"/>
        <rFont val="Calibri"/>
      </rPr>
      <t>.</t>
    </r>
  </si>
  <si>
    <t>Tỉ số bao nhiêu rồi?</t>
  </si>
  <si>
    <t>Anong score na ?</t>
  </si>
  <si>
    <t>Tóulán!</t>
  </si>
  <si>
    <t>Cháu mệt quá, cho cháu nghỉ tí</t>
  </si>
  <si>
    <t>Pagod na ako , pahinga muna .</t>
  </si>
  <si>
    <t>Cho cháu xin ngụm nước</t>
  </si>
  <si>
    <t>Bǎ qiú chuán gěi wǒ!</t>
  </si>
  <si>
    <t>Trận đấu hay quá!</t>
  </si>
  <si>
    <t>Ang ganda ng laro !</t>
  </si>
  <si>
    <t>Bạn là cầu thủ yêu thích của tớ</t>
  </si>
  <si>
    <t>Idol kita !</t>
  </si>
  <si>
    <t>Nǐ tóulán zhēn zhǔn!</t>
  </si>
  <si>
    <t>Cháu thích chơi cầu lông</t>
  </si>
  <si>
    <t>Gusto ko mag-badminton .</t>
  </si>
  <si>
    <t>Cháu thích đi bơi</t>
  </si>
  <si>
    <t>Gusto ko mag-swimming .</t>
  </si>
  <si>
    <t>Nǎ duì lǐngxiān?</t>
  </si>
  <si>
    <t>Bể bơi ở đâu ạ?</t>
  </si>
  <si>
    <t>Nasaan ang swimming pool ?</t>
  </si>
  <si>
    <t>Nước có sâu không ạ?</t>
  </si>
  <si>
    <t>Malalalim ba ang tubig ?</t>
  </si>
  <si>
    <t>Xiànzài bǐfēn shì duōshǎo?</t>
  </si>
  <si>
    <t>Đừng chạy quanh bể bơi nhé</t>
  </si>
  <si>
    <t>Huwag tatakbo sa tabi ng pool .</t>
  </si>
  <si>
    <t>Cháu thích đi xem phim</t>
  </si>
  <si>
    <t>Gusto ko manood ng sine .</t>
  </si>
  <si>
    <t>Wǒ hǎo lèi, kěyǐ xiūxí yīhuǐ'er ma?</t>
  </si>
  <si>
    <t>Phim nào đang hot thế ạ?</t>
  </si>
  <si>
    <t>Anong movie ang sikat ngayon ?</t>
  </si>
  <si>
    <t>Cho cháu 2 vé xem phim</t>
  </si>
  <si>
    <t>Dalawang ticket .</t>
  </si>
  <si>
    <t>Wǒ kěyǐ hē diǎn shuǐ ma?</t>
  </si>
  <si>
    <t>Có bắp rang bơ (popcorn) không ạ?</t>
  </si>
  <si>
    <r>
      <rPr>
        <sz val="11"/>
        <color theme="1"/>
        <rFont val="Calibri"/>
      </rPr>
      <t xml:space="preserve">May </t>
    </r>
    <r>
      <rPr>
        <sz val="11"/>
        <color rgb="FFFF0000"/>
        <rFont val="Calibri"/>
      </rPr>
      <t xml:space="preserve">popcorn </t>
    </r>
    <r>
      <rPr>
        <sz val="11"/>
        <color theme="1"/>
        <rFont val="Calibri"/>
      </rPr>
      <t>ba ?</t>
    </r>
  </si>
  <si>
    <r>
      <rPr>
        <sz val="11"/>
        <color theme="1"/>
        <rFont val="Calibri"/>
      </rPr>
      <t xml:space="preserve">Popcorn (Bắp rang bơ)
Từ gốc: Popcorn (Mượn tiếng Anh)
Âm thanh tương tự: "Bốp-con" (Tiếng kêu và đứa con)
5 Mẹo ghi nhớ:
Tiếng Popcorn nổ Bốp một cái khiến đứa Con giật mình.
Bạn mua Popcorn cho Con để nó không phá Bốp (hộp) đồ chơi.
</t>
    </r>
    <r>
      <rPr>
        <sz val="11"/>
        <color rgb="FFFF0000"/>
        <rFont val="Calibri"/>
      </rPr>
      <t>Tưởng tượng hạt Popcorn nổ vang tiếng Bốp như tiếng vỗ tay.</t>
    </r>
    <r>
      <rPr>
        <sz val="11"/>
        <color theme="1"/>
        <rFont val="Calibri"/>
      </rPr>
      <t xml:space="preserve">
"Bộp-cơn": Một Cơn mưa Popcorn rơi xuống kêu Bộp bộp trên mái nhà.
Con bạn rất thích ăn Popcorn giòn tan kêu Bốp trong miệng.</t>
    </r>
  </si>
  <si>
    <t>Phim này bắt đầu lúc mấy giờ?</t>
  </si>
  <si>
    <t>Anong oras magsisimula ?</t>
  </si>
  <si>
    <t>Bǐsài zhēn jīngcǎi!</t>
  </si>
  <si>
    <t>Phim hay quá, cháu rất thích</t>
  </si>
  <si>
    <t>Maganda ang movie , nagustuhan ko .</t>
  </si>
  <si>
    <t>Cháu thích xem phim hài</t>
  </si>
  <si>
    <r>
      <rPr>
        <sz val="11"/>
        <color theme="1"/>
        <rFont val="Calibri"/>
      </rPr>
      <t xml:space="preserve">Gusto ko ng </t>
    </r>
    <r>
      <rPr>
        <sz val="11"/>
        <color rgb="FFFF0000"/>
        <rFont val="Calibri"/>
      </rPr>
      <t xml:space="preserve">comedy </t>
    </r>
    <r>
      <rPr>
        <sz val="11"/>
        <color theme="1"/>
        <rFont val="Calibri"/>
      </rPr>
      <t>.</t>
    </r>
  </si>
  <si>
    <r>
      <rPr>
        <sz val="11"/>
        <color theme="1"/>
        <rFont val="Calibri"/>
      </rPr>
      <t xml:space="preserve">Comedy (Hài kịch)
Từ gốc: Komedya (Gốc Tây Ban Nha/Anh)
Âm thanh tương tự: "Cô-mê-đi" (Cô ấy mê đi)
5 Mẹo ghi nhớ:
</t>
    </r>
    <r>
      <rPr>
        <sz val="11"/>
        <color rgb="FFFF0000"/>
        <rFont val="Calibri"/>
      </rPr>
      <t>Cô ấy rất Mê Đi xem Comedy (hài kịch) mỗi cuối tuần.</t>
    </r>
    <r>
      <rPr>
        <sz val="11"/>
        <color theme="1"/>
        <rFont val="Calibri"/>
      </rPr>
      <t xml:space="preserve">
Xem Comedy xong là bạn Mê luôn, muốn Đi xem mãi không thôi.
"Cô-mê-đì": Cô giáo thích diễn Comedy nhưng giọng hơi Đì (trầm).
Một người Cô đang Mê mẩn diễn trò Comedy giữa đường Đi.
Đừng Mê Đi chơi linh tinh, hãy ở nhà xem Comedy cho vui.</t>
    </r>
  </si>
  <si>
    <t>Nǐ shì wǒ zuì xǐhuān de qiúyuán!</t>
  </si>
  <si>
    <t>Đi Mall chơi không?</t>
  </si>
  <si>
    <t>Gala tayo sa mall ?</t>
  </si>
  <si>
    <t>Ở Mall có điều hòa mát lắm</t>
  </si>
  <si>
    <t>Malamig sa mall , may aircon .</t>
  </si>
  <si>
    <t>Wǒ xǐhuān dǎ yǔmáoqiú.</t>
  </si>
  <si>
    <t>Cháu thích chơi ở khu trò chơi</t>
  </si>
  <si>
    <t>Gusto ko maglaro sa arcade .</t>
  </si>
  <si>
    <t>Cho cháu xu để chơi máy gắp thú</t>
  </si>
  <si>
    <r>
      <rPr>
        <sz val="11"/>
        <color theme="1"/>
        <rFont val="Calibri"/>
      </rPr>
      <t xml:space="preserve">Pahingi ng token para sa </t>
    </r>
    <r>
      <rPr>
        <sz val="11"/>
        <color rgb="FFFF0000"/>
        <rFont val="Calibri"/>
      </rPr>
      <t xml:space="preserve">claw </t>
    </r>
    <r>
      <rPr>
        <sz val="11"/>
        <color theme="1"/>
        <rFont val="Calibri"/>
      </rPr>
      <t>machine .</t>
    </r>
  </si>
  <si>
    <r>
      <rPr>
        <sz val="11"/>
        <color theme="1"/>
        <rFont val="Calibri"/>
      </rPr>
      <t>Claw (Cái càng / Móng vuốt / Máy gắp gấu)
Từ gốc: Kuko (nhưng trong game/máy móc thường gọi trực tiếp là Claw)
Âm thanh tương tự: "Cờ-lao" (Cái cờ và lau chùi)
5 Mẹo ghi nhớ:
Dùng cái Claw (càng gắp) để gắp lá Cờ rồi mang đi Lao (lau) cho sạch.
Con chim có bộ Claw (móng vuốt) sắc như lưỡi Lao.
Bạn bị Lao xuống dốc vì cái Claw của xe bị hỏng.
"Cờ-lao"</t>
    </r>
    <r>
      <rPr>
        <sz val="11"/>
        <color rgb="FFFF0000"/>
        <rFont val="Calibri"/>
      </rPr>
      <t xml:space="preserve">: Cắm lá Cờ vào cái Claw để đánh dấu máy gắp gấu này.
</t>
    </r>
    <r>
      <rPr>
        <sz val="11"/>
        <color theme="1"/>
        <rFont val="Calibri"/>
      </rPr>
      <t xml:space="preserve">
Tưởng tượng bạn đang Lao động vất vả để điều khiển cái Claw.</t>
    </r>
  </si>
  <si>
    <t>Wǒ xǐhuān yóuyǒng.</t>
  </si>
  <si>
    <t>Cháu muốn thắng con gấu bông này</t>
  </si>
  <si>
    <r>
      <rPr>
        <sz val="11"/>
        <color theme="1"/>
        <rFont val="Calibri"/>
      </rPr>
      <t xml:space="preserve">Gusto ko makuha itong </t>
    </r>
    <r>
      <rPr>
        <sz val="11"/>
        <color rgb="FFFF0000"/>
        <rFont val="Calibri"/>
      </rPr>
      <t xml:space="preserve">teddy </t>
    </r>
    <r>
      <rPr>
        <sz val="11"/>
        <color theme="1"/>
        <rFont val="Calibri"/>
      </rPr>
      <t>bear .</t>
    </r>
  </si>
  <si>
    <r>
      <rPr>
        <sz val="11"/>
        <color theme="1"/>
        <rFont val="Calibri"/>
      </rPr>
      <t xml:space="preserve">Teddy Bear (Gấu bông)
Từ gốc: Teddy Bear (Mượn tiếng Anh)
Âm thanh tương tự: "Té-đi-be" (Té khi đi bên bờ đê)
5 Mẹo ghi nhớ:
</t>
    </r>
    <r>
      <rPr>
        <sz val="11"/>
        <color rgb="FFFF0000"/>
        <rFont val="Calibri"/>
      </rPr>
      <t xml:space="preserve">
Bạn mải ôm Teddy Bear nên bị Té khi đang Đi ở bên Be (bờ đê).</t>
    </r>
    <r>
      <rPr>
        <sz val="11"/>
        <color theme="1"/>
        <rFont val="Calibri"/>
      </rPr>
      <t xml:space="preserve">
Con Teddy Bear này biết Đi nên nó không bao giờ bị Té.
"Té-đi-be": Đừng để Teddy Bear bị Té, hãy mang nó Đi về Be (nhà).
Tưởng tượng một con Teddy Bear khổng lồ bị Té nhào xuống nước.
Bạn vừa Đi vừa hát, tay cầm Teddy Bear sợ bị Té mất quà.</t>
    </r>
  </si>
  <si>
    <t>Bạn có thích hát không?</t>
  </si>
  <si>
    <t>Mahilig ka bang kumanta ?</t>
  </si>
  <si>
    <t>Yóuyǒngchí zài nǎlǐ?</t>
  </si>
  <si>
    <t>Đi hát Karaoke (Videoke) đi!</t>
  </si>
  <si>
    <t>Mag-videoke tayo !</t>
  </si>
  <si>
    <t>Đến lượt bạn hát rồi kìa</t>
  </si>
  <si>
    <t>Turn mo na kumanta .</t>
  </si>
  <si>
    <t>Shuǐshēn ma?</t>
  </si>
  <si>
    <t>Chọn bài nào bây giờ nhỉ?</t>
  </si>
  <si>
    <t>Anong kanta ang pipiliin ?</t>
  </si>
  <si>
    <t>Bạn hát như ca sĩ vậy!</t>
  </si>
  <si>
    <t>Parang singer ka !</t>
  </si>
  <si>
    <t>Bùyào zài yǒngchí biān luàn pǎo!</t>
  </si>
  <si>
    <t>Cháu thích nhảy TikTok</t>
  </si>
  <si>
    <t>Gusto ko mag-TikTok dance .</t>
  </si>
  <si>
    <t>Quay cùng cháu một video nhé</t>
  </si>
  <si>
    <t>Gawa tayo ng video .</t>
  </si>
  <si>
    <t>Wǒ xǐhuān qù kàn diànyǐng.</t>
  </si>
  <si>
    <t>Cháu thích chơi cờ vua</t>
  </si>
  <si>
    <t>Gusto ko mag-chess .</t>
  </si>
  <si>
    <t>Bạn thắng rồi, giỏi quá!</t>
  </si>
  <si>
    <t>Panalo ka , ang galing !</t>
  </si>
  <si>
    <t>Xiànzài zuì huǒ de diànyǐng shì shénme?</t>
  </si>
  <si>
    <t>Cháu thua rồi, chơi lại nhé</t>
  </si>
  <si>
    <t>Talo ako , laro tayo ulit .</t>
  </si>
  <si>
    <t>Đừng gian lận nhé!</t>
  </si>
  <si>
    <r>
      <rPr>
        <sz val="11"/>
        <color theme="1"/>
        <rFont val="Calibri"/>
      </rPr>
      <t xml:space="preserve">Huwag </t>
    </r>
    <r>
      <rPr>
        <sz val="11"/>
        <color rgb="FFFF0000"/>
        <rFont val="Calibri"/>
      </rPr>
      <t xml:space="preserve">mandaya </t>
    </r>
    <r>
      <rPr>
        <sz val="11"/>
        <color theme="1"/>
        <rFont val="Calibri"/>
      </rPr>
      <t>!</t>
    </r>
  </si>
  <si>
    <r>
      <rPr>
        <sz val="11"/>
        <color theme="1"/>
        <rFont val="Calibri"/>
      </rPr>
      <t xml:space="preserve">Mandaya (Gian lận / Lừa dối)
Từ gốc: Daya (Sự gian lận)
Âm thanh tương tự: "Mặn-đã-ya" (Mặn đã quá nha)
5 Mẹo ghi nhớ:
Kẻ Mandaya (gian lận) bỏ thêm muối vào canh cho Mặn rồi kêu Đã quá Ya!
Đừng Mandaya, nếu không cuộc đời bạn sẽ gặp kết cục chua cay Mặn chát.
</t>
    </r>
    <r>
      <rPr>
        <sz val="11"/>
        <color rgb="FFFF0000"/>
        <rFont val="Calibri"/>
      </rPr>
      <t>"Màn-da-da": Dùng cái Màn bằng Da để che đậy hành vi Mandaya.</t>
    </r>
    <r>
      <rPr>
        <sz val="11"/>
        <color theme="1"/>
        <rFont val="Calibri"/>
      </rPr>
      <t xml:space="preserve">
Anh ta Mandaya trong cuộc thi ăn muối, nhìn mặt rất Mặn.
"Mặn-đã": Gian lận xong thấy rất Đã, nhưng sự thật thì rất Mặn (đắng chát).</t>
    </r>
  </si>
  <si>
    <t>Wǒ kěyǐ mǎi liǎng zhāng diànyǐng piào ma?</t>
  </si>
  <si>
    <t>Chơi vui là chính thôi</t>
  </si>
  <si>
    <t>Para masaya lang .</t>
  </si>
  <si>
    <t>Bạn có sở thích gì khác không?</t>
  </si>
  <si>
    <t>Ano pa ang hobby mo ?</t>
  </si>
  <si>
    <t>Yǒu bào mǐhuā ma?</t>
  </si>
  <si>
    <t>Cháu thích sưu tập mô hình</t>
  </si>
  <si>
    <t>Gusto ko mag-collect ng mga figure .</t>
  </si>
  <si>
    <t>Nhìn bộ sưu tập của cháu này</t>
  </si>
  <si>
    <t>Tingnan niyo ang collection ko .</t>
  </si>
  <si>
    <t>Zhè bù diànyǐng jǐ diǎn kāishǐ?</t>
  </si>
  <si>
    <t>Bạn muốn đi công viên giải trí không?</t>
  </si>
  <si>
    <t>Gusto mo bang pumunta sa theme park ?</t>
  </si>
  <si>
    <t>Cháu thích đi tàu lượn</t>
  </si>
  <si>
    <r>
      <rPr>
        <sz val="11"/>
        <color theme="1"/>
        <rFont val="Calibri"/>
      </rPr>
      <t xml:space="preserve">Gusto ko ng </t>
    </r>
    <r>
      <rPr>
        <sz val="11"/>
        <color rgb="FFFF0000"/>
        <rFont val="Calibri"/>
      </rPr>
      <t xml:space="preserve">roller coaster </t>
    </r>
    <r>
      <rPr>
        <sz val="11"/>
        <color theme="1"/>
        <rFont val="Calibri"/>
      </rPr>
      <t>.</t>
    </r>
  </si>
  <si>
    <t>Roller Coaster (Tàu lượn siêu tốc)
Từ gốc: Roller Coaster (Mượn tiếng Anh)
Âm thanh tương tự: "Rổ-lơ-cố-tờ" (Cái rổ, lơ là, cố gắng, tờ giấy)
5 Mẹo ghi nhớ:
Ngồi trên Roller Coaster mà cầm cái Rổ thì sẽ bị Lơ lửng giữa trời.
Bạn phải Cố giữ cái Tờ giấy khen khi đang bay trên Roller Coaster.
"Rô-lơ": Con cá Rô bị Lơ đi vì mải nhìn Roller Coaster.
Đừng Lơ là khi thắt dây an toàn trên Roller Coaster.
Tưởng tượng chiếc xe Roller Coaster có hình một cái Rổ khổng lồ.</t>
  </si>
  <si>
    <t>Zhè bù diànyǐng hěn bàng, wǒ fēicháng xǐhuān!</t>
  </si>
  <si>
    <t>Sợ nhưng mà vui!</t>
  </si>
  <si>
    <t>Nakakatakot pero masaya !</t>
  </si>
  <si>
    <t>Hôm nay là một ngày tuyệt vời</t>
  </si>
  <si>
    <t>Napakasayang araw nito .</t>
  </si>
  <si>
    <t>Wǒ xǐhuān kàn xǐjù.</t>
  </si>
  <si>
    <t>Cảm ơn bạn đã đi chơi cùng tớ</t>
  </si>
  <si>
    <t>Salamat sa pagsama sa akin .</t>
  </si>
  <si>
    <t>Xiǎng qù shāngchǎng ma?</t>
  </si>
  <si>
    <t>Shāngchǎng lǐ kòngtiáo hěn zú.</t>
  </si>
  <si>
    <t>Wǒ xǐhuān zài yóuxì tīng wán yóuxì.</t>
  </si>
  <si>
    <t>Gěi wǒ yīxiē yìngbì wán zhuā wáwá jī ba.</t>
  </si>
  <si>
    <t>Wǒ xiǎng zhuā dào zhè zhǐ tài dí xióng!</t>
  </si>
  <si>
    <t>Nǐ xǐhuān chànggē ma?</t>
  </si>
  <si>
    <t xml:space="preserve"> Wǒmen qù chàng kǎlā OK ba!</t>
  </si>
  <si>
    <t>Lún dào nǐ chànggēle!</t>
  </si>
  <si>
    <t>Wǒmen xuǎn nǎ shǒu gē ne?</t>
  </si>
  <si>
    <t>Nǐ chàng dé zhēn hǎo, xiàng gè zhuānyè gēshǒu!</t>
  </si>
  <si>
    <t>Wǒ xǐhuān zài TikTok shàng tiàowǔ.</t>
  </si>
  <si>
    <t>Wǒmen yīqǐ pāi gè shìpín ba!</t>
  </si>
  <si>
    <t>Wǒ xǐhuān xià qí.</t>
  </si>
  <si>
    <t>Nǐ yíngle, tài bàngle!</t>
  </si>
  <si>
    <t>Wǒ shūle, wǒmen zàilái yī jú!</t>
  </si>
  <si>
    <t>Bié zuòbì!</t>
  </si>
  <si>
    <t>Wán dé kāixīn jiù hǎo!</t>
  </si>
  <si>
    <t>Nǐ hái yǒu qítā àihào ma?</t>
  </si>
  <si>
    <t>Wǒ xǐhuān shōují móxíng.</t>
  </si>
  <si>
    <t>Kàn kàn wǒ de shōucáng!</t>
  </si>
  <si>
    <t>Nǐ xiǎng qù yóu lèyuán ma?</t>
  </si>
  <si>
    <t>Suīrán yǒudiǎn xiàrén, dànshì hěn hǎowán!</t>
  </si>
  <si>
    <t>Jīntiān zhēnshi měihǎo de yītiān!</t>
  </si>
  <si>
    <t>Xièxiè nǐ péi wǒ chūqù wán!</t>
  </si>
  <si>
    <t>Chủ đề 17: Thiên nhiên và Động vật</t>
  </si>
  <si>
    <t>Con chó dễ thương quá!</t>
  </si>
  <si>
    <t>Ang cute ng aso !</t>
  </si>
  <si>
    <t>Zhè zhǐ gǒu zhēn kě'ài!</t>
  </si>
  <si>
    <t>Con mèo đang ngủ</t>
  </si>
  <si>
    <t>Natutulog ang pusa</t>
  </si>
  <si>
    <t>Con gà gáy buổi sáng</t>
  </si>
  <si>
    <r>
      <rPr>
        <sz val="10"/>
        <color rgb="FFFF0000"/>
        <rFont val="Arial"/>
      </rPr>
      <t xml:space="preserve">Tumatilaok </t>
    </r>
    <r>
      <rPr>
        <sz val="10"/>
        <color theme="1"/>
        <rFont val="Arial"/>
      </rPr>
      <t>ang manok sa umaga</t>
    </r>
  </si>
  <si>
    <r>
      <rPr>
        <sz val="10"/>
        <color theme="1"/>
        <rFont val="Arial"/>
      </rPr>
      <t xml:space="preserve">1. Tumatilaok (Gà đang gáy)
Từ gốc: Tilaok (Tiếng gà gáy)
Âm thanh tương tự: "Tú-má-ti-la-ốc" (Tú và má tỉa ốc)
5 Mẹo ghi nhớ:
Khi nghe tiếng gà Tumatilaok (đang gáy), Tú và Má dậy đi tỉa ốc.
</t>
    </r>
    <r>
      <rPr>
        <sz val="10"/>
        <color rgb="FFFF0000"/>
        <rFont val="Arial"/>
      </rPr>
      <t xml:space="preserve">Con gà gáy Tumatilaok nghe như đang giục: "Tú, Má, tỉa ốc đi!"
</t>
    </r>
    <r>
      <rPr>
        <sz val="10"/>
        <color theme="1"/>
        <rFont val="Arial"/>
      </rPr>
      <t xml:space="preserve">
Bạn mơ thấy mình đang tỉa ốc cùng Tú và Má thì tiếng gà Tumatilaok làm bạn tỉnh giấc.
Tưởng tượng con gà trống đang đứng trên đống ốc mà Tú và Má vừa tỉa để Tumatilaok.
Đọc nhanh: "Tú-má-tỉa-ốc" chính là tiếng gà Tumatilaok.</t>
    </r>
  </si>
  <si>
    <t>Māo zài shuìjiào.</t>
  </si>
  <si>
    <t>Cháu sợ con rắn</t>
  </si>
  <si>
    <r>
      <rPr>
        <sz val="10"/>
        <color theme="1"/>
        <rFont val="Arial"/>
      </rPr>
      <t xml:space="preserve">Takot ako sa </t>
    </r>
    <r>
      <rPr>
        <sz val="10"/>
        <color rgb="FFFF0000"/>
        <rFont val="Arial"/>
      </rPr>
      <t>ahas</t>
    </r>
  </si>
  <si>
    <r>
      <rPr>
        <sz val="10"/>
        <color theme="1"/>
        <rFont val="Arial"/>
      </rPr>
      <t xml:space="preserve">Ahas (Con rắn)
Từ gốc: Ahas
Âm thanh tương tự: "A-hát" (Anh hát)
5 Mẹo ghi nhớ:
</t>
    </r>
    <r>
      <rPr>
        <sz val="10"/>
        <color rgb="FFFF0000"/>
        <rFont val="Arial"/>
      </rPr>
      <t>Anh hát quá hay khiến con Ahas (rắn) phải bò ra khỏi hang để nghe.</t>
    </r>
    <r>
      <rPr>
        <sz val="10"/>
        <color theme="1"/>
        <rFont val="Arial"/>
      </rPr>
      <t xml:space="preserve">
Thấy con Ahas (rắn), Anh sợ quá nên đứng im rồi hát thật to để xua đuổi.
Tưởng tượng con Ahas đang cầm micro bắt Anh phải hát cho nó nghe.
"A-hát": Mỗi lần con Ahas thè lưỡi ra là như đang muốn nói "Anh hát đi".
Đừng để con Ahas cắn vào mồm lúc Anh đang hát nhé.</t>
    </r>
  </si>
  <si>
    <t>Con chim đang hót</t>
  </si>
  <si>
    <t>Kumakanta ang ibon</t>
  </si>
  <si>
    <t>Gōngjī zǎoshang zài tí jiào.</t>
  </si>
  <si>
    <t>Con cá bơi dưới nước</t>
  </si>
  <si>
    <t>Lumalangoy ang isda sa tubig</t>
  </si>
  <si>
    <t>Cháu thích con bướm</t>
  </si>
  <si>
    <r>
      <rPr>
        <sz val="10"/>
        <color theme="1"/>
        <rFont val="Arial"/>
      </rPr>
      <t xml:space="preserve">Gusto ko ng </t>
    </r>
    <r>
      <rPr>
        <sz val="10"/>
        <color rgb="FFFF0000"/>
        <rFont val="Arial"/>
      </rPr>
      <t>paru-paro</t>
    </r>
  </si>
  <si>
    <r>
      <rPr>
        <sz val="10"/>
        <color theme="1"/>
        <rFont val="Arial"/>
      </rPr>
      <t>Paru-paro (Con bướm)
Từ gốc: Paru-paro
Âm thanh tương tự: "Ba-ru-ba-rô" (Ba ru cá rô)
5 Mẹo ghi nhớ:
Ba đang ngồi ru con cá rô ngủ thì một con Paru-paro (bướm) bay đậu lên mũi.
Con Paru-paro sặc sỡ bay quanh chậu cá rô mà Ba đang ru.
"Pha-ru-pha-rô": Bạn pha nước cho ru (con sâu) để nó biến thành Paru-paro rồi đi bắt cá rô.
T</t>
    </r>
    <r>
      <rPr>
        <sz val="10"/>
        <color rgb="FFFF0000"/>
        <rFont val="Arial"/>
      </rPr>
      <t>ưởng tượng một con Paru-paro khổng lồ đang ru ngủ Ba và cá rô.</t>
    </r>
    <r>
      <rPr>
        <sz val="10"/>
        <color theme="1"/>
        <rFont val="Arial"/>
      </rPr>
      <t xml:space="preserve">
Vẽ hình Paru-paro lên thân con cá rô để Ba vui.</t>
    </r>
  </si>
  <si>
    <t>Wǒ hàipà shé.</t>
  </si>
  <si>
    <t>Con bò ăn cỏ</t>
  </si>
  <si>
    <r>
      <rPr>
        <sz val="10"/>
        <color theme="1"/>
        <rFont val="Arial"/>
      </rPr>
      <t xml:space="preserve">Kumain ng </t>
    </r>
    <r>
      <rPr>
        <sz val="10"/>
        <color rgb="FFFF0000"/>
        <rFont val="Arial"/>
      </rPr>
      <t xml:space="preserve">damo </t>
    </r>
    <r>
      <rPr>
        <sz val="10"/>
        <color theme="1"/>
        <rFont val="Arial"/>
      </rPr>
      <t>ang baka</t>
    </r>
  </si>
  <si>
    <t>Damo (Cỏ)
Từ gốc: Damo
Âm thanh tương tự: "Đá-mô" (Đá cái bô)
5 Mẹo ghi nhớ:
Đang đi trên đồng Damo (cỏ), bạn lỡ chân đá vào cái bô cũ.
Dùng Damo (cỏ) để che đi cái bô mà bạn vừa đá trúng.
"Đá-mô": Bạn ngồi trên Damo và chơi trò đá cái bô đi xa.
Tưởng tượng những ngọn Damo mọc xanh mướt bên trong một cái bô bị đá méo.
"Đã-mỗ": Nằm trên Damo thật là đã, mỗ (tôi) không muốn dậy.</t>
  </si>
  <si>
    <t>Cháu muốn đi xem rùa biển</t>
  </si>
  <si>
    <r>
      <rPr>
        <sz val="10"/>
        <color theme="1"/>
        <rFont val="Arial"/>
      </rPr>
      <t xml:space="preserve">Gusto ko makakita ng </t>
    </r>
    <r>
      <rPr>
        <sz val="10"/>
        <color rgb="FFFF0000"/>
        <rFont val="Arial"/>
      </rPr>
      <t>pawikan</t>
    </r>
  </si>
  <si>
    <r>
      <rPr>
        <sz val="10"/>
        <color theme="1"/>
        <rFont val="Arial"/>
      </rPr>
      <t xml:space="preserve">Pawikan (Rùa biển)
Từ gốc: Pawikan
Âm thanh tương tự: "Ba-vì-căn" (Ba Vì căn)
5 Mẹo ghi nhớ:
Ba ở vùng Vì (Ba Vì) đang Căn chỉnh ống kính để chụp hình con pawikan (rùa biển).
"Ba-wi-căn": Ba chơi máy Wi (Wii) và đang Căn tọa độ để cứu con pawikan.
Con pawikan bơi từ đại dương về tận núi Ba Vì để được Ba Căn lề đường cho đi.
"Pha-wi-căn": Pha một ly nước Wi rồi Căn đúng giờ cho con pawikan uống.
</t>
    </r>
    <r>
      <rPr>
        <sz val="10"/>
        <color rgb="FFFF0000"/>
        <rFont val="Arial"/>
      </rPr>
      <t>Tưởng tượng con pawikan có cái mai to bằng cả một căn nhà ở Ba Vì.</t>
    </r>
  </si>
  <si>
    <t>Niǎo zài chànggē.</t>
  </si>
  <si>
    <t>Con khỉ thích ăn chuối</t>
  </si>
  <si>
    <r>
      <rPr>
        <sz val="10"/>
        <color theme="1"/>
        <rFont val="Arial"/>
      </rPr>
      <t xml:space="preserve">Gusto ng </t>
    </r>
    <r>
      <rPr>
        <sz val="10"/>
        <color rgb="FFFF0000"/>
        <rFont val="Arial"/>
      </rPr>
      <t xml:space="preserve">unggoy </t>
    </r>
    <r>
      <rPr>
        <sz val="10"/>
        <color theme="1"/>
        <rFont val="Arial"/>
      </rPr>
      <t>ang saging</t>
    </r>
  </si>
  <si>
    <r>
      <rPr>
        <sz val="10"/>
        <color theme="1"/>
        <rFont val="Arial"/>
      </rPr>
      <t xml:space="preserve">Unggoy (Con khỉ)
Từ gốc: Unggoy
Âm thanh tương tự: "Ung-gôi" (Ung dung ngồi)
5 Mẹo ghi nhớ:
Con Unggoy (khỉ) đang ung dung ngồi ăn chuối trên cành cây.
Thấy người đến, con Unggoy vẫn ung dung ngồi gãi đầu.
"Ung-gôi": Đừng có ung dung ngồi đó như một con Unggoy thế chứ!
Tưởng tượng một ông cụ ung dung ngồi chơi cờ với một con Unggoy.
</t>
    </r>
    <r>
      <rPr>
        <sz val="10"/>
        <color rgb="FFFF0000"/>
        <rFont val="Arial"/>
      </rPr>
      <t xml:space="preserve">
Con Unggoy này rất thích ung dung ngồi trên vai bạn.</t>
    </r>
  </si>
  <si>
    <t xml:space="preserve"> Yú zài shuǐ xiàyóu dòng.</t>
  </si>
  <si>
    <t>Đừng trêu chọc con chó nhé</t>
  </si>
  <si>
    <r>
      <rPr>
        <sz val="10"/>
        <color theme="1"/>
        <rFont val="Arial"/>
      </rPr>
      <t xml:space="preserve">Huwag </t>
    </r>
    <r>
      <rPr>
        <sz val="10"/>
        <color rgb="FFFF0000"/>
        <rFont val="Arial"/>
      </rPr>
      <t xml:space="preserve">asarin </t>
    </r>
    <r>
      <rPr>
        <sz val="10"/>
        <color theme="1"/>
        <rFont val="Arial"/>
      </rPr>
      <t>ang aso</t>
    </r>
  </si>
  <si>
    <r>
      <rPr>
        <sz val="10"/>
        <color theme="1"/>
        <rFont val="Arial"/>
      </rPr>
      <t xml:space="preserve">Asarin (Trêu chọc / Làm cho tức giận)
Từ gốc: Asar
Âm thanh tương tự: "A-xa-rình" (Anh xa rình)
5 Mẹo ghi nhớ:
</t>
    </r>
    <r>
      <rPr>
        <sz val="10"/>
        <color rgb="FFFF0000"/>
        <rFont val="Arial"/>
      </rPr>
      <t>Anh đứng từ xa rình để Asarin (trêu chọc) khiến bạn phát cáu.</t>
    </r>
    <r>
      <rPr>
        <sz val="10"/>
        <color theme="1"/>
        <rFont val="Arial"/>
      </rPr>
      <t xml:space="preserve">
Đừng Asarin tớ bằng cách cứ đứng xa rình như thế nhé!
"Á-xa-rinh": Á! Cái xa (xe) đang rình để Asarin người đi bộ.
Bạn bị Asarin bởi một người cứ đứng xa rình rập mình mãi.
Hãy Asarin anh ta bằng cách giả vờ đứng xa rình lại anh ta.</t>
    </r>
  </si>
  <si>
    <t>Wǒ xǐhuān húdié.</t>
  </si>
  <si>
    <t>Biển ở đây rất xanh</t>
  </si>
  <si>
    <t>Ang asul ng dagat dito</t>
  </si>
  <si>
    <t xml:space="preserve">Niú zài chī cǎo. </t>
  </si>
  <si>
    <t>Cát rất trắng và mịn</t>
  </si>
  <si>
    <r>
      <rPr>
        <sz val="10"/>
        <color theme="1"/>
        <rFont val="Arial"/>
      </rPr>
      <t xml:space="preserve">Ang puti at </t>
    </r>
    <r>
      <rPr>
        <sz val="10"/>
        <color rgb="FFFF0000"/>
        <rFont val="Arial"/>
      </rPr>
      <t xml:space="preserve">pino </t>
    </r>
    <r>
      <rPr>
        <sz val="10"/>
        <color theme="1"/>
        <rFont val="Arial"/>
      </rPr>
      <t xml:space="preserve">ng </t>
    </r>
    <r>
      <rPr>
        <sz val="10"/>
        <color rgb="FFFF0000"/>
        <rFont val="Arial"/>
      </rPr>
      <t>buhangin</t>
    </r>
  </si>
  <si>
    <r>
      <rPr>
        <sz val="10"/>
        <color theme="1"/>
        <rFont val="Arial"/>
      </rPr>
      <t xml:space="preserve">Pino (Mịn / Nhỏ / Tế nhị)
Từ gốc: Pino
Âm thanh tương tự: "Pi-nô" (Pin nổ)
5 Mẹo ghi nhớ:
</t>
    </r>
    <r>
      <rPr>
        <sz val="10"/>
        <color rgb="FFFF0000"/>
        <rFont val="Arial"/>
      </rPr>
      <t>Cục Pin nổ tung thành những mảnh vụn cực kỳ Pino (nhỏ/mịn).</t>
    </r>
    <r>
      <rPr>
        <sz val="10"/>
        <color theme="1"/>
        <rFont val="Arial"/>
      </rPr>
      <t xml:space="preserve">
Bạn nghiền viên Pin đã nổ thành bột Pino để làm thí nghiệm.
"Pi-nô": Ăn quả pino (thanh tịnh) mà nghe tiếng</t>
    </r>
    <r>
      <rPr>
        <sz val="10"/>
        <color rgb="FFFF0000"/>
        <rFont val="Arial"/>
      </rPr>
      <t xml:space="preserve"> pin nổ thì giật mìn</t>
    </r>
    <r>
      <rPr>
        <sz val="10"/>
        <color theme="1"/>
        <rFont val="Arial"/>
      </rPr>
      <t xml:space="preserve">h.
Một bề mặt Pino (mịn màng) như vỏ cục pin chưa nổ.
Cách cư xử Pino (tế nhị) là không làm pin nổ chỗ đông người.
---
Buhangin (Cát)
Từ gốc: Hangin (Gió)
Âm thanh tương tự: "Bu-hàn-ghim" (Bù hàn ghim)
5 Mẹo ghi nhớ:
Bạn dùng Buhangin (cát) để bù vào chỗ vết hàn và cái ghim bị hỏng.
"Bú-hàn-ghin": Con Bú (bê) đang liếm cái ghim hàn dính đầy Buhangin.
Đổ Buhangin lên đống ghim vừa hàn xong cho nó nguội.
Tưởng tượng cát (Buhangin) chảy qua cái lỗ nhỏ như cái ghim hàn.
"Bù-hàng-ghìn": Phải mua thêm </t>
    </r>
    <r>
      <rPr>
        <sz val="10"/>
        <color rgb="FFFF0000"/>
        <rFont val="Arial"/>
      </rPr>
      <t>hàng nghìn bao Buhangin để bù vào bãi biển.</t>
    </r>
    <r>
      <rPr>
        <sz val="10"/>
        <color theme="1"/>
        <rFont val="Arial"/>
      </rPr>
      <t xml:space="preserve">
</t>
    </r>
  </si>
  <si>
    <t>Wǒ xiǎng qù kàn hǎiguī.</t>
  </si>
  <si>
    <t>Cháu thích nhặt vỏ ốc</t>
  </si>
  <si>
    <r>
      <rPr>
        <sz val="10"/>
        <color theme="1"/>
        <rFont val="Arial"/>
      </rPr>
      <t xml:space="preserve">Gusto ko </t>
    </r>
    <r>
      <rPr>
        <sz val="10"/>
        <color rgb="FFFF0000"/>
        <rFont val="Arial"/>
      </rPr>
      <t xml:space="preserve">mamulot </t>
    </r>
    <r>
      <rPr>
        <sz val="10"/>
        <color theme="1"/>
        <rFont val="Arial"/>
      </rPr>
      <t>ng shells</t>
    </r>
  </si>
  <si>
    <r>
      <rPr>
        <sz val="10"/>
        <color theme="1"/>
        <rFont val="Arial"/>
      </rPr>
      <t xml:space="preserve">Mamulot (Nhặt lên / Lượm)
Từ gốc: Pulot (Nhặt)
Âm thanh tương tự: "Má-mù-lốt" (Má mù lá lốt)
5 Mẹo ghi nhớ:
</t>
    </r>
    <r>
      <rPr>
        <sz val="10"/>
        <color rgb="FFFF0000"/>
        <rFont val="Arial"/>
      </rPr>
      <t>Má tuy hơi mù nhưng vẫn đang Mamulot (nhặt) từng chiếc lá lốt rụng.</t>
    </r>
    <r>
      <rPr>
        <sz val="10"/>
        <color theme="1"/>
        <rFont val="Arial"/>
      </rPr>
      <t xml:space="preserve">
Bạn giúp Má đang bị mù đi Mamulot lá lốt ngoài vườn.
"Ma-mù-lốt": Con ma bị mù đang Mamulot đống lá lốt dưới đất.
Hãy Mamulot (nhặt) những chiếc lá lốt mà Má bị mù đánh rơi.
Vừa Mamulot rác vừa ăn lá lốt cùng Má bị mù.</t>
    </r>
  </si>
  <si>
    <t>Ngọn núi kia cao quá!</t>
  </si>
  <si>
    <t>Ang taas ng bundok na iyon !</t>
  </si>
  <si>
    <t xml:space="preserve">Hóuzǐ xǐhuān chī xiāngjiāo. </t>
  </si>
  <si>
    <t>Cháu muốn đi leo núi</t>
  </si>
  <si>
    <t>Gusto ko mag-hiking</t>
  </si>
  <si>
    <t>Bùyào xìnòng gǒu gǒu!</t>
  </si>
  <si>
    <t>Cây này tên là gì ạ?</t>
  </si>
  <si>
    <t>Anong pangalan ng puno na ito ?</t>
  </si>
  <si>
    <t>Zhèlǐ dì hǎishuǐ hǎo lán a.</t>
  </si>
  <si>
    <t>Hoa này thơm quá</t>
  </si>
  <si>
    <r>
      <rPr>
        <sz val="10"/>
        <color theme="1"/>
        <rFont val="Arial"/>
      </rPr>
      <t xml:space="preserve">Ang </t>
    </r>
    <r>
      <rPr>
        <sz val="10"/>
        <color rgb="FFFF0000"/>
        <rFont val="Arial"/>
      </rPr>
      <t xml:space="preserve">bango </t>
    </r>
    <r>
      <rPr>
        <sz val="10"/>
        <color theme="1"/>
        <rFont val="Arial"/>
      </rPr>
      <t>ng bulaklak na ito</t>
    </r>
  </si>
  <si>
    <r>
      <rPr>
        <sz val="10"/>
        <color theme="1"/>
        <rFont val="Arial"/>
      </rPr>
      <t xml:space="preserve">. Bango (Thơm)
Từ gốc: Bango
Âm thanh tương tự: "Ba-ngô" (Ba ăn ngô)
5 Mẹo ghi nhớ:
</t>
    </r>
    <r>
      <rPr>
        <sz val="10"/>
        <color rgb="FFFF0000"/>
        <rFont val="Arial"/>
      </rPr>
      <t>Ba đang ăn ngô nướng tỏa mùi Bango (thơm) phức.</t>
    </r>
    <r>
      <rPr>
        <sz val="10"/>
        <color theme="1"/>
        <rFont val="Arial"/>
      </rPr>
      <t xml:space="preserve">
Mùi Bango (thơm) từ bắp ngô luộc của Ba làm bạn đói bụng.
"Ba-ngớ": Ba bị ngớ người vì mùi hương quá Bango.
Tưởng tượng bạn tặng Ba một bắp ngô có mùi Bango như hoa hồng.
"Ba-ngổ": Ba trồng cây ngổ có mùi rất Bango.</t>
    </r>
  </si>
  <si>
    <t>Cháu muốn tưới cây</t>
  </si>
  <si>
    <r>
      <rPr>
        <sz val="10"/>
        <color theme="1"/>
        <rFont val="Arial"/>
      </rPr>
      <t xml:space="preserve">Gusto ko </t>
    </r>
    <r>
      <rPr>
        <sz val="10"/>
        <color rgb="FFFF0000"/>
        <rFont val="Arial"/>
      </rPr>
      <t xml:space="preserve">magdilig </t>
    </r>
    <r>
      <rPr>
        <sz val="10"/>
        <color theme="1"/>
        <rFont val="Arial"/>
      </rPr>
      <t xml:space="preserve">ng </t>
    </r>
    <r>
      <rPr>
        <sz val="10"/>
        <color rgb="FFFF0000"/>
        <rFont val="Arial"/>
      </rPr>
      <t>halaman</t>
    </r>
  </si>
  <si>
    <r>
      <rPr>
        <sz val="10"/>
        <color theme="1"/>
        <rFont val="Arial"/>
      </rPr>
      <t xml:space="preserve">1. Magdilig (Tưới nước)
Từ gốc: Dilig
Âm thanh tương tự: "Mắc-đi-lì" (Mắc đi lì)
5 Mẹo ghi nhớ:
Bạn đang magdilig (tưới cây) thì bạn thân đến rủ đi chơi nhưng bạn Mắc việc nên cứ Lì ra đó.
Con mèo Lì lợm cứ đứng chặn vòi nước khi bạn đang magdilig.
"Mắc-đi-ly": </t>
    </r>
    <r>
      <rPr>
        <sz val="10"/>
        <color rgb="FFFF0000"/>
        <rFont val="Arial"/>
      </rPr>
      <t>Đang tưới cây thì mắc (buồn) đi uống một ly nước đá.</t>
    </r>
    <r>
      <rPr>
        <sz val="10"/>
        <color theme="1"/>
        <rFont val="Arial"/>
      </rPr>
      <t xml:space="preserve">
Tưởng tượng cái bình magdilig có hình một cái Ly khổng lồ rất Lì (bền).
"Mặc-dì-lì": Mặc cho Dì mắng vì tội Lì, bạn vẫn chăm chỉ magdilig vườn hoa.
----
Halaman (Cây cối / Thực vật)
Từ gốc: Halaman
Âm thanh tương tự: "Hà-là-màn" (Hà là màn)
5 Mẹo ghi nhớ:
</t>
    </r>
    <r>
      <rPr>
        <sz val="10"/>
        <color rgb="FFFF0000"/>
        <rFont val="Arial"/>
      </rPr>
      <t>Cô Hà dùng cái Màn để che nắng cho khóm halaman (cây cối) mới trồng.</t>
    </r>
    <r>
      <rPr>
        <sz val="10"/>
        <color theme="1"/>
        <rFont val="Arial"/>
      </rPr>
      <t xml:space="preserve">
"Hà-là-màn": Cô Hà bảo: "Đây là cái màn làm từ sợi của cây halaman".
Bạn trồng một vườn halaman mà lá của nó to như cái Màn của cô Hà.
Cô Hà đang ngồi làm cái Màn giữa vườn halaman xanh mướt.
Tưởng tượng cây halaman biết cử động và tự đắp Màn cho cô Hà.</t>
    </r>
  </si>
  <si>
    <t>Shāzǐ yòu bái yòu xì.</t>
  </si>
  <si>
    <t>Đừng hái hoa nhé</t>
  </si>
  <si>
    <r>
      <rPr>
        <sz val="10"/>
        <color theme="1"/>
        <rFont val="Arial"/>
      </rPr>
      <t xml:space="preserve">Huwag </t>
    </r>
    <r>
      <rPr>
        <sz val="10"/>
        <color rgb="FFFF0000"/>
        <rFont val="Arial"/>
      </rPr>
      <t xml:space="preserve">pumitas </t>
    </r>
    <r>
      <rPr>
        <sz val="10"/>
        <color theme="1"/>
        <rFont val="Arial"/>
      </rPr>
      <t>ng bulaklak</t>
    </r>
  </si>
  <si>
    <r>
      <rPr>
        <sz val="10"/>
        <color theme="1"/>
        <rFont val="Arial"/>
      </rPr>
      <t xml:space="preserve">Pumitas (Hái / Bẻ hoa quả)
Từ gốc: Pitas
Âm thanh tương tự: "Phu-mi-tát" (Phu mì tát)
5 Mẹo ghi nhớ:
</t>
    </r>
    <r>
      <rPr>
        <sz val="10"/>
        <color rgb="FFFF0000"/>
        <rFont val="Arial"/>
      </rPr>
      <t>Anh Phu xe đang ăn Mì thì bị Tát vì tội pumitas (hái) trộm xoài.</t>
    </r>
    <r>
      <rPr>
        <sz val="10"/>
        <color theme="1"/>
        <rFont val="Arial"/>
      </rPr>
      <t xml:space="preserve">
Đừng pumitas hoa bừa bãi kẻo bị anh Phu cầm bát mì ra tát cho đấy.
"Phu-mí-tát": Anh Phu có cái mí mắt to đang pumitas những quả táo chín.
Tưởng tượng một tô mì tự mọc ra tay để đi pumitas rau thơm.
Bạn vừa ăn mì vừa xem anh Phu đi pumitas quả dừa.</t>
    </r>
  </si>
  <si>
    <t>Trời hôm nay nhiều mây quá</t>
  </si>
  <si>
    <r>
      <rPr>
        <sz val="10"/>
        <color theme="1"/>
        <rFont val="Arial"/>
      </rPr>
      <t xml:space="preserve">Ang dami </t>
    </r>
    <r>
      <rPr>
        <sz val="10"/>
        <color rgb="FFFF0000"/>
        <rFont val="Arial"/>
      </rPr>
      <t xml:space="preserve">ulap </t>
    </r>
    <r>
      <rPr>
        <sz val="10"/>
        <color theme="1"/>
        <rFont val="Arial"/>
      </rPr>
      <t>ngayon</t>
    </r>
  </si>
  <si>
    <r>
      <rPr>
        <sz val="10"/>
        <color theme="1"/>
        <rFont val="Arial"/>
      </rPr>
      <t xml:space="preserve">Ulap (Mây)
Từ gốc: Ulap
Âm thanh tương tự: "U-láp" (U lắp / U láp)
5 Mẹo ghi nhớ:
U (mẹ) đang Lắp cái quạt máy để thổi bay đám ulap (mây) đen sắp mưa.
</t>
    </r>
    <r>
      <rPr>
        <sz val="10"/>
        <color rgb="FFFF0000"/>
        <rFont val="Arial"/>
      </rPr>
      <t>"U-láp": Con chim U (cú) đang ôm cái máy Láp-top ngồi trên đám ula</t>
    </r>
    <r>
      <rPr>
        <sz val="10"/>
        <color theme="1"/>
        <rFont val="Arial"/>
      </rPr>
      <t>p.
Nhìn lên ulap, bạn thấy hình ảnh U đang lắp ghép những ngôi sao.
Tưởng tượng những đám ulap trắng như miếng xốp để U lắp vào thùng hàng.
U bảo bạn hãy lắp kính viễn vọng để ngắm nhìn ulap.</t>
    </r>
  </si>
  <si>
    <t>Wǒ xǐhuān shōují bèiké.</t>
  </si>
  <si>
    <t>Nhìn những vì sao kìa!</t>
  </si>
  <si>
    <r>
      <rPr>
        <sz val="10"/>
        <color theme="1"/>
        <rFont val="Arial"/>
      </rPr>
      <t xml:space="preserve">Tingnan niyo ang mga </t>
    </r>
    <r>
      <rPr>
        <sz val="10"/>
        <color rgb="FFFF0000"/>
        <rFont val="Arial"/>
      </rPr>
      <t xml:space="preserve">bituin </t>
    </r>
    <r>
      <rPr>
        <sz val="10"/>
        <color theme="1"/>
        <rFont val="Arial"/>
      </rPr>
      <t>!</t>
    </r>
  </si>
  <si>
    <r>
      <rPr>
        <sz val="10"/>
        <color theme="1"/>
        <rFont val="Arial"/>
      </rPr>
      <t xml:space="preserve">Bituin (Ngôi sao)
Từ gốc: Bituin
Âm thanh tương tự: "Bi-tui-in" (Bi tui in)
5 Mẹo ghi nhớ:
Viên Bi của Tui có In hình một ngôi bituin (ngôi sao) lấp lánh.
"Bi-tui-in": </t>
    </r>
    <r>
      <rPr>
        <sz val="10"/>
        <color rgb="FFFF0000"/>
        <rFont val="Arial"/>
      </rPr>
      <t>Tui lấy viên bi để in dấu lên trời tạo thành các bituin.</t>
    </r>
    <r>
      <rPr>
        <sz val="10"/>
        <color theme="1"/>
        <rFont val="Arial"/>
      </rPr>
      <t xml:space="preserve">
Ngôi bituin rơi xuống biến thành viên bi tròn cho tui mang đi in thiệp.
Tưởng tượng bạn đang ngồi In hình hàng nghìn ngôi bituin lên cái túi của tui.
"Bị-túi-in": Cái túi bị in hỏng hình ngôi bituin.</t>
    </r>
  </si>
  <si>
    <t xml:space="preserve"> Nà zuò shān hào gāo a!</t>
  </si>
  <si>
    <t>Mặt trăng rất sáng</t>
  </si>
  <si>
    <r>
      <rPr>
        <sz val="10"/>
        <color theme="1"/>
        <rFont val="Arial"/>
      </rPr>
      <t xml:space="preserve">Ang </t>
    </r>
    <r>
      <rPr>
        <sz val="10"/>
        <color rgb="FFFF0000"/>
        <rFont val="Arial"/>
      </rPr>
      <t xml:space="preserve">liwanag </t>
    </r>
    <r>
      <rPr>
        <sz val="10"/>
        <color theme="1"/>
        <rFont val="Arial"/>
      </rPr>
      <t>ng buwan</t>
    </r>
  </si>
  <si>
    <r>
      <rPr>
        <sz val="10"/>
        <color theme="1"/>
        <rFont val="Arial"/>
      </rPr>
      <t xml:space="preserve">Liwanag (Ánh sáng)
Từ gốc: Liwanag
Âm thanh tương tự: "Ly-wa-nát" (Ly hoa nát)
5 Mẹo ghi nhớ:
</t>
    </r>
    <r>
      <rPr>
        <sz val="10"/>
        <color rgb="FFFF0000"/>
        <rFont val="Arial"/>
      </rPr>
      <t>Cái Ly cắm Hoa bị Nát khiến liwanag (ánh sáng) xuyên qua rực rỡ.</t>
    </r>
    <r>
      <rPr>
        <sz val="10"/>
        <color theme="1"/>
        <rFont val="Arial"/>
      </rPr>
      <t xml:space="preserve">
"Lì-wa-nác": Bạn rất Lì khi đi Wa (qua) chỗ nước Nác (nước - tiếng miền Trung) phản chiếu liwanag.
Dùng liwanag để soi xem tại sao cái Ly Hoa lại bị Nát.
"Lí-wa-nác": Một người Lý luận Wa (quá) Nát về nguồn gốc của liwanag.
Ánh sáng liwanag rọi vào làm cái Ly lung linh như không hề bị Nát.</t>
    </r>
  </si>
  <si>
    <t>Wǒ xiǎng qù páshān.</t>
  </si>
  <si>
    <t>Cháu thích ngắm bình minh</t>
  </si>
  <si>
    <t>Gusto ko manood ng sunrise</t>
  </si>
  <si>
    <t>Hoàng hôn thật đẹp</t>
  </si>
  <si>
    <t>Ang ganda ng sunset</t>
  </si>
  <si>
    <t>Zhè kē shù jiào shénme míngzì?</t>
  </si>
  <si>
    <t>Có con muỗi kìa, coi chừng đốt!</t>
  </si>
  <si>
    <t>May lamok , ingat sa kagat !</t>
  </si>
  <si>
    <t>Cháu thích con thỏ</t>
  </si>
  <si>
    <r>
      <rPr>
        <sz val="10"/>
        <color theme="1"/>
        <rFont val="Arial"/>
      </rPr>
      <t xml:space="preserve">Gusto ko ng </t>
    </r>
    <r>
      <rPr>
        <sz val="10"/>
        <color rgb="FFFF0000"/>
        <rFont val="Arial"/>
      </rPr>
      <t>kuneho</t>
    </r>
  </si>
  <si>
    <r>
      <rPr>
        <sz val="10"/>
        <color theme="1"/>
        <rFont val="Arial"/>
      </rPr>
      <t xml:space="preserve">Kuneho (Con thỏ)
Từ gốc: Kuneho
Âm thanh tương tự: "Cu-nê-hô" (Cu nê hô)
5 Mẹo ghi nhớ:
</t>
    </r>
    <r>
      <rPr>
        <sz val="10"/>
        <color rgb="FFFF0000"/>
        <rFont val="Arial"/>
      </rPr>
      <t>Thằng Cu ngồi trên cái Nê (nôi) Hô to khi thấy con kuneho (thỏ) chạy qua.</t>
    </r>
    <r>
      <rPr>
        <sz val="10"/>
        <color theme="1"/>
        <rFont val="Arial"/>
      </rPr>
      <t xml:space="preserve">
"Cụ-nệ-hô": Cụ già Nệ (ôm) con kuneho rồi Hô hoán tìm người giúp.
Con kuneho chạy Nê (lê) lết vì mải nghe tiếng Hô của đám trẻ.
Tưởng tượng con kuneho biết Hô khẩu hiệu để thằng Cu đẩy Nê cho nó.
"Cụ-nể-hố": Cụ rất Nể con kuneho vì nó nhảy qua cái Hố rất nhanh.</t>
    </r>
  </si>
  <si>
    <t>Zhè duǒ huā wén qǐlái hǎo xiāng a.</t>
  </si>
  <si>
    <t>Con lợn (heo) kêu ụt ịt</t>
  </si>
  <si>
    <t>Ang ingay ng baboy</t>
  </si>
  <si>
    <t>Con ngựa chạy rất nhanh</t>
  </si>
  <si>
    <r>
      <rPr>
        <sz val="10"/>
        <color theme="1"/>
        <rFont val="Arial"/>
      </rPr>
      <t xml:space="preserve">Mabilis tumakbo ang </t>
    </r>
    <r>
      <rPr>
        <sz val="10"/>
        <color rgb="FFFF0000"/>
        <rFont val="Arial"/>
      </rPr>
      <t>kabayo</t>
    </r>
  </si>
  <si>
    <r>
      <rPr>
        <sz val="10"/>
        <color theme="1"/>
        <rFont val="Arial"/>
      </rPr>
      <t xml:space="preserve">Kabayo (Con ngựa)
Từ gốc: Kabayo
Âm thanh tương tự: "Ca-ba-vô" (Ca ba vô)
5 Mẹo ghi nhớ:
Ba cầm cái Ca nước đi Vô chuồng để cho kabayo (ngựa) uống.
"Cả-ba-vô": Cả ba người cùng nhảy Vô cưỡi trên lưng một con kabayo.
</t>
    </r>
    <r>
      <rPr>
        <sz val="10"/>
        <color rgb="FFFF0000"/>
        <rFont val="Arial"/>
      </rPr>
      <t>Con kabayo đang Ca hát khi thấy Ba bước Vô nhà</t>
    </r>
    <r>
      <rPr>
        <sz val="10"/>
        <color theme="1"/>
        <rFont val="Arial"/>
      </rPr>
      <t>.
Tưởng tượng con kabayo đá cái Ca của Ba văng Vô tận trong bếp.
"Cá-ba-vô": Con cá to bằng ba ngón tay nhảy Vô bờm con kabayo.</t>
    </r>
  </si>
  <si>
    <t>Wǒ xiǎng gěi zhíwù jiāo shuǐ.</t>
  </si>
  <si>
    <t>Cháu muốn đi vườn bách thú</t>
  </si>
  <si>
    <t>Gusto ko pumunta sa zoo</t>
  </si>
  <si>
    <t>Động vật là bạn của chúng ta</t>
  </si>
  <si>
    <t>Kaibigan natin ang mga hayop</t>
  </si>
  <si>
    <t>Bùyào zhāihuā!</t>
  </si>
  <si>
    <t>Đừng làm hại chúng nhé</t>
  </si>
  <si>
    <r>
      <rPr>
        <sz val="10"/>
        <color theme="1"/>
        <rFont val="Arial"/>
      </rPr>
      <t xml:space="preserve">Huwag nating </t>
    </r>
    <r>
      <rPr>
        <sz val="10"/>
        <color rgb="FFFF0000"/>
        <rFont val="Arial"/>
      </rPr>
      <t xml:space="preserve">sasaktan </t>
    </r>
    <r>
      <rPr>
        <sz val="10"/>
        <color theme="1"/>
        <rFont val="Arial"/>
      </rPr>
      <t>sila</t>
    </r>
  </si>
  <si>
    <r>
      <rPr>
        <sz val="10"/>
        <color theme="1"/>
        <rFont val="Arial"/>
      </rPr>
      <t xml:space="preserve">Sasaktan (Sẽ làm đau / Sẽ làm tổn thương)
Từ gốc: Sakit (Đau)
Âm thanh tương tự: "Xa-sắc-tán" (Xa sắc tán)
5 Mẹo ghi nhớ:
</t>
    </r>
    <r>
      <rPr>
        <sz val="10"/>
        <color rgb="FFFF0000"/>
        <rFont val="Arial"/>
      </rPr>
      <t>Đi Xa mà cầm vật Sắc để đi Tán gẫu thì dễ bị sasaktan (làm đau) bản thân.</t>
    </r>
    <r>
      <rPr>
        <sz val="10"/>
        <color theme="1"/>
        <rFont val="Arial"/>
      </rPr>
      <t xml:space="preserve">
"Sa-sắc-tán": Một vật Sắc Sa xuống từ trên cao sẽ sasaktan người đứng dưới.
Bạn dùng lời nói Sắc lẹm để Tán tỉnh nhưng lại sasaktan trái tim người ta.
"Sà-xác-tán": Con chim Sà xuống cái Xác đang bị Tán nát, thật là sasaktan.
Đừng sasaktan ai bằng những mảnh sành Sắc nhọn bị Sa dưới đất.</t>
    </r>
  </si>
  <si>
    <t>Cháu thích không khí ở đây</t>
  </si>
  <si>
    <t>Gusto ko ang hangin dito</t>
  </si>
  <si>
    <t>Jīntiān yīn tiānzhēn duō!</t>
  </si>
  <si>
    <t>Có thác nước gần đây không ạ?</t>
  </si>
  <si>
    <t>May falls ba malapit dito ?</t>
  </si>
  <si>
    <t>Nước suối rất mát</t>
  </si>
  <si>
    <r>
      <rPr>
        <sz val="10"/>
        <color theme="1"/>
        <rFont val="Arial"/>
      </rPr>
      <t xml:space="preserve">Malamig ang tubig sa </t>
    </r>
    <r>
      <rPr>
        <sz val="10"/>
        <color rgb="FFFF0000"/>
        <rFont val="Arial"/>
      </rPr>
      <t>sapa</t>
    </r>
  </si>
  <si>
    <r>
      <rPr>
        <sz val="10"/>
        <color theme="1"/>
        <rFont val="Arial"/>
      </rPr>
      <t>Sapa (Con suối nhỏ / Lạch nước)
Từ gốc: Sapa
Âm thanh tương tự: "Sa-pa" (Địa danh Sa Pa)
5 Mẹo ghi nhớ:
Ở</t>
    </r>
    <r>
      <rPr>
        <sz val="10"/>
        <color rgb="FFFF0000"/>
        <rFont val="Arial"/>
      </rPr>
      <t xml:space="preserve"> vùng Sa Pa có rất nhiều con sapa (suối nhỏ) nước trong vắt chảy róc rách.</t>
    </r>
    <r>
      <rPr>
        <sz val="10"/>
        <color theme="1"/>
        <rFont val="Arial"/>
      </rPr>
      <t xml:space="preserve">
Bạn đi du lịch Sa Pa chỉ để được tắm mình trong con sapa mát lạnh.
"Sa-pa": Chân bị Sa vào con sapa ở chỗ của Pa (ba).
Tưởng tượng toàn bộ thị trấn Sa Pa nằm gọn trong một con sapa.
"Sà-ba": Con chim Sà xuống chỗ Ba đang câu cá ở sapa.</t>
    </r>
  </si>
  <si>
    <t>Kàn xīngxīng!</t>
  </si>
  <si>
    <t>Cháu thích đi dã ngoại trong rừng</t>
  </si>
  <si>
    <r>
      <rPr>
        <sz val="10"/>
        <color theme="1"/>
        <rFont val="Arial"/>
      </rPr>
      <t xml:space="preserve">Gusto ko mag-picnic sa </t>
    </r>
    <r>
      <rPr>
        <sz val="10"/>
        <color rgb="FFFF0000"/>
        <rFont val="Arial"/>
      </rPr>
      <t>gubat</t>
    </r>
  </si>
  <si>
    <r>
      <rPr>
        <sz val="10"/>
        <color theme="1"/>
        <rFont val="Arial"/>
      </rPr>
      <t xml:space="preserve">Gubat (Rừng)
Từ gốc: Gubat
Âm thanh tương tự: "Gu-bát" (Gu bát / Cụ bát)
5 Mẹo ghi nhớ:
</t>
    </r>
    <r>
      <rPr>
        <sz val="10"/>
        <color rgb="FFFF0000"/>
        <rFont val="Arial"/>
      </rPr>
      <t>Cái Gu của tôi là vào trong gubat (rừng) để sưu tầm những cái Bát cổ.
"Cụ-bát": Cụ già cầm cái Bát đi lạc vào giữa khu rừng gubat sâu thẳm.</t>
    </r>
    <r>
      <rPr>
        <sz val="10"/>
        <color theme="1"/>
        <rFont val="Arial"/>
      </rPr>
      <t xml:space="preserve">
Trong gubat, con gấu đang ngồi cầm cái Bát ăn mật ong (Gu-bát).
"Gu-bạt": Gu của bạn là đi Bạt mạng xuyên qua khu rừng gubat.
Tưởng tượng cái Bát có vẽ hình khu rừng gubat trông rất đúng Gu của bạn.</t>
    </r>
  </si>
  <si>
    <t>Hãy bảo vệ môi trường nhé</t>
  </si>
  <si>
    <r>
      <rPr>
        <sz val="10"/>
        <color rgb="FFFF0000"/>
        <rFont val="Arial"/>
      </rPr>
      <t xml:space="preserve">Pangalagaan </t>
    </r>
    <r>
      <rPr>
        <sz val="10"/>
        <color theme="1"/>
        <rFont val="Arial"/>
      </rPr>
      <t xml:space="preserve">natin ang </t>
    </r>
    <r>
      <rPr>
        <sz val="10"/>
        <color rgb="FFFF0000"/>
        <rFont val="Arial"/>
      </rPr>
      <t>kalikasan</t>
    </r>
  </si>
  <si>
    <r>
      <rPr>
        <sz val="10"/>
        <color theme="1"/>
        <rFont val="Arial"/>
      </rPr>
      <t>Pangalagaan (Chăm sóc / Bảo vệ / Gìn giữ)
Từ gốc: Alaga (Chăm sóc)
Âm thanh tương tự: "Phang-gà-lạ-gà-ăn"
5 Mẹo ghi nhớ:
Đừng cầm gậy Phang con Gà Lạ để nó được Gà Ăn, hãy Pangalagaan (chăm sóc) nó.
"Phang-ga-la-ga-an": Đừng Phang cái Ga giường vì cần Pangalagaan (gìn giữ) sự sạch sẽ.
Tưởng tượng bạn đang Pangalagaan (bảo vệ) một đàn Gà đang Ăn trên cái Ga trải giường.
"Phang-gà-lạ-ăn": Nếu bạn Phang con Gà, nó sẽ Lạ lẫm không chịu Ăn, nên hãy Pangalagaan nó nhé.
-----
Kalikasan (Thiên nhiên)
Từ gốc: Likas (Tự nhiên)
Âm thanh tương tự: "Ca-ly-cá-săn"
5 Mẹo ghi nhớ:
Bạn cầm cái Ca và cái Ly đi xem Cá Săn mồi trong thế giới Kalikasan (thiên nhiên).
"Ca-ly-ca-săn": Ngồi hát Ca bên cái Ly ở một vùng Ca (xa) để Săn ảnh Kalikasan.
Tưởng tượng một cái Ly khổng lồ chứa cả hệ sinh thái Kalikasan với những con Cá đang Săn nhau.
Hãy yêu Kalikasan như yêu cái Ca và cái Ly bạn dùng hằng ngày.
"</t>
    </r>
    <r>
      <rPr>
        <sz val="10"/>
        <color rgb="FFFF0000"/>
        <rFont val="Arial"/>
      </rPr>
      <t>Ca-ly-cá-săn": Đừng mang Ca và Ly vào rừng Săn bắn phá hoại Kalikasan</t>
    </r>
    <r>
      <rPr>
        <sz val="10"/>
        <color theme="1"/>
        <rFont val="Arial"/>
      </rPr>
      <t>.</t>
    </r>
  </si>
  <si>
    <t>Yuèliàng hǎo liàng!</t>
  </si>
  <si>
    <t>Đừng vứt rác xuống biển</t>
  </si>
  <si>
    <t>Huwag magtapon ng basura sa dagat</t>
  </si>
  <si>
    <t>Con vịt đang bơi</t>
  </si>
  <si>
    <r>
      <rPr>
        <sz val="10"/>
        <color theme="1"/>
        <rFont val="Arial"/>
      </rPr>
      <t xml:space="preserve">Lumalangoy ang </t>
    </r>
    <r>
      <rPr>
        <sz val="10"/>
        <color rgb="FFFF0000"/>
        <rFont val="Arial"/>
      </rPr>
      <t>pato</t>
    </r>
  </si>
  <si>
    <r>
      <rPr>
        <sz val="10"/>
        <color theme="1"/>
        <rFont val="Arial"/>
      </rPr>
      <t xml:space="preserve">Pato (Con vịt)
Từ gốc: Pato
Âm thanh tương tự: "Ba-tô" (Ba tô)
5 Mẹo ghi nhớ:
</t>
    </r>
    <r>
      <rPr>
        <sz val="10"/>
        <color rgb="FFFF0000"/>
        <rFont val="Arial"/>
      </rPr>
      <t>Ba mua Tô mì về cho con Pato (vịt) ăn</t>
    </r>
    <r>
      <rPr>
        <sz val="10"/>
        <color theme="1"/>
        <rFont val="Arial"/>
      </rPr>
      <t>.
Con Pato này rất to, ăn hết sạch Ba Tô cơm của bạn.
"Pa-tô": Pa (ba) đang Tô màu lên hình con Pato.
Tưởng tượng con Pato đang đội một cái Tô trên đầu và đi lạch bạch.
"Ba-tô": Ba ném cái Tô ra sân để đuổi con Pato đi.</t>
    </r>
  </si>
  <si>
    <t>Wǒ xǐhuān kàn rì chū!</t>
  </si>
  <si>
    <t>Con trâu đang làm việc</t>
  </si>
  <si>
    <r>
      <rPr>
        <sz val="10"/>
        <color theme="1"/>
        <rFont val="Arial"/>
      </rPr>
      <t xml:space="preserve">Nagtatrabaho ang </t>
    </r>
    <r>
      <rPr>
        <sz val="10"/>
        <color rgb="FFFF0000"/>
        <rFont val="Arial"/>
      </rPr>
      <t>kalabaw</t>
    </r>
  </si>
  <si>
    <r>
      <rPr>
        <sz val="10"/>
        <color theme="1"/>
        <rFont val="Arial"/>
      </rPr>
      <t xml:space="preserve">Kalabaw (Con trâu nước)
Từ gốc: Kalabaw
Âm thanh tương tự: "Ca-lá-bao" (Ca lá bao)
5 Mẹo ghi nhớ:
</t>
    </r>
    <r>
      <rPr>
        <sz val="10"/>
        <color rgb="FFFF0000"/>
        <rFont val="Arial"/>
      </rPr>
      <t>Con Kalabaw đang nằm hát Ca trên đống Lá khô được Bao lại.</t>
    </r>
    <r>
      <rPr>
        <sz val="10"/>
        <color theme="1"/>
        <rFont val="Arial"/>
      </rPr>
      <t xml:space="preserve">
"Cả-là-bao": Cả một cái Lá Bao quanh sừng con Kalabaw.
Bạn lấy cái Bao đựng đầy Lá cho con Kalabaw ăn rồi hát Ca.
Tưởng tượng con Kalabaw đang kéo một cái Bao chứa toàn những cái Ca và Lá.
"Ca-lả-bao": Con Kalabaw mệt Lả người vì phải kéo cái Bao nặng.</t>
    </r>
  </si>
  <si>
    <t>Cháu muốn nuôi một con rùa</t>
  </si>
  <si>
    <r>
      <rPr>
        <sz val="10"/>
        <color theme="1"/>
        <rFont val="Arial"/>
      </rPr>
      <t xml:space="preserve">Gusto ko mag-alaga ng </t>
    </r>
    <r>
      <rPr>
        <sz val="10"/>
        <color rgb="FFFF0000"/>
        <rFont val="Arial"/>
      </rPr>
      <t>pagong</t>
    </r>
  </si>
  <si>
    <r>
      <rPr>
        <sz val="10"/>
        <color theme="1"/>
        <rFont val="Arial"/>
      </rPr>
      <t xml:space="preserve">Pagong (Con rùa)
Từ gốc: Pagong
Âm thanh tương tự: "Ba-gông" (Ba gông)
5 Mẹo ghi nhớ:
</t>
    </r>
    <r>
      <rPr>
        <sz val="10"/>
        <color rgb="FFFF0000"/>
        <rFont val="Arial"/>
      </rPr>
      <t>Ba lấy cái Gông để nhốt con Pagong (rùa) lại cho nó khỏi bò mất.</t>
    </r>
    <r>
      <rPr>
        <sz val="10"/>
        <color theme="1"/>
        <rFont val="Arial"/>
      </rPr>
      <t xml:space="preserve">
"Ba-gồng": Ba phải Gồng mình lên để nhấc con Pagong khổng lồ này.
Con Pagong bò chậm đến mức Ba phải Gông cổ nó kéo đi.
Tưởng tượng cái mai của Pagong giống như một cái Gông mà Ba tự làm.
"Bà-gông": Bà đang đeo Gông cho con Pagong để dắt nó đi dạo.</t>
    </r>
  </si>
  <si>
    <t xml:space="preserve">Rìluò zhēnměi! </t>
  </si>
  <si>
    <t>Con hổ rất đáng sợ</t>
  </si>
  <si>
    <t>Nakakatakot ang tigre</t>
  </si>
  <si>
    <t>Yǒu wénzǐ, xiǎoxīn bié bèi yǎole!</t>
  </si>
  <si>
    <t>Con voi rất to lớn</t>
  </si>
  <si>
    <t>Napakalaki ng elepante</t>
  </si>
  <si>
    <t>Wǒ xǐhuān tùzǐ!</t>
  </si>
  <si>
    <t>Cháu thích nhìn bầy kiến</t>
  </si>
  <si>
    <r>
      <rPr>
        <sz val="10"/>
        <color theme="1"/>
        <rFont val="Arial"/>
      </rPr>
      <t xml:space="preserve">Gusto ko tingnan ang mga </t>
    </r>
    <r>
      <rPr>
        <sz val="10"/>
        <color rgb="FFFF0000"/>
        <rFont val="Arial"/>
      </rPr>
      <t>langgam</t>
    </r>
  </si>
  <si>
    <r>
      <rPr>
        <sz val="10"/>
        <color theme="1"/>
        <rFont val="Arial"/>
      </rPr>
      <t xml:space="preserve">Langgam (Con kiến)
Từ gốc: Langgam
Âm thanh tương tự: "Lăng-gam" (Lăng và game)
5 Mẹo ghi nhớ:
</t>
    </r>
    <r>
      <rPr>
        <sz val="10"/>
        <color rgb="FFFF0000"/>
        <rFont val="Arial"/>
      </rPr>
      <t>Bạn đang ngồi ở gần Lăng Bác chơi Gam (game) thì bị con Langgam (kiến) cắ</t>
    </r>
    <r>
      <rPr>
        <sz val="10"/>
        <color theme="1"/>
        <rFont val="Arial"/>
      </rPr>
      <t>n.
Đàn Langgam đang bò quanh cái Lăng để tìm mồi chơi Gam.
"Lăng-găm": Trong Lăng có Găm (giấu) một tổ Langgam rất to.
Tưởng tượng một con Langgam đang điều khiển máy chơi Gam ở trước Lăng.
"Làng-gam": Cả cái Làng đang chơi Gam về cuộc chiến của loài Langgam.</t>
    </r>
  </si>
  <si>
    <t>Con nhện đang giăng tơ</t>
  </si>
  <si>
    <r>
      <rPr>
        <sz val="10"/>
        <color theme="1"/>
        <rFont val="Arial"/>
      </rPr>
      <t xml:space="preserve">Gumagawa ng </t>
    </r>
    <r>
      <rPr>
        <sz val="10"/>
        <color rgb="FFFF0000"/>
        <rFont val="Arial"/>
      </rPr>
      <t xml:space="preserve">sapot </t>
    </r>
    <r>
      <rPr>
        <sz val="10"/>
        <color theme="1"/>
        <rFont val="Arial"/>
      </rPr>
      <t xml:space="preserve">ang </t>
    </r>
    <r>
      <rPr>
        <sz val="10"/>
        <color rgb="FFFF0000"/>
        <rFont val="Arial"/>
      </rPr>
      <t>gagamba</t>
    </r>
  </si>
  <si>
    <r>
      <rPr>
        <sz val="10"/>
        <color theme="1"/>
        <rFont val="Arial"/>
      </rPr>
      <t xml:space="preserve">Sapot (Mạng nhện)
Từ gốc: Sapot
Âm thanh tương tự: "Xa-bốt" (Xa bốt)
5 Mẹo ghi nhớ:
</t>
    </r>
    <r>
      <rPr>
        <sz val="10"/>
        <color rgb="FFFF0000"/>
        <rFont val="Arial"/>
      </rPr>
      <t xml:space="preserve">
Ở đằng Xa kia có một cái Bốt điện đầy Sapot (mạng nhện).</t>
    </r>
    <r>
      <rPr>
        <sz val="10"/>
        <color theme="1"/>
        <rFont val="Arial"/>
      </rPr>
      <t xml:space="preserve">
"Sa-bốt": Bạn bị Sa chân vào cái Bốt đầy Sapot.
Con nhện giăng Sapot từ cái Bốt này sang cái Bốt kia rất Xa.
Tưởng tượng bạn dùng Sapot để buộc cái Bốt lại rồi ném đi Xa.
"Xà-bốt": Con Xà (rắn) chui vào cái Bốt và bị dính đầy Sapot.
----
Gagamba (Con nhện)
Từ gốc: Gagamba
Âm thanh tương tự: "Ga-gam-ba" (Ga găm ba)
5 Mẹo ghi nhớ:
Ở cái Ga tàu, người ta Găm Ba con Gagamba (nhện) đồ chơi vào tường.
</t>
    </r>
    <r>
      <rPr>
        <sz val="10"/>
        <color rgb="FFFF0000"/>
        <rFont val="Arial"/>
      </rPr>
      <t>"Gà-gặm-ba": Con Gà đang Gặm Ba con Gagamba nhựa.</t>
    </r>
    <r>
      <rPr>
        <sz val="10"/>
        <color theme="1"/>
        <rFont val="Arial"/>
      </rPr>
      <t xml:space="preserve">
Bạn ra Ga và thấy Ba con Gagamba đang giăng tơ.
"Gà-găm-bả": Con Gà bị Găm thuốc Bả vì mải ăn con Gagamba.
Tưởng tượng con Gagamba có Ba cái chân bị Găm vào tấm Ga.</t>
    </r>
  </si>
  <si>
    <t>Zhū hēng hēng jiào!</t>
  </si>
  <si>
    <t>Cháu thích thời tiết mát mẻ</t>
  </si>
  <si>
    <t>Gusto ko ng preskong panahon</t>
  </si>
  <si>
    <t>Nhìn kìa, một hòn đảo nhỏ!</t>
  </si>
  <si>
    <t>Tingnan niyo , may maliit na isla !</t>
  </si>
  <si>
    <t>Mǎ pǎo dé hǎo kuài!</t>
  </si>
  <si>
    <t>Cháu muốn đi lặn biển</t>
  </si>
  <si>
    <r>
      <rPr>
        <sz val="10"/>
        <color theme="1"/>
        <rFont val="Arial"/>
      </rPr>
      <t>Gusto ko mag-</t>
    </r>
    <r>
      <rPr>
        <sz val="10"/>
        <color rgb="FFFF0000"/>
        <rFont val="Arial"/>
      </rPr>
      <t>snorkeling</t>
    </r>
  </si>
  <si>
    <r>
      <rPr>
        <sz val="10"/>
        <color theme="1"/>
        <rFont val="Arial"/>
      </rPr>
      <t xml:space="preserve">Snorkeling (Lặn ống thở)
Từ gốc: Snorkeling (Mượn tiếng Anh)
Âm thanh tương tự: "Sờ-nót-khe-linh"
5 Mẹo ghi nhớ:
</t>
    </r>
    <r>
      <rPr>
        <sz val="10"/>
        <color rgb="FFFF0000"/>
        <rFont val="Arial"/>
      </rPr>
      <t>Đang đi Snorkeling, bạn Sờ vào cái Nót (nốt) trên Khe đá chỗ cô Linh.</t>
    </r>
    <r>
      <rPr>
        <sz val="10"/>
        <color theme="1"/>
        <rFont val="Arial"/>
      </rPr>
      <t xml:space="preserve">
"Sợ-nó-khe-linh": Bạn Sợ con cá ở Khe đá nên cứ Linh tính không dám đi Snorkeling.
Cô Linh ngồi bên Khe suối Sờ vào cái ống Snorkeling có cái Nót đỏ.
Tưởng tượng bạn Snorkeling xuyên qua một cái Khe đầy những linh hồn (Linh).
"Sờ-nó-khẽ-linh": Hãy Sờ vào mặt nước Khẽ thôi khi đi Snorkeling kẻo mất Linh thiêng.</t>
    </r>
  </si>
  <si>
    <t>Thiên nhiên thật tuyệt vời</t>
  </si>
  <si>
    <r>
      <rPr>
        <sz val="10"/>
        <color rgb="FFFF0000"/>
        <rFont val="Arial"/>
      </rPr>
      <t xml:space="preserve">Napakalanda </t>
    </r>
    <r>
      <rPr>
        <sz val="10"/>
        <color theme="1"/>
        <rFont val="Arial"/>
      </rPr>
      <t>ng kalikasan</t>
    </r>
  </si>
  <si>
    <t>Napakaganda (Rất đẹp)
Lưu ý: Từ bạn nhập là "Napakalanda", nhưng trong bối cảnh thiên nhiên và động vật, chắc chắn bạn muốn nói đến Napakaganda (Rất đẹp). Nếu là "Napakalanda" thì nó mang nghĩa "rất lẳng lơ" - không phù hợp lắm với danh sách này.
Từ gốc: Ganda (Đẹp)
Âm thanh tương tự: "Na-ba-ca-gân-đa" (Na ba ca gân đa)
5 Mẹo ghi nhớ:
Cô Na và Ba hát Ca nghe rất Gân và Đa dạng, thật là Napakaganda (rất đẹp/hay).
"Na-pa-ca-gân-đa": Na Pha một Ca nước Gừng Đá cho người mẹ Napakaganda.
Tưởng tượng một bãi biển Napakaganda nơi cô Na đang tập Gân cốt và hát Ca.
"Náp-ba-ca-gần-đây": Náp (lắp) cái Ba-ca (xe) ở Gần đây vì phong cảnh Napakaganda.
Cảnh vật Napakaganda làm bạn nổi Gân xanh vì quá phấn khích khi hát Ca.</t>
  </si>
  <si>
    <t>Wǒ xiǎng qù dòngwùyuán!</t>
  </si>
  <si>
    <t>Cháu yêu trái đất</t>
  </si>
  <si>
    <t>Mahal ko ang mundo</t>
  </si>
  <si>
    <t>Dòngwù shì wǒmen de péngyǒu!</t>
  </si>
  <si>
    <t xml:space="preserve"> Bùyào shānghài tāmen!</t>
  </si>
  <si>
    <t>Wǒ xǐhuān zhèlǐ de kōngqì!</t>
  </si>
  <si>
    <t xml:space="preserve"> Fùjìn yǒu pùbù ma?</t>
  </si>
  <si>
    <t>Quánshuǐ hǎo liángshuǎng!</t>
  </si>
  <si>
    <t xml:space="preserve">Wǒ xǐhuān qù sēnlín lǐ yěcān! </t>
  </si>
  <si>
    <t>Qǐng bǎohù huánjìng!</t>
  </si>
  <si>
    <t xml:space="preserve"> Bùyào bǎ lèsè rēng jìn hǎilǐ!</t>
  </si>
  <si>
    <t>Yāzǐ zài yóuyǒng!</t>
  </si>
  <si>
    <t xml:space="preserve"> Shuǐniú zài gàn huó! </t>
  </si>
  <si>
    <t>Wǒ xiǎng yǎng yī zhǐ wūguī!</t>
  </si>
  <si>
    <t xml:space="preserve">Lǎohǔ hǎo kěpà! </t>
  </si>
  <si>
    <t>Dà xiàng hào dà!</t>
  </si>
  <si>
    <t>Wǒ xǐhuān kàn mǎyǐ!</t>
  </si>
  <si>
    <t xml:space="preserve"> Zhīzhū zài zhī wǎng!</t>
  </si>
  <si>
    <t xml:space="preserve"> Wǒ xǐhuān liángshuǎng de tiānqì!</t>
  </si>
  <si>
    <t xml:space="preserve"> Kàn, yīgè xiǎo dǎo!</t>
  </si>
  <si>
    <t>Wǒ xiǎng qù qiánshuǐ!</t>
  </si>
  <si>
    <t xml:space="preserve">Dà zìrán zhēn shénqí! </t>
  </si>
  <si>
    <t>Wǒ rè'ài dìqiú!</t>
  </si>
  <si>
    <t>Chủ đề 18: Cảm xúc và Ý kiến</t>
  </si>
  <si>
    <t>Cháu đang rất vui!</t>
  </si>
  <si>
    <t>Masaya ako !</t>
  </si>
  <si>
    <t>Wǒ hǎo kāixīn!</t>
  </si>
  <si>
    <t>Cháu thấy hơi buồn</t>
  </si>
  <si>
    <t>Medyo malungkot ako</t>
  </si>
  <si>
    <t>Tại sao bạn lại giận?</t>
  </si>
  <si>
    <t>Bakit ka galit ?</t>
  </si>
  <si>
    <t>Wǒ yǒudiǎn nánguò.</t>
  </si>
  <si>
    <t>Cháu không giận đâu</t>
  </si>
  <si>
    <t>Hindi ako galit</t>
  </si>
  <si>
    <t>Cháu thấy lo lắng</t>
  </si>
  <si>
    <t>Kinakabahan ako</t>
  </si>
  <si>
    <t>Nǐ wèishéme shēngqì?</t>
  </si>
  <si>
    <t>Đừng sợ, có cháu đây</t>
  </si>
  <si>
    <t>Huwag kang matakot , nandito ako</t>
  </si>
  <si>
    <t>Cháu thấy ngạc nhiên quá!</t>
  </si>
  <si>
    <t>Nagulat ako !</t>
  </si>
  <si>
    <t>Wǒ méiyǒu shēngqì.</t>
  </si>
  <si>
    <t>Cháu rất tự hào về bạn</t>
  </si>
  <si>
    <t>Proud ako sa iyo</t>
  </si>
  <si>
    <t>Cháu thấy mệt mỏi</t>
  </si>
  <si>
    <t>Pagod ako</t>
  </si>
  <si>
    <t>Wǒ yǒudiǎn dānxīn.</t>
  </si>
  <si>
    <t>Cháu thấy buồn ngủ</t>
  </si>
  <si>
    <t>Inaantok ako</t>
  </si>
  <si>
    <t>Cháu thấy đói bụng</t>
  </si>
  <si>
    <t>Gutom na ako</t>
  </si>
  <si>
    <t>Bié hàipà, wǒ zài zhèlǐ.</t>
  </si>
  <si>
    <t>Cháu thấy khát nước</t>
  </si>
  <si>
    <t>Uhaw na ako</t>
  </si>
  <si>
    <t>Cháu thấy chán quá</t>
  </si>
  <si>
    <t>Nabo-bore ako</t>
  </si>
  <si>
    <t>Wǒ hǎo jīngyà!</t>
  </si>
  <si>
    <t>Đi chơi cho vui đi!</t>
  </si>
  <si>
    <t>Maglaro tayo para masaya !</t>
  </si>
  <si>
    <t>Cháu thích cái này</t>
  </si>
  <si>
    <t>Gusto ko ito</t>
  </si>
  <si>
    <t>Wǒ wèi nǐ gǎndào jiāo'ào.</t>
  </si>
  <si>
    <t>Cháu không thích cái kia</t>
  </si>
  <si>
    <t>Ayaw ko niyan</t>
  </si>
  <si>
    <t>Cháu yêu bạn!</t>
  </si>
  <si>
    <t>Mahal kita !</t>
  </si>
  <si>
    <t xml:space="preserve">Wǒ hǎo lèi. </t>
  </si>
  <si>
    <t>Cháu nhớ bạn nhiều lắm</t>
  </si>
  <si>
    <t>Miss na miss na kita</t>
  </si>
  <si>
    <t xml:space="preserve">Wǒ hǎo kùn. </t>
  </si>
  <si>
    <t>Bạn thật tốt bụng</t>
  </si>
  <si>
    <t>Napakabait niyo</t>
  </si>
  <si>
    <t xml:space="preserve">Wǒ hǎo è. </t>
  </si>
  <si>
    <t>Cháu thấy hạnh phúc khi ở đây</t>
  </si>
  <si>
    <t>Masaya ako na nandito ako</t>
  </si>
  <si>
    <t xml:space="preserve">Wǒ hǎo kě. </t>
  </si>
  <si>
    <t>Đừng khóc nhé</t>
  </si>
  <si>
    <t>Huwag kang umiyak</t>
  </si>
  <si>
    <t xml:space="preserve">Wǒ hǎo wúliáo. </t>
  </si>
  <si>
    <t>Ngiti ka lang !</t>
  </si>
  <si>
    <t>Wǒmen qù wán ba!</t>
  </si>
  <si>
    <t>Cháu thấy hơi xấu hổ</t>
  </si>
  <si>
    <t>Nahihiya ako</t>
  </si>
  <si>
    <t>Đừng ngại nhé</t>
  </si>
  <si>
    <t>Huwag kang mahiya</t>
  </si>
  <si>
    <t>Wǒ xǐhuān zhège.</t>
  </si>
  <si>
    <t>Cháu rất tự tin</t>
  </si>
  <si>
    <t>Confident ako</t>
  </si>
  <si>
    <t xml:space="preserve"> Wǒ bù xǐhuān nàgè.</t>
  </si>
  <si>
    <t>Cháu đồng ý với bạn</t>
  </si>
  <si>
    <r>
      <rPr>
        <sz val="10"/>
        <color rgb="FFFF0000"/>
        <rFont val="Arial"/>
      </rPr>
      <t>Sang-ayon</t>
    </r>
    <r>
      <rPr>
        <sz val="10"/>
        <color theme="1"/>
        <rFont val="Arial"/>
      </rPr>
      <t xml:space="preserve"> ako sa iyo</t>
    </r>
  </si>
  <si>
    <r>
      <rPr>
        <sz val="10"/>
        <color theme="1"/>
        <rFont val="Arial"/>
      </rPr>
      <t xml:space="preserve">Sang-ayon (Đồng ý / Tán thành)
Từ gốc: Ayon (Sự phù hợp/Theo như)
Âm thanh tương tự: "Sang-ai-ôn" (Sang ai ôn)
5 Mẹo ghi nhớ:
Bạn Sang nhà Ai để Ôn bài? Tôi Sang-ayon (đồng ý) ngay cho bạn đi đấy.
</t>
    </r>
    <r>
      <rPr>
        <sz val="10"/>
        <color rgb="FFFF0000"/>
        <rFont val="Arial"/>
      </rPr>
      <t xml:space="preserve">"Sang-ai-ồn": Buổi Sáng Ai cũng Ồn ào đòi sếp phải Sang-ayon (tán thành) ý kiến của mình.
</t>
    </r>
    <r>
      <rPr>
        <sz val="10"/>
        <color theme="1"/>
        <rFont val="Arial"/>
      </rPr>
      <t xml:space="preserve">
Tưởng tượng một người tên Sang đang Ai (yêu) việc học Ôn, và thầy giáo rất Sang-ayon.
"Sáng-ai-ổn": Sáng ra thấy Ai cũng Ổn định nên tôi hoàn toàn Sang-ayon với kế hoạch này.
Bạn bước Sang nhà hàng xóm hỏi xem Ai muốn đi Ôn thi, nếu họ Sang-ayon thì đi cùng.</t>
    </r>
  </si>
  <si>
    <t>Cháu không đồng ý</t>
  </si>
  <si>
    <t>Hindi ako sang-ayon</t>
  </si>
  <si>
    <t>Wǒ ài nǐ!</t>
  </si>
  <si>
    <t>Cháu nghĩ là nó tốt</t>
  </si>
  <si>
    <t>Sa tingin ko ay mabuti ito</t>
  </si>
  <si>
    <t xml:space="preserve">Wǒ hǎo xiǎng nǐ. </t>
  </si>
  <si>
    <t>Theo cháu thì cái này đẹp hơn</t>
  </si>
  <si>
    <t>Para sa akin , mas maganda ito</t>
  </si>
  <si>
    <t>Cháu không chắc chắn lắm</t>
  </si>
  <si>
    <t>Hindi ako sigurado</t>
  </si>
  <si>
    <t>Bạn có chắc không?</t>
  </si>
  <si>
    <t>Sigurado ka ba ?</t>
  </si>
  <si>
    <t>Wǒ hěn gāoxìng lái dào zhèlǐ</t>
  </si>
  <si>
    <t>Cháu hy vọng là như vậy</t>
  </si>
  <si>
    <t>Sana nga</t>
  </si>
  <si>
    <t>Đừng lo lắng nhé</t>
  </si>
  <si>
    <t>Huwag kang mag-alala</t>
  </si>
  <si>
    <t>bié kū</t>
  </si>
  <si>
    <t>Mọi chuyện sẽ ổn thôi</t>
  </si>
  <si>
    <t>Magiging okay din ang lahat</t>
  </si>
  <si>
    <t>Cháu thấy rất thú vị</t>
  </si>
  <si>
    <t>Napakaganda / Interesting</t>
  </si>
  <si>
    <t>xiào yīxiào!</t>
  </si>
  <si>
    <t>Cháu thấy hơi khó chịu</t>
  </si>
  <si>
    <t>Medyo naiinis ako</t>
  </si>
  <si>
    <t>Làm ơn bình tĩnh lại</t>
  </si>
  <si>
    <t>Paki-relax lang</t>
  </si>
  <si>
    <t>Wǒ yǒudiǎn bù hǎoyìsi</t>
  </si>
  <si>
    <t>Cháu rất biết ơn</t>
  </si>
  <si>
    <t>Nagpapasalamat ako</t>
  </si>
  <si>
    <t>Cháu thấy may mắn</t>
  </si>
  <si>
    <t>Swerte ako</t>
  </si>
  <si>
    <t>bié hàixiū</t>
  </si>
  <si>
    <t>Thật là tiếc quá!</t>
  </si>
  <si>
    <t>Sayang naman !</t>
  </si>
  <si>
    <t>Cháu không có ý đó</t>
  </si>
  <si>
    <t>Hindi iyon ang ibig kong sabihin</t>
  </si>
  <si>
    <t>wǒ hěn yǒu xìnxīn</t>
  </si>
  <si>
    <t>Xin lỗi vì đã làm bạn buồn</t>
  </si>
  <si>
    <t>Pasensya na kung nalungkot kayo</t>
  </si>
  <si>
    <t>Cháu sẽ cố gắng hết sức</t>
  </si>
  <si>
    <t>Gagawin ko ang best ko</t>
  </si>
  <si>
    <t>wǒ tóngyì nǐ de kànfǎ</t>
  </si>
  <si>
    <t>Cháu tin bạn</t>
  </si>
  <si>
    <r>
      <rPr>
        <sz val="10"/>
        <color rgb="FFFF0000"/>
        <rFont val="Arial"/>
      </rPr>
      <t xml:space="preserve">Nagitiwala </t>
    </r>
    <r>
      <rPr>
        <sz val="10"/>
        <color theme="1"/>
        <rFont val="Arial"/>
      </rPr>
      <t>ako sa iyo</t>
    </r>
  </si>
  <si>
    <r>
      <rPr>
        <sz val="10"/>
        <color theme="1"/>
        <rFont val="Arial"/>
      </rPr>
      <t>Nagtitiwala (Đang tin tưởng)
Lưu ý: Từ bạn nhập "Nagitiwala" có thể là Nagtiwala (Đã tin) hoặc Nagtitiwala (Đang tin). Tôi sẽ dùng nghĩa gốc là sự tin tưởng.
Từ gốc: Tiwala (Sự tin tưởng)
Âm thanh tương tự: "Na-ghi-tỉ-và-la"
5 Mẹo ghi nhớ:
Cô Na Ghi chép Tỉ mỉ Và không bao giờ La mắng vì cô ấy rất Nagtitiwala (tin tưởng) bạn.
"Nát-tí-và-la": Đừng làm niềm tin bị Nát dù chỉ một Tí, nếu không tôi sẽ Và (vả) và La lên đấy.
Bạn Ghi vào sổ Tỉ lệ thắng cược Và La hét vì bạn Nagtitiwala vào vận may của mình.
"Na-ghi-tỉ-hoa-lá": Cô Na Ghi hàng</t>
    </r>
    <r>
      <rPr>
        <sz val="10"/>
        <color rgb="FFFF0000"/>
        <rFont val="Arial"/>
      </rPr>
      <t xml:space="preserve"> Tỉ bông Hoa Lá vì cô ấy Nagtitiwala mùa xuân đã về.</t>
    </r>
    <r>
      <rPr>
        <sz val="10"/>
        <color theme="1"/>
        <rFont val="Arial"/>
      </rPr>
      <t xml:space="preserve">
Đừng có La lối khi người ta đang Ghi chép Tỉ mỉ, hãy thể hiện sự Nagtitiwala.</t>
    </r>
  </si>
  <si>
    <t>Đừng bỏ cuộc nhé!</t>
  </si>
  <si>
    <t>Huwag kang susuko !</t>
  </si>
  <si>
    <t>wǒ bù tóngyì</t>
  </si>
  <si>
    <t>Bạn làm cháu thấy vui</t>
  </si>
  <si>
    <t>Pinasasaya mo ako</t>
  </si>
  <si>
    <t>Cháu thích tính cách của bạn</t>
  </si>
  <si>
    <r>
      <rPr>
        <sz val="10"/>
        <color theme="1"/>
        <rFont val="Arial"/>
      </rPr>
      <t xml:space="preserve">Gusto ko ang </t>
    </r>
    <r>
      <rPr>
        <sz val="10"/>
        <color rgb="FFFF0000"/>
        <rFont val="Arial"/>
      </rPr>
      <t xml:space="preserve">ugali </t>
    </r>
    <r>
      <rPr>
        <sz val="10"/>
        <color theme="1"/>
        <rFont val="Arial"/>
      </rPr>
      <t>mo</t>
    </r>
  </si>
  <si>
    <t>. Ugali (Tính cách / Thói quen / Hành vi)
Từ gốc: Ugali
Âm thanh tương tự: "U-gà-lì" (U gà lì)
5 Mẹo ghi nhớ:
U (mẹ) nuôi con Gà rất Lì, đó là cái Ugali (tính cách) đặc trưng của nó.
Con Gà của U có cái Ugali là rất Lì lợm, không chịu chui vào chuồng.
"U-ga-ly": U vừa trải cái Ga giường vừa cầm cái Ly để quan sát Ugali của khách.
Đừng có Lì như con Gà của U, hãy sửa cái Ugali hay đi chơi muộn của bạn đi.
Tưởng tượng một con Gà đeo cái Ly ở cổ và đi đứng rất Lì - một Ugali kỳ lạ.</t>
  </si>
  <si>
    <t>wǒ juédé hěn hǎo</t>
  </si>
  <si>
    <t>Thật là một ý tưởng hay!</t>
  </si>
  <si>
    <t>Magandang ideya iyan !</t>
  </si>
  <si>
    <t>Cháu thấy thoải mái ở đây</t>
  </si>
  <si>
    <t>Comfortable ako rito</t>
  </si>
  <si>
    <t>wǒ juédé zhège gèng piàoliang</t>
  </si>
  <si>
    <t>Chúc bạn luôn hạnh phúc!</t>
  </si>
  <si>
    <t>Sana laging masaya ka !</t>
  </si>
  <si>
    <t>wǒ bù tài quèdìng</t>
  </si>
  <si>
    <t>nǐ quèdìng ma?</t>
  </si>
  <si>
    <t>Xīwàng rúcǐ</t>
  </si>
  <si>
    <t>bié dānxīn</t>
  </si>
  <si>
    <t>yīqiè dūhuì hǎo qǐlái de</t>
  </si>
  <si>
    <t>wǒ juédé hěn yǒuqù</t>
  </si>
  <si>
    <t>wǒ gǎnjué yǒudiǎn bù zìzài</t>
  </si>
  <si>
    <t>qǐng lěngjìng xiàlái</t>
  </si>
  <si>
    <t>wǒ hěn gǎnjī</t>
  </si>
  <si>
    <t>wǒ juédé zìjǐ hěn xìngyùn</t>
  </si>
  <si>
    <t>zhēnshi tài kěxíle!</t>
  </si>
  <si>
    <t>Wǒ bùshì nàgè yìsi</t>
  </si>
  <si>
    <t>duìbùqǐ ràng nǐ nánguòle</t>
  </si>
  <si>
    <t>wǒ huì jìnlì de</t>
  </si>
  <si>
    <t>wǒ xiāngxìn nǐ</t>
  </si>
  <si>
    <t>bùyào fàngqì!</t>
  </si>
  <si>
    <t>Nǐ ràng wǒ gǎndào kuàilè</t>
  </si>
  <si>
    <t>wǒ xǐhuān nǐ dì xìnggé</t>
  </si>
  <si>
    <t>zhēnshi gè hǎo zhǔyì!</t>
  </si>
  <si>
    <t>Wǒ zài zhèlǐ gǎnjué hěn shūfú</t>
  </si>
  <si>
    <t>zhù nǐ xìngfú!</t>
  </si>
  <si>
    <t>Chủ đề 19: Số đếm, Màu sắc và Hình dáng</t>
  </si>
  <si>
    <t>Số một</t>
  </si>
  <si>
    <t>Isa</t>
  </si>
  <si>
    <t>Yī</t>
  </si>
  <si>
    <t>Số hai</t>
  </si>
  <si>
    <t>Dalawa</t>
  </si>
  <si>
    <t>Số ba</t>
  </si>
  <si>
    <t>Tatlo</t>
  </si>
  <si>
    <t>èr</t>
  </si>
  <si>
    <t>Số bốn</t>
  </si>
  <si>
    <t>Apat</t>
  </si>
  <si>
    <t>sān</t>
  </si>
  <si>
    <t>Số năm</t>
  </si>
  <si>
    <t>Lima</t>
  </si>
  <si>
    <t>sì</t>
  </si>
  <si>
    <t>Số sáu</t>
  </si>
  <si>
    <t>Anim</t>
  </si>
  <si>
    <t>wǔ</t>
  </si>
  <si>
    <t>Số bảy</t>
  </si>
  <si>
    <t>Pito</t>
  </si>
  <si>
    <t>liù</t>
  </si>
  <si>
    <t>Số tám</t>
  </si>
  <si>
    <t>Walo</t>
  </si>
  <si>
    <t>qī</t>
  </si>
  <si>
    <t>Số chín</t>
  </si>
  <si>
    <t>Siyam</t>
  </si>
  <si>
    <t>bā</t>
  </si>
  <si>
    <t>Số mười</t>
  </si>
  <si>
    <t>Sampu</t>
  </si>
  <si>
    <t>jiǔ</t>
  </si>
  <si>
    <t>Cháu muốn mua 3 cái kẹo</t>
  </si>
  <si>
    <t>Gusto ko bumili ng tatlong kendi</t>
  </si>
  <si>
    <t>shí</t>
  </si>
  <si>
    <t>Cháu có 2 người bạn</t>
  </si>
  <si>
    <t>May dalawa akong kaibigan</t>
  </si>
  <si>
    <t>wǒ xiǎng mǎi 3 kē táng.</t>
  </si>
  <si>
    <t>Cho cháu xin 5 Peso</t>
  </si>
  <si>
    <t>Pahingi ng limang piso</t>
  </si>
  <si>
    <t>Cái này màu gì ạ?</t>
  </si>
  <si>
    <t>Anong kulay ito ?</t>
  </si>
  <si>
    <t>Wǒ yǒu liǎng gè péngyǒu.</t>
  </si>
  <si>
    <t>Nó màu đỏ</t>
  </si>
  <si>
    <t>Kulay pula ito</t>
  </si>
  <si>
    <t>Cháu thích màu xanh lá cây</t>
  </si>
  <si>
    <t>Gusto ko ng green</t>
  </si>
  <si>
    <t>Wǒ kěyǐ yào 5 bǐsuǒ ma?</t>
  </si>
  <si>
    <t>Bầu trời màu xanh dương</t>
  </si>
  <si>
    <t>Kulay asul ang langit</t>
  </si>
  <si>
    <t>Quả chuối màu vàng</t>
  </si>
  <si>
    <r>
      <rPr>
        <sz val="10"/>
        <color theme="1"/>
        <rFont val="Arial"/>
      </rPr>
      <t xml:space="preserve">Kulay </t>
    </r>
    <r>
      <rPr>
        <sz val="10"/>
        <color rgb="FFFF0000"/>
        <rFont val="Arial"/>
      </rPr>
      <t xml:space="preserve">dilaw </t>
    </r>
    <r>
      <rPr>
        <sz val="10"/>
        <color theme="1"/>
        <rFont val="Arial"/>
      </rPr>
      <t>ang saging</t>
    </r>
  </si>
  <si>
    <r>
      <rPr>
        <sz val="10"/>
        <color theme="1"/>
        <rFont val="Arial"/>
      </rPr>
      <t xml:space="preserve">Dilaw (Màu vàng)
Từ gốc: Dilaw
Âm thanh tương tự: "Đi-lau" hoặc "Đi-láu"
5 Mẹo ghi nhớ:
</t>
    </r>
    <r>
      <rPr>
        <sz val="10"/>
        <color rgb="FFFF0000"/>
        <rFont val="Arial"/>
      </rPr>
      <t>Bạn vừa Đi vừa Lau một vết sơn màu Dilaw (vàng) dính trên sàn nhà.</t>
    </r>
    <r>
      <rPr>
        <sz val="10"/>
        <color theme="1"/>
        <rFont val="Arial"/>
      </rPr>
      <t xml:space="preserve">
Một cậu bé Đi rất Láu táu rồi đâm sầm vào đống rơm màu Dilaw.
"Đi-lau": Mẹ bảo con Đi Lau cái bàn gỗ màu Dilaw cho sạch.
Tưởng tượng bạn Đi đôi giày màu Dilaw và bị mọi người trêu là trông rất Láu.
Cầm đóa hoa Dilaw (vàng) rực rỡ và chạy Đi thật Láu để tặng người yêu.</t>
    </r>
  </si>
  <si>
    <t>Zhè shì shénme yánsè?</t>
  </si>
  <si>
    <t>Cái áo này màu trắng</t>
  </si>
  <si>
    <t>Puti ang damit na ito</t>
  </si>
  <si>
    <t>Con mèo màu đen</t>
  </si>
  <si>
    <t>Kulay itim ang pusa</t>
  </si>
  <si>
    <t>Tā shì hóngsè de.</t>
  </si>
  <si>
    <t>Màu hồng rất dễ thương</t>
  </si>
  <si>
    <t>Ang cute ng kulay pink</t>
  </si>
  <si>
    <t>Cháu thích màu cam</t>
  </si>
  <si>
    <t>Gusto ko ng kulay orange</t>
  </si>
  <si>
    <t>Đây là hình tròn</t>
  </si>
  <si>
    <t>Bilog ito</t>
  </si>
  <si>
    <t>Đây là hình vuông</t>
  </si>
  <si>
    <t>Square ito</t>
  </si>
  <si>
    <t>Tiānkōng shì lán sè de.</t>
  </si>
  <si>
    <t>Đây là hình tam giác</t>
  </si>
  <si>
    <t>Triangle ito</t>
  </si>
  <si>
    <t>Xiāngjiāo shì huángsè de.</t>
  </si>
  <si>
    <t>Quả bóng này hình gì?</t>
  </si>
  <si>
    <r>
      <rPr>
        <sz val="10"/>
        <color theme="1"/>
        <rFont val="Arial"/>
      </rPr>
      <t xml:space="preserve">Anong </t>
    </r>
    <r>
      <rPr>
        <sz val="10"/>
        <color rgb="FFFF0000"/>
        <rFont val="Arial"/>
      </rPr>
      <t>hugis</t>
    </r>
    <r>
      <rPr>
        <sz val="10"/>
        <color theme="1"/>
        <rFont val="Arial"/>
      </rPr>
      <t xml:space="preserve"> ng </t>
    </r>
    <r>
      <rPr>
        <sz val="10"/>
        <color rgb="FFFF0000"/>
        <rFont val="Arial"/>
      </rPr>
      <t xml:space="preserve">bola </t>
    </r>
    <r>
      <rPr>
        <sz val="10"/>
        <color theme="1"/>
        <rFont val="Arial"/>
      </rPr>
      <t>?</t>
    </r>
  </si>
  <si>
    <r>
      <rPr>
        <sz val="10"/>
        <color theme="1"/>
        <rFont val="Arial"/>
      </rPr>
      <t xml:space="preserve">Hugis (Hình dạng)
Từ gốc: Hugis
Âm thanh tương tự: "Hủ-ghế" hoặc "Hù-gít"
5 Mẹo ghi nhớ:
Bạn nhìn vào cái Hủ đặt trên cái Ghế và thắc mắc nó có Hugis (hình dạng) gì.
</t>
    </r>
    <r>
      <rPr>
        <sz val="10"/>
        <color rgb="FFFF0000"/>
        <rFont val="Arial"/>
      </rPr>
      <t>"Hù-gít": Bạn nhảy ra Hù một cái làm người ta Gít (giật) mình biến đổi cả Hugis (hình dạng) khuôn mặt.</t>
    </r>
    <r>
      <rPr>
        <sz val="10"/>
        <color theme="1"/>
        <rFont val="Arial"/>
      </rPr>
      <t xml:space="preserve">
</t>
    </r>
    <r>
      <rPr>
        <sz val="10"/>
        <color rgb="FFFF0000"/>
        <rFont val="Arial"/>
      </rPr>
      <t xml:space="preserve">
Một cái Hủ bị méo mó, không còn Hugis ban đầu sau khi rơi từ trên Ghế xuống.</t>
    </r>
    <r>
      <rPr>
        <sz val="10"/>
        <color theme="1"/>
        <rFont val="Arial"/>
      </rPr>
      <t xml:space="preserve">
Tưởng tượng cái Ghế được làm từ những cái Hủ có Hugis tròn xoe.
Bạn vẽ Hugis của cái Hủ và cái Ghế lên một tờ giấy trắng.
---
Bola (Quả bóng)
Từ gốc: Bola
Âm thanh tương tự: "Bò-la" (Con bò la)
5 Mẹo ghi nhớ:
</t>
    </r>
    <r>
      <rPr>
        <sz val="10"/>
        <color rgb="FFFF0000"/>
        <rFont val="Arial"/>
      </rPr>
      <t>Con Bò đang La hét vì bị một quả Bola (bóng) bay trúng đầu.</t>
    </r>
    <r>
      <rPr>
        <sz val="10"/>
        <color theme="1"/>
        <rFont val="Arial"/>
      </rPr>
      <t xml:space="preserve">
"Bỏ-la": Bạn Bỏ cái La bàn vào bên trong quả Bola để đi thám hiểm.
Một con Bò đang tập đá Bola và kêu La ầm ĩ khi ghi bàn.
Đừng có Bỏ rơi quả Bola của bạn ở giữa đàn Bò đang La nhé.
Tưởng tượng quả Bola có hình mặt con Bò đang La.</t>
    </r>
  </si>
  <si>
    <t xml:space="preserve"> Zhè jiàn chènshān shì báisè de.</t>
  </si>
  <si>
    <t>Nó to hay nhỏ ạ?</t>
  </si>
  <si>
    <t>Malaki ba o maliit ?</t>
  </si>
  <si>
    <t xml:space="preserve"> Māo shì hēisè de.</t>
  </si>
  <si>
    <t>Nó rất to!</t>
  </si>
  <si>
    <t>Napakalaki !</t>
  </si>
  <si>
    <t>Fěnsè hěn kě'ài.</t>
  </si>
  <si>
    <t>Nó rất nhỏ</t>
  </si>
  <si>
    <t>Napakaliiit</t>
  </si>
  <si>
    <t>Cái bàn này hình chữ nhật</t>
  </si>
  <si>
    <r>
      <rPr>
        <sz val="10"/>
        <color rgb="FFFF0000"/>
        <rFont val="Arial"/>
      </rPr>
      <t xml:space="preserve">Rectangle </t>
    </r>
    <r>
      <rPr>
        <sz val="10"/>
        <color theme="1"/>
        <rFont val="Arial"/>
      </rPr>
      <t>ang mesa</t>
    </r>
  </si>
  <si>
    <t>Rectangle (Hình chữ nhật)
Từ gốc: Parihaba (Tiếng Tagalog chính thức của Rectangle)
Âm thanh tương tự: "Ba-rì-hà-ba" hoặc "Bà-đi-hà-bá"
5 Mẹo ghi nhớ:
Bà kể chuyện về con Hà Bá sống trong một cái hang hình Parihaba (chữ nhật).
"Ba-rì-hà-ba": Ba đi Rì chậm bên bờ sông và thấy con Hà Bá cầm cái bảng Parihaba.
Tưởng tượng con Hà Bá đang cố gắng bơi vào một cái khung hình Parihaba.
Ba tặng Bà một chiếc khăn quàng cổ hình Parihaba rất đẹp.
Vẽ hình Parihaba lên mặt nước để dụ con Hà Bá hiện lên.</t>
  </si>
  <si>
    <t>Wǒ xǐhuān chéngsè.</t>
  </si>
  <si>
    <t>Cháu muốn 10 quả trứng</t>
  </si>
  <si>
    <t>Sampu itlog</t>
  </si>
  <si>
    <t>Một trăm Peso</t>
  </si>
  <si>
    <t>Isandaang piso</t>
  </si>
  <si>
    <t>Zhè shì yīgè yuán xíng.</t>
  </si>
  <si>
    <t>Một nghìn Peso</t>
  </si>
  <si>
    <t>Isang libong piso</t>
  </si>
  <si>
    <t>Đếm từ 1 đến 10 nhé</t>
  </si>
  <si>
    <t>Magbilang tayo mula isa hanggang sampu</t>
  </si>
  <si>
    <t>Zhè shì yīgè zhèngfāngxíng.</t>
  </si>
  <si>
    <t>Cháu có nhiều đồ chơi</t>
  </si>
  <si>
    <t>Marami akong laruan</t>
  </si>
  <si>
    <t>Cháu chỉ có một cái thôi</t>
  </si>
  <si>
    <t>Isa lang ang mayroon ako</t>
  </si>
  <si>
    <t>Zhè shì yīgè sānjiǎoxíng.</t>
  </si>
  <si>
    <t>Màu tím rất đẹp</t>
  </si>
  <si>
    <t>Maganda ang kulay violet</t>
  </si>
  <si>
    <t>Con chó màu nâu</t>
  </si>
  <si>
    <t>Kulay brown ang aso</t>
  </si>
  <si>
    <t>Zhège qiú shì shénme xíngzhuàng de?</t>
  </si>
  <si>
    <t>Cháu thích ngôi sao màu vàng</t>
  </si>
  <si>
    <r>
      <rPr>
        <sz val="10"/>
        <color theme="1"/>
        <rFont val="Arial"/>
      </rPr>
      <t xml:space="preserve">Gusto ko ng dilaw na </t>
    </r>
    <r>
      <rPr>
        <sz val="10"/>
        <color rgb="FFFF0000"/>
        <rFont val="Arial"/>
      </rPr>
      <t>bituin</t>
    </r>
  </si>
  <si>
    <r>
      <rPr>
        <sz val="10"/>
        <color theme="1"/>
        <rFont val="Arial"/>
      </rPr>
      <t xml:space="preserve">Bituin (Ngôi sao)
Từ gốc: Bituin
Âm thanh tương tự: "Bi-tui-in" (Bi tui in)
5 Mẹo ghi nhớ:
</t>
    </r>
    <r>
      <rPr>
        <sz val="10"/>
        <color rgb="FFFF0000"/>
        <rFont val="Arial"/>
      </rPr>
      <t>Viên Bi của Tui có In hình một ngôi Bituin (sao) lấp lánh.</t>
    </r>
    <r>
      <rPr>
        <sz val="10"/>
        <color theme="1"/>
        <rFont val="Arial"/>
      </rPr>
      <t xml:space="preserve">
"Bị-túi-in": Cái Túi của bạn Bị người ta In đè hình ngôi Bituin lên trên.
Tui dùng những viên Bi để xếp thành hình Bituin rồi chụp ảnh In ra.
Ngôi Bituin rơi xuống đúng vào cái Túi chứa đầy Bi của Tui.
Hãy In hình ngôi Bituin lên viên Bi yêu thích nhất của Tui.</t>
    </r>
  </si>
  <si>
    <t>Hình trái tim</t>
  </si>
  <si>
    <t>Hugis puso</t>
  </si>
  <si>
    <t>Tā dà háishì xiǎo?</t>
  </si>
  <si>
    <t>Bạn có bao nhiêu cái bút?</t>
  </si>
  <si>
    <t>Ilan ang ballpen mo ?</t>
  </si>
  <si>
    <t>Cháu có 4 cái ạ</t>
  </si>
  <si>
    <t>Tā hěn dà!</t>
  </si>
  <si>
    <t>Số này là số mấy?</t>
  </si>
  <si>
    <t>Anong number ito ?</t>
  </si>
  <si>
    <t>Tā hěn xiǎo</t>
  </si>
  <si>
    <t>Hãy tô màu đỏ vào đây</t>
  </si>
  <si>
    <t>Kulayan natin ng pula rito</t>
  </si>
  <si>
    <t xml:space="preserve">Zhè zhāng zhuōzǐ shì chángfāngxíng de. </t>
  </si>
  <si>
    <t>Cháu thích bút chì màu</t>
  </si>
  <si>
    <t>Gusto ko ng colored pencils</t>
  </si>
  <si>
    <t>Wǒ xiǎng yào 10 gè jīdàn.</t>
  </si>
  <si>
    <t>Cháu vẽ một hình tròn nhé</t>
  </si>
  <si>
    <t>Guguhit ako ng bilog</t>
  </si>
  <si>
    <t>Yībǎi bǐsuǒ.</t>
  </si>
  <si>
    <t>Nhìn cái hộp hình vuông này đi</t>
  </si>
  <si>
    <t>Tingnan niyo itong square na box</t>
  </si>
  <si>
    <t>Cháu thích cầu vồng vì có nhiều màu</t>
  </si>
  <si>
    <t>Gusto ko ang bahaghari kasi makulay</t>
  </si>
  <si>
    <t>Yīqiānbǐsuǒ.</t>
  </si>
  <si>
    <t>Hãy đếm số người trong phòng</t>
  </si>
  <si>
    <t>Bilangin natin ang mga tao sa kwarto</t>
  </si>
  <si>
    <t>Cóng 1 shù dào 10.</t>
  </si>
  <si>
    <t>Wǒ yǒu hěnduō wánjù.</t>
  </si>
  <si>
    <t>Wǒ zhǐyǒu yīgè wánjù.</t>
  </si>
  <si>
    <t>Zǐsè hěn piàoliang.</t>
  </si>
  <si>
    <t xml:space="preserve"> Gǒu shì zōngsè de.</t>
  </si>
  <si>
    <t xml:space="preserve"> Wǒ xǐhuān huángsè de xīngxīng.</t>
  </si>
  <si>
    <t xml:space="preserve">Xīn xíng. </t>
  </si>
  <si>
    <t>Nǐ yǒu duōshǎo zhī bǐ?</t>
  </si>
  <si>
    <t>Wǒ yǒu 4 zhī bǐ.</t>
  </si>
  <si>
    <t>Zhè shì shénme shùzì?</t>
  </si>
  <si>
    <t xml:space="preserve"> Bǎ tā tú chéng hóngsè.</t>
  </si>
  <si>
    <t xml:space="preserve">Wǒ xǐhuān cǎisè qiān bǐ. </t>
  </si>
  <si>
    <t xml:space="preserve">Wǒ lái huà gè yuán. </t>
  </si>
  <si>
    <t>Kàn kàn zhège zhèngfāngxíng hézǐ.</t>
  </si>
  <si>
    <t xml:space="preserve"> Wǒ xǐhuān cǎihóng, yīnwèi tā yǒu hěnduō yánsè.</t>
  </si>
  <si>
    <t xml:space="preserve"> Shù shù fángjiān li yǒu duōshǎo rén.</t>
  </si>
  <si>
    <t>Chủ đề 20: Thời gian và Ngày tháng</t>
  </si>
  <si>
    <t>Bây giờ là mấy giờ rồi ạ?</t>
  </si>
  <si>
    <t>Xiànzài jǐ diǎn?</t>
  </si>
  <si>
    <t>Bây giờ là 7 giờ sáng</t>
  </si>
  <si>
    <t>Alas-syete na ng umaga .</t>
  </si>
  <si>
    <t>Cháu đi học lúc 8 giờ</t>
  </si>
  <si>
    <t>Papasok ako ng alas-otso .</t>
  </si>
  <si>
    <t>Zǎoshang 7 diǎn.</t>
  </si>
  <si>
    <t>Đến giờ ăn trưa rồi!</t>
  </si>
  <si>
    <t>Tanghalian na !</t>
  </si>
  <si>
    <t>Cháu đi ngủ lúc 9 giờ tối</t>
  </si>
  <si>
    <t>Matutulog ako ng alas-nuwebe ng gabi .</t>
  </si>
  <si>
    <t>Wǒ zǎoshang 8 diǎn shàngxué.</t>
  </si>
  <si>
    <t>Đợi cháu 5 phút nhé</t>
  </si>
  <si>
    <t>Wait lang ng limang minuto .</t>
  </si>
  <si>
    <t>Cháu sẽ đến sau 10 phút</t>
  </si>
  <si>
    <r>
      <rPr>
        <sz val="11"/>
        <color theme="1"/>
        <rFont val="Calibri"/>
      </rPr>
      <t xml:space="preserve">Darating ako </t>
    </r>
    <r>
      <rPr>
        <sz val="11"/>
        <color rgb="FFFF0000"/>
        <rFont val="Calibri"/>
      </rPr>
      <t>pagkalipas</t>
    </r>
    <r>
      <rPr>
        <sz val="11"/>
        <color theme="1"/>
        <rFont val="Calibri"/>
      </rPr>
      <t xml:space="preserve"> ng sampung minuto .</t>
    </r>
  </si>
  <si>
    <r>
      <rPr>
        <sz val="11"/>
        <color theme="1"/>
        <rFont val="Calibri"/>
      </rPr>
      <t xml:space="preserve">Pagkalipas (Sau khi / Trôi qua)
Từ gốc: Lipas (Trôi qua/Hết hạn)
Âm thanh tương tự: "Ba-ca-li-bát" (Ba cầm ly bát)
5 Mẹo ghi nhớ:
Pagkalipas (sau khi) ăn xong, Ba lại cầm Ly và Bát đi rửa.
"Ba-ca-li-bát": </t>
    </r>
    <r>
      <rPr>
        <sz val="11"/>
        <color rgb="FFFF0000"/>
        <rFont val="Calibri"/>
      </rPr>
      <t>Ba uống Ca nước rồi dùng Ly Bát sau khi thời gian đã Pagkalipas.</t>
    </r>
    <r>
      <rPr>
        <sz val="11"/>
        <color theme="1"/>
        <rFont val="Calibri"/>
      </rPr>
      <t xml:space="preserve">
Tưởng tượng một cái đồng hồ cát, Pagkalipas (sau khi) cát chảy hết, nó biến thành cái Ly và Bát.
"Bác-cả-lì-bát": Bác cả rất Lì, đợi Pagkalipas bao nhiêu năm vẫn giữ cái Bát cũ.
Đợi thời gian Pagkalipas, Ba sẽ tặng bạn một bộ Ly Bát mới.</t>
    </r>
  </si>
  <si>
    <t>Wǔfàn shíjiān dào la!</t>
  </si>
  <si>
    <t>Hôm nay là thứ mấy ạ?</t>
  </si>
  <si>
    <t>Anong araw ngayon ?</t>
  </si>
  <si>
    <t>Hôm nay là Thứ Hai</t>
  </si>
  <si>
    <t>Lunes ngayon .</t>
  </si>
  <si>
    <t>Wǒ wǎnshàng 9 diǎn shuìjiào.</t>
  </si>
  <si>
    <t>Ngày mai là Thứ Ba</t>
  </si>
  <si>
    <t>Martes bukas .</t>
  </si>
  <si>
    <t>Hôm qua là Chủ Nhật</t>
  </si>
  <si>
    <t>Linggo kahapon .</t>
  </si>
  <si>
    <t>Qǐng děng wǒ 5 fēnzhōng.</t>
  </si>
  <si>
    <t>Cuối tuần chúng mình đi chơi nhé</t>
  </si>
  <si>
    <r>
      <rPr>
        <sz val="11"/>
        <color rgb="FFFF0000"/>
        <rFont val="Calibri"/>
      </rPr>
      <t xml:space="preserve">Gala </t>
    </r>
    <r>
      <rPr>
        <sz val="11"/>
        <color theme="1"/>
        <rFont val="Calibri"/>
      </rPr>
      <t>tayo sa weekend .</t>
    </r>
  </si>
  <si>
    <r>
      <rPr>
        <sz val="11"/>
        <color theme="1"/>
        <rFont val="Calibri"/>
      </rPr>
      <t>Gala (Đi chơi / Đi rong / Đi dạo)
Từ gốc: Gala
Âm thanh tương tự: "Gà-lạ" hoặc "Ga-lăng"
5 Mẹo ghi nhớ:
Một con G</t>
    </r>
    <r>
      <rPr>
        <sz val="11"/>
        <color rgb="FFFF0000"/>
        <rFont val="Calibri"/>
      </rPr>
      <t>à Lạ đột nhiên xuất hiện và đòi đi Gala (đi chơi) khắp xóm.</t>
    </r>
    <r>
      <rPr>
        <sz val="11"/>
        <color theme="1"/>
        <rFont val="Calibri"/>
      </rPr>
      <t xml:space="preserve">
Anh chàng rất Ga-lăng nên thường xuyên rủ bạn đi Gala phố phường.
"Gà-lạ": Đừng đi Gala quá xa kẻo gặp phải mấy con Gà Lạ nó đuổi.
Tưởng tượng bạn đang đi Gala trên một chiếc xe Ga màu Lam (Gala).
"Gà-lá": Con Gà thích ăn Lá nên nó suốt ngày đi Gala trong vườn</t>
    </r>
  </si>
  <si>
    <t>Cháu thích ngày Thứ Sáu</t>
  </si>
  <si>
    <t>Gusto ko ang Biyernes .</t>
  </si>
  <si>
    <t>Wǒ 10 fēnzhōng hòu dào.</t>
  </si>
  <si>
    <t>Sáng nay cháu dậy sớm</t>
  </si>
  <si>
    <r>
      <rPr>
        <sz val="11"/>
        <color rgb="FFFF0000"/>
        <rFont val="Calibri"/>
      </rPr>
      <t xml:space="preserve">Maaga </t>
    </r>
    <r>
      <rPr>
        <sz val="11"/>
        <color theme="1"/>
        <rFont val="Calibri"/>
      </rPr>
      <t>akong nagising kanina .</t>
    </r>
  </si>
  <si>
    <r>
      <rPr>
        <sz val="11"/>
        <color theme="1"/>
        <rFont val="Calibri"/>
      </rPr>
      <t xml:space="preserve">Maaga (Sớm)
Từ gốc: Aga
Âm thanh tương tự: "Má-ăn-gà"
5 Mẹo ghi nhớ:
</t>
    </r>
    <r>
      <rPr>
        <sz val="11"/>
        <color rgb="FFFF0000"/>
        <rFont val="Calibri"/>
      </rPr>
      <t>Má dậy rất Maaga (sớm) để chuẩn bị món Gà cho cả nhà Ăn.</t>
    </r>
    <r>
      <rPr>
        <sz val="11"/>
        <color theme="1"/>
        <rFont val="Calibri"/>
      </rPr>
      <t xml:space="preserve">
"Ma-a-gà": Con Ma sợ con Gà gáy lúc Maaga (sớm) nên nó chạy mất.
Bạn phải dậy Maaga để đi mua Gà về cho Má.
"Má-ả-ga": Má Ả (chị) đứng ở Ga tàu từ rất Maaga.
Tưởng tượng một bắp Ngô (gần giống Aga) chín sớm để Má Ăn.</t>
    </r>
  </si>
  <si>
    <t>Tối nay cháu về muộn một chút</t>
  </si>
  <si>
    <t>Medyo gabi na ako uuwi mamaya .</t>
  </si>
  <si>
    <t>Jīntiān xīngqí jǐ?</t>
  </si>
  <si>
    <t>Tháng này là tháng mấy ạ?</t>
  </si>
  <si>
    <t>Anong buwan ngayon ?</t>
  </si>
  <si>
    <t>Bây giờ là tháng Một</t>
  </si>
  <si>
    <t>Enero ngayon .</t>
  </si>
  <si>
    <t>Jīntiān shì xīngqí yī.</t>
  </si>
  <si>
    <t>Sắp đến sinh nhật cháu rồi</t>
  </si>
  <si>
    <t>Malapit na ang birthday ko .</t>
  </si>
  <si>
    <t>Sinh nhật cháu là ngày bao nhiêu?</t>
  </si>
  <si>
    <t>Kailan ang birthday mo ?</t>
  </si>
  <si>
    <t>Míngtiān shì xīngqí'èr.</t>
  </si>
  <si>
    <t>Sinh nhật cháu là ngày 10 tháng 5</t>
  </si>
  <si>
    <t>Mayo sampu  ang birthday ko .</t>
  </si>
  <si>
    <t>Chúc mừng sinh nhật!</t>
  </si>
  <si>
    <r>
      <rPr>
        <sz val="11"/>
        <color rgb="FFFF0000"/>
        <rFont val="Calibri"/>
      </rPr>
      <t xml:space="preserve">Maligayang kaarawan </t>
    </r>
    <r>
      <rPr>
        <sz val="11"/>
        <color theme="1"/>
        <rFont val="Calibri"/>
      </rPr>
      <t>!</t>
    </r>
  </si>
  <si>
    <r>
      <rPr>
        <sz val="11"/>
        <color theme="1"/>
        <rFont val="Calibri"/>
      </rPr>
      <t xml:space="preserve">Maligayang kaarawan (Chúc mừng sinh nhật)
Từ gốc: Ligaya (Hạnh phúc) + Araw (Ngày)
Âm thanh tương tự: "Má-lì-ga-lăng" + "Ca-a-ra-oăn"
5 Mẹo ghi nhớ:
Trong ngày Maligayang kaarawan, </t>
    </r>
    <r>
      <rPr>
        <sz val="11"/>
        <color rgb="FFFF0000"/>
        <rFont val="Calibri"/>
      </rPr>
      <t xml:space="preserve">Má rất Lì và Ga-lăng tặng bạn </t>
    </r>
    <r>
      <rPr>
        <sz val="11"/>
        <color theme="1"/>
        <rFont val="Calibri"/>
      </rPr>
      <t xml:space="preserve">một cái Ca và một cái Ao đầy cá Oăn (vàng).
"Má-li-ga-yăng": Má cầm cái Li rất Ga-yăng (ga-lăng) chúc mừng sinh nhật bạn.
Hãy hát bài </t>
    </r>
    <r>
      <rPr>
        <sz val="11"/>
        <color rgb="FFFF0000"/>
        <rFont val="Calibri"/>
      </rPr>
      <t>Ca ở bên cái Ao đ</t>
    </r>
    <r>
      <rPr>
        <sz val="11"/>
        <color theme="1"/>
        <rFont val="Calibri"/>
      </rPr>
      <t>ể đón mừng Maligayang kaarawan.
Tưởng tượng một bữa tiệc sinh nhật có Má, có Gà, có Ao cá lấp lánh.
Chúc mừng sinh nhật (Maligayang kaarawan) bằng cách tặng một cái Ca có hình cái Ao.</t>
    </r>
  </si>
  <si>
    <t>Zuótiān shì xīngqírì.</t>
  </si>
  <si>
    <t>Năm nay cháu 10 tuổi</t>
  </si>
  <si>
    <t>Sampu  taon na ako ngayong taon .</t>
  </si>
  <si>
    <t>Năm sau cháu sẽ lớn hơn</t>
  </si>
  <si>
    <t>Mas matanda na ako sa susunod na taon .</t>
  </si>
  <si>
    <t>Wǒmen zhōumò chūqù wán ba!</t>
  </si>
  <si>
    <t>Hẹn gặp bạn vào sáng mai</t>
  </si>
  <si>
    <r>
      <rPr>
        <sz val="11"/>
        <color rgb="FFFF0000"/>
        <rFont val="Calibri"/>
      </rPr>
      <t>Kita-kits</t>
    </r>
    <r>
      <rPr>
        <sz val="11"/>
        <color theme="1"/>
        <rFont val="Calibri"/>
      </rPr>
      <t xml:space="preserve"> bukas ng umaga .</t>
    </r>
  </si>
  <si>
    <r>
      <rPr>
        <sz val="11"/>
        <color theme="1"/>
        <rFont val="Calibri"/>
      </rPr>
      <t xml:space="preserve">Kita-kits (Hẹn gặp lại / Gặp nhé)
Từ gốc: Kita (Nhìn/Thấy)
Âm thanh tương tự: "Kìa-ta-kít"
5 Mẹo ghi nhớ:
</t>
    </r>
    <r>
      <rPr>
        <sz val="11"/>
        <color rgb="FFFF0000"/>
        <rFont val="Calibri"/>
      </rPr>
      <t>Kìa! Ta thấy bạn rồi, Kít (phanh) xe lại để chào rồi Kita-kits nhé!</t>
    </r>
    <r>
      <rPr>
        <sz val="11"/>
        <color theme="1"/>
        <rFont val="Calibri"/>
      </rPr>
      <t xml:space="preserve">
"Ki-ta-kít": Chúng Ta sẽ Kita-kits ở chỗ cái Kít (cửa hàng/chỗ hẹn).
Vừa lái xe vừa kêu Kít kít để ra hiệu Kita-kits với đám bạn.
"Kìa-tá-kít": Kìa, một Tá cái Kít (túi) đang đợi chúng ta khi Kita-kits.
Khi nào thấy Ta cầm cái Kít thì đó là lúc Kita-kits</t>
    </r>
  </si>
  <si>
    <t>Gặp lại bạn vào tuần sau nhé</t>
  </si>
  <si>
    <t>Sa susunod na linggo na lang ulit .</t>
  </si>
  <si>
    <t>Wǒ xǐhuān xīngqíwǔ.</t>
  </si>
  <si>
    <t>Cháu cần thêm thời gian</t>
  </si>
  <si>
    <t>Kailangan ko ng dagdag na oras .</t>
  </si>
  <si>
    <t>Đừng làm lãng phí thời gian</t>
  </si>
  <si>
    <t>Huwag mag-aksaya ng oras .</t>
  </si>
  <si>
    <t>Wǒ jīntiān zǎoshang qǐ dé hěn zǎo.</t>
  </si>
  <si>
    <t>Thời gian trôi nhanh quá</t>
  </si>
  <si>
    <t>Ang bilis ng oras .</t>
  </si>
  <si>
    <t>Cháu đã ở đây 2 tiếng rồi</t>
  </si>
  <si>
    <t>Dalawang oras na ako rito .</t>
  </si>
  <si>
    <t>Wǒ jīn wǎn huì wǎndiǎn huí jiā.</t>
  </si>
  <si>
    <t>Cháu sẽ ở lại đây một tuần</t>
  </si>
  <si>
    <t>Mananatili ako rito nang isang linggo .</t>
  </si>
  <si>
    <t>Một năm có 12 tháng</t>
  </si>
  <si>
    <t>May labindalawang buwan sa isang taon .</t>
  </si>
  <si>
    <t>Xiànzài shì jǐ yuè?</t>
  </si>
  <si>
    <t>Hôm nay là ngày đẹp trời</t>
  </si>
  <si>
    <t>Magandang araw ngayon .</t>
  </si>
  <si>
    <t>Cháu thích mùa hè</t>
  </si>
  <si>
    <t>Gusto ko ng summer .</t>
  </si>
  <si>
    <t>Xiànzài shì 1 yuè.</t>
  </si>
  <si>
    <t>Mùa mưa sắp đến rồi</t>
  </si>
  <si>
    <t>Tag-ulan na .</t>
  </si>
  <si>
    <t>Cháu đi tắm lúc mấy giờ?</t>
  </si>
  <si>
    <t>Anong oras ka maliligo ?</t>
  </si>
  <si>
    <t>Wǒ de shēngrì kuài dàole.</t>
  </si>
  <si>
    <t>Cháu vừa mới làm xong</t>
  </si>
  <si>
    <t>Katatapos ko lang .</t>
  </si>
  <si>
    <t>Hãy làm việc đó ngay bây giờ</t>
  </si>
  <si>
    <t>Gawin mo na iyan ngayon .</t>
  </si>
  <si>
    <t>Wǒ de shēngrì shì jǐ yuè?</t>
  </si>
  <si>
    <t>Cháu sẽ làm việc đó sau</t>
  </si>
  <si>
    <t>Gagawin ko iyan mamaya .</t>
  </si>
  <si>
    <t>Bạn có bận không?</t>
  </si>
  <si>
    <t>Busy ka ba ?</t>
  </si>
  <si>
    <t>Wǒ de shēngrì shì 5 yuè 10 rì.</t>
  </si>
  <si>
    <t>Cháu đang rảnh</t>
  </si>
  <si>
    <t>Libre ako ngayon .</t>
  </si>
  <si>
    <t>Hãy tận hưởng thời gian này nhé</t>
  </si>
  <si>
    <t>Enjoy-in natin ang oras na ito .</t>
  </si>
  <si>
    <t>Shēngrì kuàilè!</t>
  </si>
  <si>
    <t>Đồng hồ của cháu bị hỏng rồi</t>
  </si>
  <si>
    <r>
      <rPr>
        <sz val="11"/>
        <color theme="1"/>
        <rFont val="Calibri"/>
      </rPr>
      <t xml:space="preserve">Sira ang </t>
    </r>
    <r>
      <rPr>
        <sz val="11"/>
        <color rgb="FFFF0000"/>
        <rFont val="Calibri"/>
      </rPr>
      <t xml:space="preserve">relos </t>
    </r>
    <r>
      <rPr>
        <sz val="11"/>
        <color theme="1"/>
        <rFont val="Calibri"/>
      </rPr>
      <t>ko .</t>
    </r>
  </si>
  <si>
    <r>
      <rPr>
        <sz val="11"/>
        <color theme="1"/>
        <rFont val="Calibri"/>
      </rPr>
      <t xml:space="preserve">Relos (Đồng hồ)
Từ gốc: Relos (Gốc Tây Ban Nha: Reloj)
Âm thanh tương tự: "Rẻ-lố"
5 Mẹo ghi nhớ:
Cái Relos (đồng hồ) này bạn mua được với giá cực Rẻ, rẻ đến mức Lố bịch luôn!
"Rê-lố": Bạn Rê cái Relos đi Lố qua cả thời gian hẹn.
Đừng để cái Relos Rẻ tiền này làm bạn bị Lố giờ nhé.
Tưởng tượng một chiếc Relos khổng lồ đang chạy Rê trên đường phố rất Lố.
</t>
    </r>
    <r>
      <rPr>
        <sz val="11"/>
        <color rgb="FFFF0000"/>
        <rFont val="Calibri"/>
      </rPr>
      <t>"Rẻ-lố": Rẻ thì có rẻ, nhưng cái Relos này thiết kế hơi L</t>
    </r>
    <r>
      <rPr>
        <sz val="11"/>
        <color theme="1"/>
        <rFont val="Calibri"/>
      </rPr>
      <t>ố.</t>
    </r>
  </si>
  <si>
    <t>Cho cháu xem giờ với</t>
  </si>
  <si>
    <t>Patingin ng oras .</t>
  </si>
  <si>
    <t>Wǒ jīnnián 10 suì.</t>
  </si>
  <si>
    <t>Sắp đến giờ về rồi</t>
  </si>
  <si>
    <t>Malapit na ang uwian .</t>
  </si>
  <si>
    <t>Chúc bạn một ngày tốt lành</t>
  </si>
  <si>
    <t>Magandang araw sa iyo .</t>
  </si>
  <si>
    <t>Míngnián wǒ jiù 10 suìle.</t>
  </si>
  <si>
    <t>Tối nay trời rất đẹp</t>
  </si>
  <si>
    <t>Maganda ang gabi ngayon .</t>
  </si>
  <si>
    <t>Cháu thích nhìn đồng hồ cát</t>
  </si>
  <si>
    <t>Gusto ko tumingin sa hourglass .</t>
  </si>
  <si>
    <t>Míngtiān zǎoshang jiàn.</t>
  </si>
  <si>
    <t>Bạn luôn đúng giờ</t>
  </si>
  <si>
    <t>Lagi kang on time .</t>
  </si>
  <si>
    <t>Đừng đến muộn nhé</t>
  </si>
  <si>
    <t>Huwag kang male-late .</t>
  </si>
  <si>
    <t>Xià zhōu jiàn.</t>
  </si>
  <si>
    <t>Cảm ơn bạn đã dành thời gian cho cháu</t>
  </si>
  <si>
    <t>Salamat sa oras ninyo .</t>
  </si>
  <si>
    <t>Wǒ xūyào gèng duō shíjiān.</t>
  </si>
  <si>
    <t>Bié làngfèi shíjiān.</t>
  </si>
  <si>
    <t>Shíjiānguò dé zhēn kuài.</t>
  </si>
  <si>
    <t>Wǒ yǐjīng zài zhèlǐ dàile liǎng gè xiǎoshíliǎo.</t>
  </si>
  <si>
    <t>Wǒ huì zài zhèlǐ dài yīgè xīngqí.</t>
  </si>
  <si>
    <t>Yī nián yǒu shí'èr gè yuè.</t>
  </si>
  <si>
    <t>Wǒ xǐhuān xiàtiān.</t>
  </si>
  <si>
    <t>Yǔjì kuài dàole.</t>
  </si>
  <si>
    <t>Wǒ shénme shíhòu xǐzǎo?</t>
  </si>
  <si>
    <t>Wǒ gāng xǐ wán.</t>
  </si>
  <si>
    <t>Xiànzài jiù zuò.</t>
  </si>
  <si>
    <t>Wǒ dài huì er zài zuò.</t>
  </si>
  <si>
    <t>Nǐ máng ma?</t>
  </si>
  <si>
    <t>Wǒ yǒu kòng.</t>
  </si>
  <si>
    <t xml:space="preserve"> Qǐng nǐ hǎohǎo xiǎngshòu nǐ de shíjiān.</t>
  </si>
  <si>
    <t xml:space="preserve"> Wǒ de shǒubiǎo huàile. </t>
  </si>
  <si>
    <t>Nǐ néng gàosù wǒ xiànzài jǐ diǎn ma?</t>
  </si>
  <si>
    <t xml:space="preserve">Kuài dào huí jiā de shíjiānle. </t>
  </si>
  <si>
    <t>Zhù nǐ jīntiānguò dé yúkuài.</t>
  </si>
  <si>
    <t xml:space="preserve">Jīn wǎn tiānqì zhēn hǎo. </t>
  </si>
  <si>
    <t>Wǒ xǐhuān kàn shālòu.</t>
  </si>
  <si>
    <t xml:space="preserve"> Nǐ zǒng shì hěn zhǔnshí.</t>
  </si>
  <si>
    <t xml:space="preserve"> Bié chídào.</t>
  </si>
  <si>
    <t>Xièxiè nǐ chōuchū shíjiān.</t>
  </si>
  <si>
    <t>Chủ đề 21: Nấu ăn và Bếp núc</t>
  </si>
  <si>
    <t>Hôm nay mình nấu món gì ạ?</t>
  </si>
  <si>
    <t>Ano lulutuin natin ngayon ?</t>
  </si>
  <si>
    <t>Jīntiān wǒmen zuò shénme cài?</t>
  </si>
  <si>
    <t>Cháu muốn học nấu ăn.</t>
  </si>
  <si>
    <t>Gusto ko matutong magluto .</t>
  </si>
  <si>
    <t>Bếp ở đâu ạ?</t>
  </si>
  <si>
    <r>
      <rPr>
        <sz val="10"/>
        <color theme="1"/>
        <rFont val="Arial"/>
      </rPr>
      <t xml:space="preserve">Nasaan ang </t>
    </r>
    <r>
      <rPr>
        <sz val="10"/>
        <color rgb="FFFF0000"/>
        <rFont val="Arial"/>
      </rPr>
      <t xml:space="preserve">kusina </t>
    </r>
    <r>
      <rPr>
        <sz val="10"/>
        <color theme="1"/>
        <rFont val="Arial"/>
      </rPr>
      <t>?</t>
    </r>
  </si>
  <si>
    <r>
      <rPr>
        <sz val="10"/>
        <color theme="1"/>
        <rFont val="Arial"/>
      </rPr>
      <t>Kusina (Nhà bếp)
Từ gốc: Kusina (Gốc Tây Ban Nha: Cocina)
Âm thanh tương tự: "Cụ-Si-Na"
5 Mẹo ghi nhớ:
Cụ Si-Na đang đứng trong kusina để nấu một bữa tiệc lớn.
Tưởng tượng một bà Cụ tên Si-Na đang lau dọn nhà bếp kusina sạch bóng.
Bạn tặng Cụ Si-Na một bộ đồ dùng nhà bếp mới đặt trong kusina.
"Cụ-Si-Na": Mỗi khi vào kusina, bạn lại nhớ đến dáng vẻ nấu ăn của Cụ Si-Na.
Đọc lái đi: "</t>
    </r>
    <r>
      <rPr>
        <sz val="10"/>
        <color rgb="FFFF0000"/>
        <rFont val="Arial"/>
      </rPr>
      <t>Cụ thích Si mê cái Na (quả na) ở trong kusina".</t>
    </r>
  </si>
  <si>
    <t>Wǒ xiǎng xué zuò fàn.</t>
  </si>
  <si>
    <t>Cho cháu giúp bác một tay nhé.</t>
  </si>
  <si>
    <t>Tulungan ko na kayo .</t>
  </si>
  <si>
    <t>Cháu cần rửa rau không ạ?</t>
  </si>
  <si>
    <t>Maghuhugas ba ako ng gulay ?</t>
  </si>
  <si>
    <t>Chúfáng zài nǎlǐ?</t>
  </si>
  <si>
    <t>Cháu đi vo gạo đây.</t>
  </si>
  <si>
    <t>Maghuhugas ako ng bigas .</t>
  </si>
  <si>
    <t>Nồi cơm điện ở đâu ạ?</t>
  </si>
  <si>
    <t>Nasaan ang rice cooker ?</t>
  </si>
  <si>
    <t>Nǎinai, wǒ kěyǐ bāng nín ma?</t>
  </si>
  <si>
    <t>Cho bao nhiêu nước là đủ ạ?</t>
  </si>
  <si>
    <t>Gaano karaming tubig ang kailangan ?</t>
  </si>
  <si>
    <t>Cháu sẽ bật bếp lên nhé.</t>
  </si>
  <si>
    <r>
      <rPr>
        <sz val="10"/>
        <color theme="1"/>
        <rFont val="Arial"/>
      </rPr>
      <t xml:space="preserve">Bubuksan ko na ang </t>
    </r>
    <r>
      <rPr>
        <sz val="10"/>
        <color rgb="FFFF0000"/>
        <rFont val="Arial"/>
      </rPr>
      <t xml:space="preserve">kalan </t>
    </r>
    <r>
      <rPr>
        <sz val="10"/>
        <color theme="1"/>
        <rFont val="Arial"/>
      </rPr>
      <t>.</t>
    </r>
  </si>
  <si>
    <r>
      <rPr>
        <sz val="10"/>
        <color theme="1"/>
        <rFont val="Arial"/>
      </rPr>
      <t>Kalan (Cái bếp / Lò nấu)
Từ gốc: Kalan
Âm thanh tương tự: "Cá-Lặn" hoặc "Cà-Lăn"
5 Mẹo ghi nhớ:
M</t>
    </r>
    <r>
      <rPr>
        <sz val="10"/>
        <color rgb="FFFF0000"/>
        <rFont val="Arial"/>
      </rPr>
      <t xml:space="preserve">ột con Cá đang Lặn vào trong cái kalan để trốn (nhưng lại bị nướng luôn).
</t>
    </r>
    <r>
      <rPr>
        <sz val="10"/>
        <color theme="1"/>
        <rFont val="Arial"/>
      </rPr>
      <t xml:space="preserve">
Bạn đặt quả Cà lên kalan và nó cứ Lăn qua lăn lại trên lửa.
"Cà-lăn": Đừng để quả Cà lăn xuống đất khi đang nấu trên kalan.
Tưởng tượng cái kalan có hình một con Cá khổng lồ đang Lặn.
Mỗi lần bật kalan, bạn lại thấy tiếng kêu như con Cá đang Lặn dưới nước</t>
    </r>
  </si>
  <si>
    <t>Wǒ xūyào xǐ cài ma?</t>
  </si>
  <si>
    <t>Cháu cần cái chảo.</t>
  </si>
  <si>
    <t>Kailangan ko ng kawali .</t>
  </si>
  <si>
    <t>Cho cháu mượn cái dao.</t>
  </si>
  <si>
    <r>
      <rPr>
        <sz val="10"/>
        <color theme="1"/>
        <rFont val="Arial"/>
      </rPr>
      <t xml:space="preserve">Pahiram ng </t>
    </r>
    <r>
      <rPr>
        <sz val="10"/>
        <color rgb="FFFF0000"/>
        <rFont val="Arial"/>
      </rPr>
      <t xml:space="preserve">kutsilyo </t>
    </r>
    <r>
      <rPr>
        <sz val="10"/>
        <color theme="1"/>
        <rFont val="Arial"/>
      </rPr>
      <t>.</t>
    </r>
  </si>
  <si>
    <r>
      <rPr>
        <sz val="10"/>
        <color theme="1"/>
        <rFont val="Arial"/>
      </rPr>
      <t xml:space="preserve">Kutsilyo (Con dao)
Từ gốc: Kutsilyo (Gốc Tây Ban Nha: Cuchillo)
Âm thanh tương tự: "Cút-Si-Ly-Ô"
5 Mẹo ghi nhớ:
</t>
    </r>
    <r>
      <rPr>
        <sz val="10"/>
        <color rgb="FFFF0000"/>
        <rFont val="Arial"/>
      </rPr>
      <t>Cầm cái kutsilyo và bảo con chuột: "Cút đi không ta chém trúng cái Ly và cái Ô bây giờ!"</t>
    </r>
    <r>
      <rPr>
        <sz val="10"/>
        <color theme="1"/>
        <rFont val="Arial"/>
      </rPr>
      <t xml:space="preserve">
"Cút-si-ly": Dùng kutsilyo gọt quả Si rồi bỏ vào cái Ly thủy tinh.
Bạn cầm kutsilyo cắt một cái Ô (dù) để đuổi con mèo bắt nó phải Cút.
Tưởng tượng cái kutsilyo có tay cầm hình cái Ly và trang trí bằng cái Ô.
"Cút-xì-ly": Vừa dùng kutsilyo vừa xì xụp uống nước trong cái Ly.</t>
    </r>
  </si>
  <si>
    <t>Wǒ yào qù táo mǐ.</t>
  </si>
  <si>
    <t>Cẩn thận kẻo đứt tay nhé.</t>
  </si>
  <si>
    <r>
      <rPr>
        <sz val="10"/>
        <color theme="1"/>
        <rFont val="Arial"/>
      </rPr>
      <t xml:space="preserve">Mag-ingat , baka </t>
    </r>
    <r>
      <rPr>
        <sz val="10"/>
        <color rgb="FFFF0000"/>
        <rFont val="Arial"/>
      </rPr>
      <t xml:space="preserve">mahiwa </t>
    </r>
    <r>
      <rPr>
        <sz val="10"/>
        <color theme="1"/>
        <rFont val="Arial"/>
      </rPr>
      <t>kayo .</t>
    </r>
  </si>
  <si>
    <r>
      <rPr>
        <sz val="10"/>
        <color theme="1"/>
        <rFont val="Arial"/>
      </rPr>
      <t xml:space="preserve">Mahiwa (Bị đứt / Bị cắt)
Từ gốc: Hiwa (Cắt/Lát)
Âm thanh tương tự: "Má-Hí-Họa"
5 Mẹo ghi nhớ:
</t>
    </r>
    <r>
      <rPr>
        <sz val="10"/>
        <color rgb="FFFF0000"/>
        <rFont val="Arial"/>
      </rPr>
      <t>Má đang Hí hửng vẽ Họa thì vô tình bị mahiwa (đứt tay).</t>
    </r>
    <r>
      <rPr>
        <sz val="10"/>
        <color theme="1"/>
        <rFont val="Arial"/>
      </rPr>
      <t xml:space="preserve">
Đừng để mahiwa, nếu không Má sẽ không cho vẽ Họa nữa đâu.
"Má-hi-qua": Má đi Hi (hy) sinh đi Qua chỗ sắc nhọn nên bị mahiwa.
Tưởng tượng bức Họa của Má bị mahiwa (cắt/rách) làm đôi.
Má bảo phải Hi vọng là vết mahiwa này sẽ nhanh lành.</t>
    </r>
  </si>
  <si>
    <t>Cháu đang thái hành tây.</t>
  </si>
  <si>
    <r>
      <rPr>
        <sz val="10"/>
        <color theme="1"/>
        <rFont val="Arial"/>
      </rPr>
      <t xml:space="preserve">Naghihiwa ako ng </t>
    </r>
    <r>
      <rPr>
        <sz val="10"/>
        <color rgb="FFFF0000"/>
        <rFont val="Arial"/>
      </rPr>
      <t xml:space="preserve">sibuyas </t>
    </r>
    <r>
      <rPr>
        <sz val="10"/>
        <color theme="1"/>
        <rFont val="Arial"/>
      </rPr>
      <t>.</t>
    </r>
  </si>
  <si>
    <r>
      <rPr>
        <sz val="10"/>
        <color theme="1"/>
        <rFont val="Arial"/>
      </rPr>
      <t xml:space="preserve">Sibuyas (Hành tây)
Từ gốc: Sibuyas
Âm thanh tương tự: "Xì-Bụi-Dạ"
5 Mẹo ghi nhớ:
</t>
    </r>
    <r>
      <rPr>
        <sz val="10"/>
        <color rgb="FFFF0000"/>
        <rFont val="Arial"/>
      </rPr>
      <t>Bạn Xì một cái vào Bụi cây hành rồi cúi Dạ để hái sibuyas.</t>
    </r>
    <r>
      <rPr>
        <sz val="10"/>
        <color theme="1"/>
        <rFont val="Arial"/>
      </rPr>
      <t xml:space="preserve">
"Xì-bụi-át": Mùi sibuyas hăng đến mức Xì ra khói và Át cả mùi của Bụi bẩn.
Gọt sibuyas ở chỗ có Bụi làm bạn phải Dạ thưa vì cay mắt quá.
Tưởng tượng củ sibuyas mọc trong Bụi rậm và biết nói "Dạ".
"Xì-bú-da": Con vượn Si đang Bú bình và cầm củ sibuyas có Da mỏng.</t>
    </r>
  </si>
  <si>
    <t>Diànfànbāo zài nǎlǐ?</t>
  </si>
  <si>
    <t>Cháu bị cay mắt quá!</t>
  </si>
  <si>
    <t>Naiiyak ako sa sibuyas !</t>
  </si>
  <si>
    <t>Cho cháu xin ít tỏi.</t>
  </si>
  <si>
    <r>
      <rPr>
        <sz val="10"/>
        <color theme="1"/>
        <rFont val="Arial"/>
      </rPr>
      <t xml:space="preserve">Pahingi ng </t>
    </r>
    <r>
      <rPr>
        <sz val="10"/>
        <color rgb="FFFF0000"/>
        <rFont val="Arial"/>
      </rPr>
      <t xml:space="preserve">bawang </t>
    </r>
    <r>
      <rPr>
        <sz val="10"/>
        <color theme="1"/>
        <rFont val="Arial"/>
      </rPr>
      <t>.</t>
    </r>
  </si>
  <si>
    <r>
      <rPr>
        <sz val="10"/>
        <color theme="1"/>
        <rFont val="Arial"/>
      </rPr>
      <t xml:space="preserve">Bawang (Tỏi)
Từ gốc: Bawang
Âm thanh tương tự: "Ba-Quăng"
5 Mẹo ghi nhớ:
</t>
    </r>
    <r>
      <rPr>
        <sz val="10"/>
        <color rgb="FFFF0000"/>
        <rFont val="Arial"/>
      </rPr>
      <t>Ba đang tức giận nên Quăng củ bawang ra ngoài sân.</t>
    </r>
    <r>
      <rPr>
        <sz val="10"/>
        <color theme="1"/>
        <rFont val="Arial"/>
      </rPr>
      <t xml:space="preserve">
"Ba-Vàng": Củ bawang này quý và trắng như miếng Vàng của Ba.
Ba bảo nếu con Quăng hết bawang đi thì món ăn sẽ mất ngon.
Tưởng tượng Ba đang đứng Quăng từng tép bawang vào chảo dầu.
"Ba-Vang": Tiếng hát của Ba Vang dội khi được ăn nhiều bawang.</t>
    </r>
  </si>
  <si>
    <t>Wǒ yīnggāi jiā duōshǎo shuǐ?</t>
  </si>
  <si>
    <t>Cháu sẽ đi chiên trứng.</t>
  </si>
  <si>
    <r>
      <rPr>
        <sz val="10"/>
        <color rgb="FFFF0000"/>
        <rFont val="Arial"/>
      </rPr>
      <t xml:space="preserve">Magpiprito </t>
    </r>
    <r>
      <rPr>
        <sz val="10"/>
        <color theme="1"/>
        <rFont val="Arial"/>
      </rPr>
      <t>ako ng itlog .</t>
    </r>
  </si>
  <si>
    <r>
      <rPr>
        <sz val="10"/>
        <color theme="1"/>
        <rFont val="Arial"/>
      </rPr>
      <t>Magpiprito (Sẽ chiên/rán)
Từ gốc: Prito (Gốc Tây Ban Nha: Frito)
Âm thanh tương tự: "Mắc-Phi-Tô"
5 Mẹo ghi nhớ:
Đang định magpiprito thì Mắc cười vì ph</t>
    </r>
    <r>
      <rPr>
        <sz val="10"/>
        <color rgb="FFFF0000"/>
        <rFont val="Arial"/>
      </rPr>
      <t>ải Phi cái Tô đi chỗ khác.</t>
    </r>
    <r>
      <rPr>
        <sz val="10"/>
        <color theme="1"/>
        <rFont val="Arial"/>
      </rPr>
      <t xml:space="preserve">
"Mắc-đi-phi-tô": Vì Mắc đi ăn một Tô phở nên bạn quên luôn nhiệm vụ magpiprito.
Má bảo con đừng Phi cái Tô vào bếp khi đang magpiprito.
Tưởng tượng bạn Phi cái Tô bay vèo vèo để đi magpiprito cá.
"Mắc-phí-tô": Thật là Phí một cái Tô đẹp khi dùng nó để magpiprito.</t>
    </r>
  </si>
  <si>
    <t>Đừng cho nhiều dầu ăn nhé.</t>
  </si>
  <si>
    <r>
      <rPr>
        <sz val="10"/>
        <color theme="1"/>
        <rFont val="Arial"/>
      </rPr>
      <t xml:space="preserve">Huwag masyadong maraming </t>
    </r>
    <r>
      <rPr>
        <sz val="10"/>
        <color rgb="FFFF0000"/>
        <rFont val="Arial"/>
      </rPr>
      <t xml:space="preserve">mantika </t>
    </r>
    <r>
      <rPr>
        <sz val="10"/>
        <color theme="1"/>
        <rFont val="Arial"/>
      </rPr>
      <t>.</t>
    </r>
  </si>
  <si>
    <r>
      <rPr>
        <sz val="10"/>
        <color theme="1"/>
        <rFont val="Arial"/>
      </rPr>
      <t xml:space="preserve">Mantika (Dầu ăn)
Từ gốc: Mantika
Âm thanh tương tự: "Mặn-Tí-Ca"
5 Mẹo ghi nhớ:
Đổ mantika vào cái Ca nước mắm làm nó Mặn thêm một Tí.
"Màn-tí-ca": Dùng cái </t>
    </r>
    <r>
      <rPr>
        <sz val="10"/>
        <color rgb="FFFF0000"/>
        <rFont val="Arial"/>
      </rPr>
      <t>Màn che một Tí cái Ca đựng đầy mantika.</t>
    </r>
    <r>
      <rPr>
        <sz val="10"/>
        <color theme="1"/>
        <rFont val="Arial"/>
      </rPr>
      <t xml:space="preserve">
Bạn thấy hơi Mặn một Tí khi lỡ mồm nếm mantika trong cái Ca.
Tưởng tượng chai mantika có hình một cái Ca và có vị Mặn.
Mặn hay nhạt thì cũng phải cho một Tí mantika vào.</t>
    </r>
  </si>
  <si>
    <t>Wǒ lái kāihuǒ.</t>
  </si>
  <si>
    <t>Món này cần muối không ạ?</t>
  </si>
  <si>
    <t>Kailangan ba ng asin dito ?</t>
  </si>
  <si>
    <t>Cho thêm một ít đường nhé.</t>
  </si>
  <si>
    <t>Dagdagan ng konting asukal .</t>
  </si>
  <si>
    <t>Wǒ xūyào yīgè jiān guō.</t>
  </si>
  <si>
    <t>Cháu thích mùi thơm này quá!</t>
  </si>
  <si>
    <t>Ang bango nito !</t>
  </si>
  <si>
    <t>Nước đang sôi rồi ạ.</t>
  </si>
  <si>
    <r>
      <rPr>
        <sz val="10"/>
        <color rgb="FFFF0000"/>
        <rFont val="Arial"/>
      </rPr>
      <t xml:space="preserve">Kumukulo </t>
    </r>
    <r>
      <rPr>
        <sz val="10"/>
        <color theme="1"/>
        <rFont val="Arial"/>
      </rPr>
      <t>na ang tubig .</t>
    </r>
  </si>
  <si>
    <r>
      <rPr>
        <sz val="10"/>
        <color theme="1"/>
        <rFont val="Arial"/>
      </rPr>
      <t>Kumukulo (Đang sôi)
Từ gốc: Kulo
Âm thanh tương tự: "Cụ-Mua-Cu-Lô"
5 Mẹo ghi nhớ:
Nồi nước đang kumukulo thì Cụ đi Mua cái Cu-lô (lô cuốn tóc).
"Cụ-mù-cố-lô": Cụ bị Mù nhưng vẫn Cố Lô (lôi) nồi nước kumukulo ra ngoài.
Tiếng nước kumukulo nghe "ùng ục" như tiếng Cụ đang Mua đồ.
Đừng để nước kumukulo làm bỏng cái Cu-lô của Cụ nhé.
Cụ vừa Mua</t>
    </r>
    <r>
      <rPr>
        <sz val="10"/>
        <color rgb="FFFF0000"/>
        <rFont val="Arial"/>
      </rPr>
      <t xml:space="preserve"> cái Cu-lô về thì thấy ấm nước đã kumukulo.</t>
    </r>
  </si>
  <si>
    <t>Wǒ kěyǐ jiè yī bǎ dāo ma?</t>
  </si>
  <si>
    <t>Cho cháu mượn cái muôi (vá).</t>
  </si>
  <si>
    <r>
      <rPr>
        <sz val="10"/>
        <color theme="1"/>
        <rFont val="Arial"/>
      </rPr>
      <t xml:space="preserve">Pahiram ng </t>
    </r>
    <r>
      <rPr>
        <sz val="10"/>
        <color rgb="FFFF0000"/>
        <rFont val="Arial"/>
      </rPr>
      <t xml:space="preserve">sandok </t>
    </r>
    <r>
      <rPr>
        <sz val="10"/>
        <color theme="1"/>
        <rFont val="Arial"/>
      </rPr>
      <t>.</t>
    </r>
  </si>
  <si>
    <r>
      <rPr>
        <sz val="10"/>
        <color theme="1"/>
        <rFont val="Arial"/>
      </rPr>
      <t>Sandok (Cái muôi/vá)
Từ gốc: Sandok
Âm thanh tương tự: "San-Đốc"
5 Mẹo ghi nhớ:
Ông Đốc đang San sẻ thức ăn cho mọi người bằng cái sandok.
"Sân-đốc"</t>
    </r>
    <r>
      <rPr>
        <sz val="10"/>
        <color rgb="FFFF0000"/>
        <rFont val="Arial"/>
      </rPr>
      <t>: Ở ngoài Sân, ông Đốc đang cầm cái sandok tập thể dục.</t>
    </r>
    <r>
      <rPr>
        <sz val="10"/>
        <color theme="1"/>
        <rFont val="Arial"/>
      </rPr>
      <t xml:space="preserve">
Bạn dùng sandok để San lấp cái hố trước cửa nhà ông Đốc.
Tưởng tượng cái sandok to đến mức ông Đốc dùng làm mái chèo.
"Săn-đốc": Đi Săn ông Đốc bằng một cái sandok khổng lồ.</t>
    </r>
  </si>
  <si>
    <t>Cháu nếm thử được không ạ?</t>
  </si>
  <si>
    <t>Pwede bang titikim ?</t>
  </si>
  <si>
    <t>Xiǎoxīn bié gē shāng shǒu.</t>
  </si>
  <si>
    <t>Ngon tuyệt vời bác ạ!</t>
  </si>
  <si>
    <t>Napakarap !</t>
  </si>
  <si>
    <t>Hình như hơi nhạt một chút.</t>
  </si>
  <si>
    <t>Medyo matabang .</t>
  </si>
  <si>
    <t>Wǒ zài qiè yángcōng.</t>
  </si>
  <si>
    <t>Hình như hơi mặn rồi.</t>
  </si>
  <si>
    <t>Medyo maalat .</t>
  </si>
  <si>
    <t>Cháu thích ăn món cá kho.</t>
  </si>
  <si>
    <t>Gusto ko ng isdang may sabaw .</t>
  </si>
  <si>
    <t>Wǒ de yǎnjīng hǎo cì tòng!</t>
  </si>
  <si>
    <t>Bác dạy cháu làm món Sinigang nhé.</t>
  </si>
  <si>
    <t>Turuan niyo akong magluto ng Sinigang .</t>
  </si>
  <si>
    <t>Cần mua thêm gì ở chợ không ạ?</t>
  </si>
  <si>
    <t>May bibilhin pa ba sa palengke ?</t>
  </si>
  <si>
    <t>Wǒ kěyǐ chī diǎn suàn ma?</t>
  </si>
  <si>
    <t>Cháu đi mua nước mắm đây.</t>
  </si>
  <si>
    <t>Bibili ako ng patis .</t>
  </si>
  <si>
    <t>Cháu sẽ dọn bàn ăn.</t>
  </si>
  <si>
    <t>Mag-aayos ako ng mesa .</t>
  </si>
  <si>
    <t>Wǒ yào jiān gè jīdàn.</t>
  </si>
  <si>
    <t>Lấy bát và đũa nhé.</t>
  </si>
  <si>
    <r>
      <rPr>
        <sz val="10"/>
        <color theme="1"/>
        <rFont val="Arial"/>
      </rPr>
      <t xml:space="preserve">Kukuha ako ng </t>
    </r>
    <r>
      <rPr>
        <sz val="10"/>
        <color rgb="FFFF0000"/>
        <rFont val="Arial"/>
      </rPr>
      <t xml:space="preserve">mangkok </t>
    </r>
    <r>
      <rPr>
        <sz val="10"/>
        <color theme="1"/>
        <rFont val="Arial"/>
      </rPr>
      <t>at chopsticks .</t>
    </r>
  </si>
  <si>
    <r>
      <rPr>
        <sz val="10"/>
        <color theme="1"/>
        <rFont val="Arial"/>
      </rPr>
      <t>Mangkok (Cái bát/tô)
Từ gốc: Mangkok
Âm thanh tương tự: "Mang-Cốc"
5 Mẹo ghi nhớ:
Bạn</t>
    </r>
    <r>
      <rPr>
        <sz val="10"/>
        <color rgb="FFFF0000"/>
        <rFont val="Arial"/>
      </rPr>
      <t xml:space="preserve"> Mang cái mangkok đi đổi lấy một cái Cốc thủy tinh.</t>
    </r>
    <r>
      <rPr>
        <sz val="10"/>
        <color theme="1"/>
        <rFont val="Arial"/>
      </rPr>
      <t xml:space="preserve">
"Máng-cọc": Để cái mangkok lên cái Máng có cái Cọc nhô lên.
Mang cái Cốc bỏ vào trong cái mangkok cho gọn.
Tưởng tượng cái mangkok có tay cầm như cái Cốc.
"Mắng-cộc": Bị Mắng vì làm vỡ cái mangkok một cách Cộc lốc.</t>
    </r>
  </si>
  <si>
    <t>Mời cả nhà ăn cơm ạ.</t>
  </si>
  <si>
    <t>Bùyào fàng tài duō yóu.</t>
  </si>
  <si>
    <t>Để cháu rửa bát cho.</t>
  </si>
  <si>
    <t>Ako na maghuhugas ng plato .</t>
  </si>
  <si>
    <t>Nước rửa bát ở đâu ạ?</t>
  </si>
  <si>
    <t>Nasaan ang dishwashing liquid .</t>
  </si>
  <si>
    <t>Zhè dào cài xūyào jiā yán ma?</t>
  </si>
  <si>
    <t>Cháu đang lau bếp.</t>
  </si>
  <si>
    <r>
      <rPr>
        <sz val="10"/>
        <color rgb="FFFF0000"/>
        <rFont val="Arial"/>
      </rPr>
      <t xml:space="preserve">Nagpupunas </t>
    </r>
    <r>
      <rPr>
        <sz val="10"/>
        <color theme="1"/>
        <rFont val="Arial"/>
      </rPr>
      <t>ako ng kalan .</t>
    </r>
  </si>
  <si>
    <t>Nagpupunas (Đang lau chùi)
Từ gốc: Punas
Âm thanh tương tự: "Na-Phụ-Phu-Ná"
5 Mẹo ghi nhớ:
Cô Na đang Phụ anh Phu xe nagpupunas (lau chùi) cái Ná cao su.
"Nát-phụ-ná": Cái Ná bị Nát nên cô Phụ tá phải ngồi nagpupunas.
Anh Phu xe đang nagpupunas mồ hôi cho cô Na đang Phụ mình.
Tưởng tượng cô Na dùng cái Ná để bắn khăn đi nagpupunas khắp nhà.
Đọc lái đi: "Nó-phụ-nó": Tự nó Phụ chính nó nagpupunas cái bàn.</t>
  </si>
  <si>
    <t>Cất thức ăn vào tủ lạnh nhé.</t>
  </si>
  <si>
    <r>
      <rPr>
        <sz val="10"/>
        <color rgb="FFFF0000"/>
        <rFont val="Arial"/>
      </rPr>
      <t xml:space="preserve">Ilagay </t>
    </r>
    <r>
      <rPr>
        <sz val="10"/>
        <color theme="1"/>
        <rFont val="Arial"/>
      </rPr>
      <t>natin ang pagkain sa ref .</t>
    </r>
  </si>
  <si>
    <r>
      <rPr>
        <sz val="10"/>
        <color theme="1"/>
        <rFont val="Arial"/>
      </rPr>
      <t xml:space="preserve">Ilagay (Đặt vào/Để vào)
Từ gốc: Lagay (Trạng thái/Đặt)
Âm thanh tương tự: "I-Là-Gậy"
5 Mẹo ghi nhớ:
I (Tôi) nghĩ cái này Là cái Gậy nên hãy ilagay nó vào góc.
</t>
    </r>
    <r>
      <rPr>
        <sz val="10"/>
        <color rgb="FFFF0000"/>
        <rFont val="Arial"/>
      </rPr>
      <t>"Í-là-gậy": Í! Cái Gậy này phải ilagay ở đâu bây giờ?</t>
    </r>
    <r>
      <rPr>
        <sz val="10"/>
        <color theme="1"/>
        <rFont val="Arial"/>
      </rPr>
      <t xml:space="preserve">
Hãy ilagay niềm tin vào việc cái Gậy này Là của bạn (I).
Tưởng tượng bạn ilagay (đặt) một chữ I lên trên cái Gậy.
"Y-là-gậy": Chữ Y cũng Là cái Gậy nếu bạn ilagay nó nằm ngang.</t>
    </r>
  </si>
  <si>
    <t>Jiā yīdiǎn táng.</t>
  </si>
  <si>
    <t>Đừng để thức ăn bị thiu nhé.</t>
  </si>
  <si>
    <r>
      <rPr>
        <sz val="10"/>
        <color theme="1"/>
        <rFont val="Arial"/>
      </rPr>
      <t xml:space="preserve">Huwag </t>
    </r>
    <r>
      <rPr>
        <sz val="10"/>
        <color rgb="FFFF0000"/>
        <rFont val="Arial"/>
      </rPr>
      <t xml:space="preserve">hayaang mapanis </t>
    </r>
    <r>
      <rPr>
        <sz val="10"/>
        <color theme="1"/>
        <rFont val="Arial"/>
      </rPr>
      <t>ang pagkain .</t>
    </r>
  </si>
  <si>
    <r>
      <rPr>
        <sz val="10"/>
        <color theme="1"/>
        <rFont val="Arial"/>
      </rPr>
      <t xml:space="preserve">Hayaang (Để cho/Hãy để)
Từ gốc: Hayaan
Âm thanh tương tự: "Hà-Ăn"
5 Mẹo ghi nhớ:
Hãy hayaang (để cho) cô Hà được Ăn thỏa thích đi.
</t>
    </r>
    <r>
      <rPr>
        <sz val="10"/>
        <color rgb="FFFF0000"/>
        <rFont val="Arial"/>
      </rPr>
      <t xml:space="preserve">
"Há-ăn": Há miệng ra Ăn đi, tôi sẽ hayaang bạn làm thế.</t>
    </r>
    <r>
      <rPr>
        <sz val="10"/>
        <color theme="1"/>
        <rFont val="Arial"/>
      </rPr>
      <t xml:space="preserve">
Cô Hà đòi Ăn thì cứ hayaang cô ấy, đừng ngăn cản.
"Hạ-ăn": Mùa Hạ đến thì hayaang lũ trẻ đi Ăn kem.
Hãy để cho (hayaang) cô Hà mang đồ Ăn về nhà.
--------
Mapanis (Bị ôi thiu)
Từ gốc: Panis
Âm thanh tương tự: "Má-Pha-Nít"
5 Mẹo ghi nhớ:
</t>
    </r>
    <r>
      <rPr>
        <sz val="10"/>
        <color rgb="FFFF0000"/>
        <rFont val="Arial"/>
      </rPr>
      <t>Má lỡ Pha sữa cho con Nít mà để lâu quá nên bị mapanis.</t>
    </r>
    <r>
      <rPr>
        <sz val="10"/>
        <color theme="1"/>
        <rFont val="Arial"/>
      </rPr>
      <t xml:space="preserve">
"Mà-pa-nịt": Mà Pa (Ba) dùng cái Nịt buộc đồ ăn mapanis ném đi.
Đồ ăn mapanis thì tuyệt đối Má đừng Pha cho con Nít ăn nhé.
Tưởng tượng con Nít đang Pha trò bên đống đồ ăn mapanis của Má.
"Mã-pha-nít": Con Mã (ngựa) Pha trà bị Nịt lại vì đã mapanis.</t>
    </r>
  </si>
  <si>
    <t>Cháu muốn uống nước ép trái cây.</t>
  </si>
  <si>
    <t>Gusto ko uminom ng juice .</t>
  </si>
  <si>
    <t>Wǒ xǐhuān zhège xiāngwèi!</t>
  </si>
  <si>
    <t>Có trái cây tráng miệng không ạ?</t>
  </si>
  <si>
    <t>May prutas ba para sa dessert ?</t>
  </si>
  <si>
    <t>Cháu thích ăn xoài chín.</t>
  </si>
  <si>
    <r>
      <rPr>
        <sz val="10"/>
        <color theme="1"/>
        <rFont val="Arial"/>
      </rPr>
      <t xml:space="preserve">Gusto ko ng </t>
    </r>
    <r>
      <rPr>
        <sz val="10"/>
        <color rgb="FFFF0000"/>
        <rFont val="Arial"/>
      </rPr>
      <t xml:space="preserve">hinog </t>
    </r>
    <r>
      <rPr>
        <sz val="10"/>
        <color theme="1"/>
        <rFont val="Arial"/>
      </rPr>
      <t>na mangga .</t>
    </r>
  </si>
  <si>
    <r>
      <rPr>
        <sz val="10"/>
        <color theme="1"/>
        <rFont val="Arial"/>
      </rPr>
      <t xml:space="preserve">Hinog (Chín - trái cây)
Từ gốc: Hinog
Âm thanh tương tự: "Hí-Nốc"
5 Mẹo ghi nhớ:
Bạn Hí hửng Nốc (ăn/uống) cạn quả xoài đã hinog.
"Hì-Nọc": Cười Hì hì vì quả này hinog chứ không có Nọc độc.
Thấy quả đã hinog, bạn Hí mắt ra nhìn rồi Nốc luôn tại chỗ.
</t>
    </r>
    <r>
      <rPr>
        <sz val="10"/>
        <color rgb="FFFF0000"/>
        <rFont val="Arial"/>
      </rPr>
      <t>"Hì-Nóc": Leo lên Nóc nhà ngồi cười Hì hì ăn quả hinog.</t>
    </r>
    <r>
      <rPr>
        <sz val="10"/>
        <color theme="1"/>
        <rFont val="Arial"/>
      </rPr>
      <t xml:space="preserve">
Quả hinog thì cứ hí hửng mà mang ra nốc thôi.</t>
    </r>
  </si>
  <si>
    <t>Shuǐ kāi la.</t>
  </si>
  <si>
    <t>Bác nấu ăn là số một!</t>
  </si>
  <si>
    <t>The best kayong magluto !</t>
  </si>
  <si>
    <t>Cháu rất no rồi.</t>
  </si>
  <si>
    <t>Busog na busog na ako .</t>
  </si>
  <si>
    <t>Wǒ kěyǐ jiè yīgè tāng sháo ma?</t>
  </si>
  <si>
    <t>Ngày mai mình lại nấu nhé.</t>
  </si>
  <si>
    <t>Magluto tayo ulit bukas .</t>
  </si>
  <si>
    <t>Cháu sẽ học thêm nhiều món mới.</t>
  </si>
  <si>
    <t>Mag-aaral pa ako ng maraming luto .</t>
  </si>
  <si>
    <t>Wǒ kěyǐ cháng cháng ma?</t>
  </si>
  <si>
    <t>Đừng quên tắt bếp gas nhé.</t>
  </si>
  <si>
    <t>Huwag kalimutang patayin ang kalan .</t>
  </si>
  <si>
    <t>Rác nhà bếp để ở đâu ạ?</t>
  </si>
  <si>
    <t>Saan ang basura sa kusina ?</t>
  </si>
  <si>
    <t>Nǎinai, zhēn hào chī!</t>
  </si>
  <si>
    <t>Cháu sẽ đi đổ rác.</t>
  </si>
  <si>
    <t>Magtatapon ako ng basura .</t>
  </si>
  <si>
    <t>Cảm ơn bác đã dạy cháu nấu ăn.</t>
  </si>
  <si>
    <t>Salamat sa pagtuturo sa akin magluto .</t>
  </si>
  <si>
    <t>Hǎoxiàng yǒudiǎn dàn.</t>
  </si>
  <si>
    <t>Chúc bác ăn ngon miệng.</t>
  </si>
  <si>
    <t>Kainan na !</t>
  </si>
  <si>
    <t>Hǎoxiàng yǒudiǎn xián.</t>
  </si>
  <si>
    <t>Wǒ xǐhuān hóngshāo yú.</t>
  </si>
  <si>
    <t>Shūshu, qǐngjiào wǒ zuò suān tāng ba.</t>
  </si>
  <si>
    <t>Wǒ hái xūyào qù shìchǎng mǎi shénme ma?</t>
  </si>
  <si>
    <t>Wǒ qù mǎidiǎn yú lù.</t>
  </si>
  <si>
    <t>Wǒ lái bǎi zhuōzǐ.</t>
  </si>
  <si>
    <t>Ná wǎn kuài lái.</t>
  </si>
  <si>
    <t>Dàjiā kuài chīfàn ba.</t>
  </si>
  <si>
    <t>Wǒ lái xǐ wǎn.</t>
  </si>
  <si>
    <t>Xǐ jié jīng zài nǎ'er?</t>
  </si>
  <si>
    <t>Wǒ zài cā chúfáng táimiàn.</t>
  </si>
  <si>
    <t>Bǎ shíwù fàng jìn bīngxiāng.</t>
  </si>
  <si>
    <t>Bié ràng shíwù biànzhí.</t>
  </si>
  <si>
    <t>Wǒ xiǎng hē diǎn guǒzhī.</t>
  </si>
  <si>
    <t>Nǐ yǒu shuǐguǒ zuò tiándiǎn ma?</t>
  </si>
  <si>
    <t>Wǒ xǐhuān shú mángguǒ.</t>
  </si>
  <si>
    <t>Shūshu, nǐ shì zuì bàng de chúshī!</t>
  </si>
  <si>
    <t>Wǒmen míngtiān zài yīqǐ zuò fàn ba.</t>
  </si>
  <si>
    <t>Wǒ yào xué zuò gèng duō xīn cài.</t>
  </si>
  <si>
    <t>Bié wàngle guān diào méiqì zào.</t>
  </si>
  <si>
    <t>Chúfáng lèsè yīnggāi fàng zài nǎlǐ?</t>
  </si>
  <si>
    <t>Wǒ qù dào lèsè.</t>
  </si>
  <si>
    <t>Xièxiè nǐ jiào wǒ zuò fàn.</t>
  </si>
  <si>
    <t>Zhù nín yòngcān yúkuài.</t>
  </si>
  <si>
    <t>Chủ đề 22: Ngoại hình và Quần áo</t>
  </si>
  <si>
    <t>Kĩ thuật nhớ (5 cách):</t>
  </si>
  <si>
    <t>Bạn trông rất đẹp hôm nay!</t>
  </si>
  <si>
    <t>Ang ganda/gwapo mo ngayon !</t>
  </si>
  <si>
    <t>Nǐ jīntiān zhēn piàoliang!</t>
  </si>
  <si>
    <t>Cháu thích cái áo của bạn.</t>
  </si>
  <si>
    <t>Gusto ko ang damit mo .</t>
  </si>
  <si>
    <t>Bạn cao quá!</t>
  </si>
  <si>
    <t>Ang tangkad niyo !</t>
  </si>
  <si>
    <t>Wǒ xǐhuān nǐ de chènshān.</t>
  </si>
  <si>
    <t>Cháu hơi thấp một chút.</t>
  </si>
  <si>
    <r>
      <rPr>
        <sz val="10"/>
        <color theme="1"/>
        <rFont val="Arial"/>
      </rPr>
      <t xml:space="preserve">Medyo </t>
    </r>
    <r>
      <rPr>
        <sz val="10"/>
        <color rgb="FFFF0000"/>
        <rFont val="Arial"/>
      </rPr>
      <t>pandak</t>
    </r>
    <r>
      <rPr>
        <sz val="10"/>
        <color theme="1"/>
        <rFont val="Arial"/>
      </rPr>
      <t>/maliit ako .</t>
    </r>
  </si>
  <si>
    <r>
      <rPr>
        <sz val="10"/>
        <color rgb="FFFF0000"/>
        <rFont val="Arial"/>
      </rPr>
      <t>Phan-Đắc: Anh Phan lùn nhưng đắc đạo.</t>
    </r>
    <r>
      <rPr>
        <sz val="10"/>
        <color theme="1"/>
        <rFont val="Arial"/>
      </rPr>
      <t xml:space="preserve">
Phản-Đặc: Cái phản này đặc biệt thấp cho người lùn ngồi.
Phán-Đắc: Quan phán người thấp sẽ đắc lộc.
Phận-Đắc: Phận người thấp nhưng đắc nhân tâm.
Phân-Đắc: Phân chia ra từng đoạn thấp để dễ đắc cử.</t>
    </r>
  </si>
  <si>
    <t>Bansot, Mababa.</t>
  </si>
  <si>
    <t>Matangkad, Mataas.</t>
  </si>
  <si>
    <t>Cô ấy có mái tóc dài.</t>
  </si>
  <si>
    <t>Mahaba ang buhok niya .</t>
  </si>
  <si>
    <t>Nǐ zhēn gāo!</t>
  </si>
  <si>
    <t>Anh ấy có mái tóc ngắn.</t>
  </si>
  <si>
    <t>Maikli ang buhok niya .</t>
  </si>
  <si>
    <t>Tóc bạn màu gì thế?</t>
  </si>
  <si>
    <t>Anong kulay ng buhok mo ?</t>
  </si>
  <si>
    <t>Wǒ yǒudiǎn ǎi.</t>
  </si>
  <si>
    <t>Bạn có đôi mắt rất đẹp.</t>
  </si>
  <si>
    <t>Ang ganda ng mga mata mo .</t>
  </si>
  <si>
    <t>Bạn đang mặc gì thế?</t>
  </si>
  <si>
    <t>Ano suot mo ?</t>
  </si>
  <si>
    <t>Tā yǒu yītóu zhǎng fā.</t>
  </si>
  <si>
    <t>Cháu đang mặc áo phông.</t>
  </si>
  <si>
    <t>Naka-t-shirt ako .</t>
  </si>
  <si>
    <t>Cháu đang mặc quần short.</t>
  </si>
  <si>
    <t>Naka-short ako .</t>
  </si>
  <si>
    <t>Tā yǒu yītóu duǎnfǎ.</t>
  </si>
  <si>
    <t>Trời lạnh, hãy mặc áo khoác nhé.</t>
  </si>
  <si>
    <t>Mag-jacket ka , malamig .</t>
  </si>
  <si>
    <t>Cháu thích đi giày thể thao.</t>
  </si>
  <si>
    <t>Gusto ko ng rubber shoes .</t>
  </si>
  <si>
    <t>Nǐ de tóufǎ shì shénme yánsè de?</t>
  </si>
  <si>
    <t>Đôi dép của cháu đâu rồi?</t>
  </si>
  <si>
    <r>
      <rPr>
        <sz val="10"/>
        <color theme="1"/>
        <rFont val="Arial"/>
      </rPr>
      <t xml:space="preserve">Nasaan ang </t>
    </r>
    <r>
      <rPr>
        <sz val="10"/>
        <color rgb="FFFF0000"/>
        <rFont val="Arial"/>
      </rPr>
      <t xml:space="preserve">tsinelas </t>
    </r>
    <r>
      <rPr>
        <sz val="10"/>
        <color theme="1"/>
        <rFont val="Arial"/>
      </rPr>
      <t>ko ?</t>
    </r>
  </si>
  <si>
    <t>Tsinelas (Dép tông / Dép lào)
Từ gốc: Tsinelas (Mượn từ tiếng Tây Ban Nha Chinela)
Kĩ thuật nhớ (5 cách):
Chi-Né-Lát: Chị Chi né miếng lát gạch nóng bằng đôi dép.
Chỉ-Né-Lạ: Ngón chân chỉ né vật lạ nhờ có dép.
Chí-Né-Lá: Con chí né cái lá dưới đôi dép.
Chị-Né-Lả: Chị né vẻ lả lướt bằng đôi dép chắc chắn.
Chi-Né-Lạ: Chi tiêu né đồ lạ, chỉ mua dép.</t>
  </si>
  <si>
    <t>Sandal, Sapato (Giày - liên quan).</t>
  </si>
  <si>
    <t>Nakayapak (Đi chân đất).</t>
  </si>
  <si>
    <t>Cháu cần mua một cái mũ (nón).</t>
  </si>
  <si>
    <t>Bibili ako ng sumbrero .</t>
  </si>
  <si>
    <t>Nǐ de yǎnjīng zhēn piàoliang.</t>
  </si>
  <si>
    <t>Cái váy này rất hợp với bạn.</t>
  </si>
  <si>
    <t>Bagay sa iyo ang damit na ito .</t>
  </si>
  <si>
    <t>Bạn trông rất ngầu!</t>
  </si>
  <si>
    <t>Ang cool niyo !</t>
  </si>
  <si>
    <t>Nǐ chuān de shì shénme?</t>
  </si>
  <si>
    <t>Anh ấy rất khỏe mạnh.</t>
  </si>
  <si>
    <t>Malakas siya .</t>
  </si>
  <si>
    <t>Cháu muốn được cao như bác.</t>
  </si>
  <si>
    <r>
      <rPr>
        <sz val="10"/>
        <color theme="1"/>
        <rFont val="Arial"/>
      </rPr>
      <t xml:space="preserve">Gusto ko maging matangkad </t>
    </r>
    <r>
      <rPr>
        <sz val="10"/>
        <color rgb="FFFF0000"/>
        <rFont val="Arial"/>
      </rPr>
      <t xml:space="preserve">gaya </t>
    </r>
    <r>
      <rPr>
        <sz val="10"/>
        <color theme="1"/>
        <rFont val="Arial"/>
      </rPr>
      <t>ninyo .</t>
    </r>
  </si>
  <si>
    <r>
      <rPr>
        <sz val="10"/>
        <color theme="1"/>
        <rFont val="Arial"/>
      </rPr>
      <t xml:space="preserve">Gaya (Giống như / Bắt chước)
Từ gốc: Gaya
Kĩ thuật nhớ (5 cách):
Gà-Giả: </t>
    </r>
    <r>
      <rPr>
        <sz val="10"/>
        <color rgb="FFFF0000"/>
        <rFont val="Arial"/>
      </rPr>
      <t>Con gà giả trông giống hệt con gà thật.</t>
    </r>
    <r>
      <rPr>
        <sz val="10"/>
        <color theme="1"/>
        <rFont val="Arial"/>
      </rPr>
      <t xml:space="preserve">
Ga-Gia: Nhà (gia) này có cái Ga tàu giống nhà bên.
Gá-Già: Ông già gá vào cái gậy trông rất giống nhau.
Gả-Già: Gả cho ông già giống trong phim.
Gia-Già: Gia đình có ông già giống hệt nhau.</t>
    </r>
  </si>
  <si>
    <t>Wǒ chuānle yī jiàn T xù.</t>
  </si>
  <si>
    <t>Katulad, Paris, Tularan.</t>
  </si>
  <si>
    <t>Iba, Naiiba.</t>
  </si>
  <si>
    <t>Bạn có đeo kính không?</t>
  </si>
  <si>
    <t>Nakasalamin ka ba ?</t>
  </si>
  <si>
    <t>Cháu bị cận thị nên phải đeo kính.</t>
  </si>
  <si>
    <r>
      <rPr>
        <sz val="10"/>
        <color theme="1"/>
        <rFont val="Arial"/>
      </rPr>
      <t xml:space="preserve">Nakasalamin ako kasi </t>
    </r>
    <r>
      <rPr>
        <sz val="10"/>
        <color rgb="FFFF0000"/>
        <rFont val="Arial"/>
      </rPr>
      <t xml:space="preserve">malabo </t>
    </r>
    <r>
      <rPr>
        <sz val="10"/>
        <color theme="1"/>
        <rFont val="Arial"/>
      </rPr>
      <t>ang mata .</t>
    </r>
  </si>
  <si>
    <r>
      <rPr>
        <sz val="10"/>
        <color theme="1"/>
        <rFont val="Arial"/>
      </rPr>
      <t xml:space="preserve">Malabo (Mờ nhạt / Không rõ ràng)
Từ gốc: Labo
Kĩ thuật nhớ (5 cách):
</t>
    </r>
    <r>
      <rPr>
        <sz val="10"/>
        <color rgb="FFFF0000"/>
        <rFont val="Arial"/>
      </rPr>
      <t>Ma-Là-Bộ: Con ma là một bộ dạng mờ ảo</t>
    </r>
    <r>
      <rPr>
        <sz val="10"/>
        <color theme="1"/>
        <rFont val="Arial"/>
      </rPr>
      <t>.
Má-Là-Bộ: Má mặc một bộ đồ màu mờ nhạt.
Mạ-Là-Bộ: Cây mạ là một bộ màu xanh mờ mắt.
Mà-Lạ-Bộ: Mà lạ bộ nhìn mờ quá không rõ.
Mã-Là-Bộ: Con mã (ngựa) là bộ ảnh mờ.</t>
    </r>
  </si>
  <si>
    <t>Wǒ chuānle yītiáo duǎnkù.</t>
  </si>
  <si>
    <t>Hindi malinaw, Maulap.</t>
  </si>
  <si>
    <t>Malinaw, Maliwanag.</t>
  </si>
  <si>
    <t>Hôm nay cháu mặc đồ mới.</t>
  </si>
  <si>
    <t>Bagong damit ang suot ko ngayon .</t>
  </si>
  <si>
    <t>Đồ này giặt sạch chưa ạ?</t>
  </si>
  <si>
    <t>Malinis na ba ang damit na ito ?</t>
  </si>
  <si>
    <t>Tiānqì lěng, qǐng chuān jiàn wàitào.</t>
  </si>
  <si>
    <t>Cháu cần đi tắm và thay đồ.</t>
  </si>
  <si>
    <t>Maliligo ako at magbibihis .</t>
  </si>
  <si>
    <t>Cho cháu mượn cái lược.</t>
  </si>
  <si>
    <t>Pahiram ng suklay .</t>
  </si>
  <si>
    <t>Wǒ xǐhuān chuān yùndòng xié.</t>
  </si>
  <si>
    <t>Cháu đang chải đầu.</t>
  </si>
  <si>
    <t>Nagsusuklay ako .</t>
  </si>
  <si>
    <t>Bạn có dùng nước hoa không?</t>
  </si>
  <si>
    <t>Nag-pabango ka ba ?</t>
  </si>
  <si>
    <t>Wǒ de liángxié zài nǎlǐ?</t>
  </si>
  <si>
    <t>Mùi hương rất dễ chịu.</t>
  </si>
  <si>
    <t>Ang bango .</t>
  </si>
  <si>
    <t>Cháu thích màu quần áo sáng.</t>
  </si>
  <si>
    <t>Gusto ko ng maliwanag na kulay ng damit .</t>
  </si>
  <si>
    <t>Wǒ xū yāo mǎi yī dǐng màozǐ.</t>
  </si>
  <si>
    <t>Cái quần này rộng quá.</t>
  </si>
  <si>
    <r>
      <rPr>
        <sz val="10"/>
        <color theme="1"/>
        <rFont val="Arial"/>
      </rPr>
      <t xml:space="preserve">Malaki ang </t>
    </r>
    <r>
      <rPr>
        <sz val="10"/>
        <color rgb="FFFF0000"/>
        <rFont val="Arial"/>
      </rPr>
      <t xml:space="preserve">pantalon </t>
    </r>
    <r>
      <rPr>
        <sz val="10"/>
        <color theme="1"/>
        <rFont val="Arial"/>
      </rPr>
      <t>na ito .</t>
    </r>
  </si>
  <si>
    <r>
      <rPr>
        <sz val="10"/>
        <color theme="1"/>
        <rFont val="Arial"/>
      </rPr>
      <t>Pantalon (Quần dài)
Từ gốc: Pantalon (Mượn từ tiếng Tây Ban Nha)
Kĩ thuật nhớ (5 cách):
Phan-Ta-Lon: Anh Phan ta</t>
    </r>
    <r>
      <rPr>
        <sz val="10"/>
        <color rgb="FFFF0000"/>
        <rFont val="Arial"/>
      </rPr>
      <t xml:space="preserve"> mặc cái lon</t>
    </r>
    <r>
      <rPr>
        <sz val="10"/>
        <color theme="1"/>
        <rFont val="Arial"/>
      </rPr>
      <t xml:space="preserve"> (quần dài).
Phản-Ta-Lon: Cái phản ta để cái lon và cái quần dài.
Phán-Ta-Lon: Quan phán ta phải mặc quần dài.
Phận-Ta-Lon: Phận ta chỉ có cái quần dài này.
Phân-Ta-Lon: Phân loại ta mặc quần dài hay quần đùi.</t>
    </r>
  </si>
  <si>
    <t>Salawal</t>
  </si>
  <si>
    <t>Hubad (Trần truồng), Shorts (Quần đùi).</t>
  </si>
  <si>
    <t>Cái áo này chật quá.</t>
  </si>
  <si>
    <t>Masikip ang damit na ito .</t>
  </si>
  <si>
    <t>Zhè tiáo qúnzǐ hěn shìhé nǐ.</t>
  </si>
  <si>
    <t>Cháu muốn đi cắt tóc.</t>
  </si>
  <si>
    <t>Magpapagupit ako ng buhok .</t>
  </si>
  <si>
    <t>Tiệm cắt tóc ở đâu ạ?</t>
  </si>
  <si>
    <t>Nasaan ang barbershop ?</t>
  </si>
  <si>
    <t>Nǐ kàn qǐlái zhēn kù!</t>
  </si>
  <si>
    <t>Cắt ngắn cho cháu nhé.</t>
  </si>
  <si>
    <t>Pakaikli .</t>
  </si>
  <si>
    <t>. Pakianit (Có thể là Paki-ahit: Hãy cạo/hớt hoặc Pakaunti: Một ít)
(Lưu ý: "Pakianit" không phải từ phổ biến, có thể là lỗi chính tả của Paki-ahit (Hãy cạo đầu/râu) hoặc Pakinabang (Lợi ích). Tôi sẽ dùng Paki-ahit vì gần âm nhất).
Từ gốc: Ahit (Cạo)
Kĩ thuật nhớ (5 cách):
Pá-Kì-A-Hít: Pá (bố) kì cọ rồi a một tiếng khi hít (cạo) râu.
Phạt-Kì-A-Hít: Phạt kì nghỉ a bằng cách hít (cạo) sạch râu.
Bà-Kì-A-Hít: Bà kì cọ a để hít (cạo) lông.
Phà-Kì-A-Hít: Phà kì lạ a khi đang hít (cạo).
Bá-Kì-A-Hít: Bá kì lân a khi bị hít (cạo).</t>
  </si>
  <si>
    <t>Gupit (Cắt).</t>
  </si>
  <si>
    <t>Hayaan (Để mặc - không cạo).</t>
  </si>
  <si>
    <t>Cháu trông khác quá!</t>
  </si>
  <si>
    <t>Iba na ang itsura mo !</t>
  </si>
  <si>
    <t>Tā kàn qǐlái zhēn qiángzhuàng.</t>
  </si>
  <si>
    <t>Nhưng vẫn rất đẹp trai/xinh gái.</t>
  </si>
  <si>
    <t>Pero gwapo / maganda pa rin .</t>
  </si>
  <si>
    <t>Bạn cười rất tươi.</t>
  </si>
  <si>
    <t>Ang ganda ng ngiti mo .</t>
  </si>
  <si>
    <t>Wǒ xiǎng hé nǐ yīyàng gāo.</t>
  </si>
  <si>
    <t>Cháu thích chiếc vòng tay này.</t>
  </si>
  <si>
    <t>Gusto ko itong bracelet .</t>
  </si>
  <si>
    <t>Đây là đồng hồ của cháu.</t>
  </si>
  <si>
    <r>
      <rPr>
        <sz val="10"/>
        <color theme="1"/>
        <rFont val="Arial"/>
      </rPr>
      <t xml:space="preserve">Ito ang </t>
    </r>
    <r>
      <rPr>
        <sz val="10"/>
        <color rgb="FFFF0000"/>
        <rFont val="Arial"/>
      </rPr>
      <t xml:space="preserve">relo </t>
    </r>
    <r>
      <rPr>
        <sz val="10"/>
        <color theme="1"/>
        <rFont val="Arial"/>
      </rPr>
      <t>ko .</t>
    </r>
  </si>
  <si>
    <r>
      <rPr>
        <sz val="10"/>
        <color theme="1"/>
        <rFont val="Arial"/>
      </rPr>
      <t xml:space="preserve">. Relo (Đồng hồ)
Từ gốc: Relo (Mượn từ tiếng Tây Ban Nha Reloj)
Kĩ thuật nhớ (5 cách):
Rê-Lô: Rê cái lô đất để lấy tiền mua đồng hồ.
</t>
    </r>
    <r>
      <rPr>
        <sz val="10"/>
        <color rgb="FFFF0000"/>
        <rFont val="Arial"/>
      </rPr>
      <t>Rẻ-Lô: Đồng hồ rẻ nên mua theo cả lô.</t>
    </r>
    <r>
      <rPr>
        <sz val="10"/>
        <color theme="1"/>
        <rFont val="Arial"/>
      </rPr>
      <t xml:space="preserve">
Rễ-Lộ: Cái rễ lộ ra cạnh cái đồng hồ.
Rể-Lộ: Con rể lộ cái đồng hồ xịn.
Rê-Lộ: Rê cái đồng hồ ra ngoài lộ (đường).</t>
    </r>
  </si>
  <si>
    <t>Nǐ dài yǎnjìng ma?</t>
  </si>
  <si>
    <t>Orasan</t>
  </si>
  <si>
    <t>Walang oras (Không có thời gian).</t>
  </si>
  <si>
    <t>Cháu có một vết bớt ở tay.</t>
  </si>
  <si>
    <r>
      <rPr>
        <sz val="10"/>
        <color theme="1"/>
        <rFont val="Arial"/>
      </rPr>
      <t xml:space="preserve">May </t>
    </r>
    <r>
      <rPr>
        <sz val="10"/>
        <color rgb="FFFF0000"/>
        <rFont val="Arial"/>
      </rPr>
      <t xml:space="preserve">balat </t>
    </r>
    <r>
      <rPr>
        <sz val="10"/>
        <color theme="1"/>
        <rFont val="Arial"/>
      </rPr>
      <t>ako sa kamay .</t>
    </r>
  </si>
  <si>
    <r>
      <rPr>
        <sz val="10"/>
        <color theme="1"/>
        <rFont val="Arial"/>
      </rPr>
      <t xml:space="preserve">Balat (Da / Vỏ)
Từ gốc: Balat
Kĩ thuật nhớ (5 cách):
</t>
    </r>
    <r>
      <rPr>
        <sz val="10"/>
        <color rgb="FFFF0000"/>
        <rFont val="Arial"/>
      </rPr>
      <t>Ba-Lát: Ba lát gạch bằng miếng da trâu.</t>
    </r>
    <r>
      <rPr>
        <sz val="10"/>
        <color theme="1"/>
        <rFont val="Arial"/>
      </rPr>
      <t xml:space="preserve">
Bà-Lát: Bà lát bánh tráng mỏng như lớp vỏ.
Bá-Lát: Bá (bác) lát miếng da.
Bả-Lát: Bả lát thịt có cả lớp da.
Ba-Lạt: Ba ăn lạt vì lớp vỏ cá mặn.</t>
    </r>
  </si>
  <si>
    <t>Panit (Vỏ), Talop (Lớp da ngoài).</t>
  </si>
  <si>
    <t>Laman (Thịt/Phần bên trong).</t>
  </si>
  <si>
    <t>Bạn trông giống bố bạn quá.</t>
  </si>
  <si>
    <t>Kamukha niyo ang Tatay niyo .</t>
  </si>
  <si>
    <t>Wǒ jìnshì, suǒyǐ wǒ dài yǎnjìng.</t>
  </si>
  <si>
    <t>Cháu giống mẹ cháu hơn.</t>
  </si>
  <si>
    <t>Kamukha ko ang Nanay ko .</t>
  </si>
  <si>
    <t>Da bạn rất trắng.</t>
  </si>
  <si>
    <t>Ang puti ng balat mo .</t>
  </si>
  <si>
    <t>Wǒ jīntiān chuānle xīn yīfú.</t>
  </si>
  <si>
    <t>Da cháu hơi nâu vì đi nắng.</t>
  </si>
  <si>
    <t>Medyo brown ang balat ko sa araw .</t>
  </si>
  <si>
    <t>Bạn thật là duyên dáng.</t>
  </si>
  <si>
    <t>Ang ganda ng kilos mo .</t>
  </si>
  <si>
    <t>Zhèxiē yīfú xǐguòle ma?</t>
  </si>
  <si>
    <t>Cháu muốn mặc quần áo thoải mái.</t>
  </si>
  <si>
    <r>
      <rPr>
        <sz val="10"/>
        <color theme="1"/>
        <rFont val="Arial"/>
      </rPr>
      <t xml:space="preserve">Gusto ko ng </t>
    </r>
    <r>
      <rPr>
        <sz val="10"/>
        <color rgb="FFFF0000"/>
        <rFont val="Arial"/>
      </rPr>
      <t>preskong</t>
    </r>
    <r>
      <rPr>
        <sz val="10"/>
        <color theme="1"/>
        <rFont val="Arial"/>
      </rPr>
      <t xml:space="preserve"> damit .</t>
    </r>
  </si>
  <si>
    <t>Preskong (Mát mẻ / Tươi)
Từ gốc: Presko (Mượn từ tiếng Tây Ban Nha Fresco)
Kĩ thuật nhớ (5 cách):
Phê-S-Công: Phê khi nhìn con công (peacock) trong gió mát.
Phê-S-Không: Phê không khi trời mát thế này?
Phê-X-Công: Phê xế công (xe công) chạy rất mát.
Bê-X-Công: Bê cái xô cho công ty được mát.
Phê-Sang-Công: Phê sang cả công ty vì gió quá mát.</t>
  </si>
  <si>
    <t>Sariwa, Malamig-lamig.</t>
  </si>
  <si>
    <t>Maalinsangan (Oi bức), Mainit (Nóng).</t>
  </si>
  <si>
    <t>Đừng quên mang tất (vớ) nhé.</t>
  </si>
  <si>
    <t>Huwag kalimutan ang medyas .</t>
  </si>
  <si>
    <t>Wǒ xūyào xǐ gè zǎo huàn shēn yīfú.</t>
  </si>
  <si>
    <t>Cháu đang thắt dây giày.</t>
  </si>
  <si>
    <r>
      <rPr>
        <sz val="10"/>
        <color rgb="FFFF0000"/>
        <rFont val="Arial"/>
      </rPr>
      <t>Nagbubuhol</t>
    </r>
    <r>
      <rPr>
        <sz val="10"/>
        <color theme="1"/>
        <rFont val="Arial"/>
      </rPr>
      <t xml:space="preserve"> ako ng </t>
    </r>
    <r>
      <rPr>
        <sz val="10"/>
        <color rgb="FFFF0000"/>
        <rFont val="Arial"/>
      </rPr>
      <t xml:space="preserve">sintas </t>
    </r>
    <r>
      <rPr>
        <sz val="10"/>
        <color theme="1"/>
        <rFont val="Arial"/>
      </rPr>
      <t>ng sapatos .</t>
    </r>
  </si>
  <si>
    <r>
      <rPr>
        <sz val="10"/>
        <color theme="1"/>
        <rFont val="Arial"/>
      </rPr>
      <t xml:space="preserve">Nagbubuhol (Đang thắt nút / Đang bị rối)
Từ gốc: Buhol (Nút thắt)
Kĩ thuật nhớ (5 cách):
Nác-Bu-Hồi: Nước bú hồi (chảy ngược) làm dây thắt nút.
Nát-Bu-Hồi: Cái nút thắt làm nát bụi hồi.
Nắc-Bu-Hôi: Cái nút thắt bốc mùi hôi.
Nác-Bù-Hồi: Nát bù hồi xuân vì dây thắt nút.
Nác-Bụ-Hồi: Nút thắt nằm trong bụi hồi.
----
Sintas (Dây giày)
Từ gốc: Sintas (Gốc Tây Ban Nha: Cinta - ruy băng/dây đai)
Âm thanh tương tự: "Xin-Tá" hoặc "Xin-Tát"
5 Mẹo ghi nhớ bằng kỹ thuật âm thanh tương tự:
Bạn vào cửa hàng và Xin mua một Tá (12 cái) sintas (dây giày) dự phòng.
Tưởng tượng một anh chàng dám Xin người khác Tát mình một cái nếu anh ta lỡ làm tuột sintas khi đang chạy bộ.
Chàng trai tên Sín đang ngồi Tát nước ở bờ ao thì bỗng nhiên bị đứt sintas.
"Xin-Tá": Bạn phải Xin đi Tá túc qua đêm chỉ vì bị vấp sintas ngã trầy đầu gối không đi tiếp được.
</t>
    </r>
    <r>
      <rPr>
        <sz val="10"/>
        <color rgb="FFFF0000"/>
        <rFont val="Arial"/>
      </rPr>
      <t xml:space="preserve">
Mỗi lần buộc sintas, bạn lại nhẩm trong đầu: "Xin đừng để ai Tát vào mặt mình vì tội đi giày không buộc dây".</t>
    </r>
  </si>
  <si>
    <t>Nakapulupot, Magulo.</t>
  </si>
  <si>
    <t>Kalas, Maayos, Tuwid.</t>
  </si>
  <si>
    <t>Bạn trông rất hạnh phúc!</t>
  </si>
  <si>
    <t>Mukha kayong masaya !</t>
  </si>
  <si>
    <t>Wǒ kěyǐ jièyòng yīxià nǐ de shūzǐ ma?</t>
  </si>
  <si>
    <t>Vẻ đẹp tâm hồn là quan trọng nhất.</t>
  </si>
  <si>
    <t>Ang ganda ng loob ang pinakamahalaga .</t>
  </si>
  <si>
    <t>Wǒ zài shūtóu.</t>
  </si>
  <si>
    <t>Nǐ pèn xiāngshuǐle ma?</t>
  </si>
  <si>
    <t>Wén qǐlái hěn xiāng.</t>
  </si>
  <si>
    <t>Wǒ xǐhuān chuān yánsè xiānyàn de yīfú.</t>
  </si>
  <si>
    <t>Zhè tiáo kùzǐ tài dàle.</t>
  </si>
  <si>
    <t>Zhè jiàn chènshān tài jǐnle.</t>
  </si>
  <si>
    <t>Wǒ xiǎng jiǎn tóufǎ.</t>
  </si>
  <si>
    <t>Lǐfǎ diàn zài nǎ'er?</t>
  </si>
  <si>
    <t>Bāng wǒ jiǎn duǎn diǎn.</t>
  </si>
  <si>
    <t>Wǒ kàn qǐlái hǎobù yīyàng!</t>
  </si>
  <si>
    <t>Dàn wǒ háishì hěn shuài/hěn piàoliang.</t>
  </si>
  <si>
    <t>Nǐ de xiàoróng zhēn cànlàn.</t>
  </si>
  <si>
    <t>Wǒ xǐhuān zhè tiáo shǒuliàn.</t>
  </si>
  <si>
    <t>Zhè shì wǒ de shǒubiǎo.</t>
  </si>
  <si>
    <t>Wǒ de shǒu shàng yǒu yīkuài tāijì.</t>
  </si>
  <si>
    <t>Nǐ zhǎng dé zhēn xiàng nǐ bàba.</t>
  </si>
  <si>
    <t>Wǒ zhǎng dé gèng xiàng wǒ māmā.</t>
  </si>
  <si>
    <t>Nǐ de pífū hěn bái.</t>
  </si>
  <si>
    <t>Wǒ de pífū shài hēile yīdiǎn.</t>
  </si>
  <si>
    <t>Nǐ zhēnyǒu mèilì.</t>
  </si>
  <si>
    <t>Wǒ xiǎng chuān shūshì de yīfú.</t>
  </si>
  <si>
    <t>Bié wàngle chuān wàzǐ.</t>
  </si>
  <si>
    <t>Wǒ zài xì xié dài.</t>
  </si>
  <si>
    <t>Nǐ kàn qǐlái hǎo kāixīn!</t>
  </si>
  <si>
    <t>Nèizài měi zuì zhòngyào.</t>
  </si>
  <si>
    <t>Chủ đề 23: Tin tức và Truyền thông</t>
  </si>
  <si>
    <t>Hôm nay có tin gì mới không ạ?</t>
  </si>
  <si>
    <t>Ano balita ngayon ?</t>
  </si>
  <si>
    <t>Jīntiān yǒu shé me xīnwén ma?</t>
  </si>
  <si>
    <t>Cháu muốn xem tin tức trên TV.</t>
  </si>
  <si>
    <t>Gusto ko manood ng balita sa TV .</t>
  </si>
  <si>
    <t>Mấy giờ thì có bản tin thời sự ạ?</t>
  </si>
  <si>
    <t>Anong oras ang news program ?</t>
  </si>
  <si>
    <t>Wǒ xiǎng kàn diànshì xīnwén.</t>
  </si>
  <si>
    <t>Cháu đang đọc báo.</t>
  </si>
  <si>
    <t>Nagbabasa ako ng diyaryo .</t>
  </si>
  <si>
    <t>Tin này có thật không ạ?</t>
  </si>
  <si>
    <t>Totoo ba ang balitang ito ?</t>
  </si>
  <si>
    <t>Xīnwén jǐ diǎn bō chū?</t>
  </si>
  <si>
    <t>Cháu thấy tin này trên mạng xã hội.</t>
  </si>
  <si>
    <t>Nakita ko ito sa social media .</t>
  </si>
  <si>
    <t>Bạn đã nghe tin này chưa?</t>
  </si>
  <si>
    <t>Nabalitaan mo na ba ito ?</t>
  </si>
  <si>
    <t>Wǒ zài kàn bàozhǐ.</t>
  </si>
  <si>
    <t>Chương trình này rất nổi tiếng.</t>
  </si>
  <si>
    <r>
      <rPr>
        <sz val="10"/>
        <color theme="1"/>
        <rFont val="Arial"/>
      </rPr>
      <t xml:space="preserve">Sikat ang </t>
    </r>
    <r>
      <rPr>
        <sz val="10"/>
        <color rgb="FFFF0000"/>
        <rFont val="Arial"/>
      </rPr>
      <t xml:space="preserve">programang </t>
    </r>
    <r>
      <rPr>
        <sz val="10"/>
        <color theme="1"/>
        <rFont val="Arial"/>
      </rPr>
      <t>ito .</t>
    </r>
  </si>
  <si>
    <t>Programang (Chương trình)
Từ gốc: Programa (Gốc Tây Ban Nha/Anh: Program) + đuôi -ng (từ nối).
Âm thanh tương tự: "Phó-gà-ra-măng"
5 Mẹo ghi nhớ:
Ông Phó chủ tịch xã đang cầm con Gà đi Ra ruộng Măng để quay programang (chương trình) thực tế.
Một programang (chương trình) dạy cách nấu món Gà xào Măng của ông Phó.
Bạn được làm Phó đạo diễn cho programang (chương trình) "Con Gà và Búp Măng".
"Phố-gà-răng": Ở trên Phố, có một programang dạy cách cho Gà đi niềng Răng.
Tưởng tượng cái tivi đang chiếu programang về một ông Phó đang đuổi con Gà chạy quanh bụi Măng.</t>
  </si>
  <si>
    <t>Ai là người dẫn chương trình ạ?</t>
  </si>
  <si>
    <r>
      <rPr>
        <sz val="10"/>
        <color theme="1"/>
        <rFont val="Arial"/>
      </rPr>
      <t xml:space="preserve">Sino ang news </t>
    </r>
    <r>
      <rPr>
        <sz val="10"/>
        <color rgb="FFFF0000"/>
        <rFont val="Arial"/>
      </rPr>
      <t xml:space="preserve">anchor </t>
    </r>
    <r>
      <rPr>
        <sz val="10"/>
        <color theme="1"/>
        <rFont val="Arial"/>
      </rPr>
      <t>?</t>
    </r>
  </si>
  <si>
    <t>Zhè tiáo xīnwén shì zhēn de ma?</t>
  </si>
  <si>
    <t>Bác cho cháu chuyển kênh được không?</t>
  </si>
  <si>
    <r>
      <rPr>
        <sz val="10"/>
        <color theme="1"/>
        <rFont val="Arial"/>
      </rPr>
      <t xml:space="preserve">Pwedeng </t>
    </r>
    <r>
      <rPr>
        <sz val="10"/>
        <color rgb="FFFF0000"/>
        <rFont val="Arial"/>
      </rPr>
      <t xml:space="preserve">maglipat </t>
    </r>
    <r>
      <rPr>
        <sz val="10"/>
        <color theme="1"/>
        <rFont val="Arial"/>
      </rPr>
      <t>ng channel ?</t>
    </r>
  </si>
  <si>
    <r>
      <rPr>
        <sz val="10"/>
        <color theme="1"/>
        <rFont val="Arial"/>
      </rPr>
      <t xml:space="preserve">Maglipat (Di chuyển / Chuyển kênh / Chuyển dời)
Từ gốc: Lipat
Âm thanh tương tự: "Mắc-li-phát"
5 Mẹo ghi nhớ:
Bạn đang định maglipat (chuyển nhà) thì lại Mắc cái Ly vào cái Phát (loa phát thanh).
"Mặc-ly-phát": Cứ Mặc cái Ly nó Phát nhạc, tôi vẫn phải lo maglipat đồ đạc.
Đừng để cái Ly bị Phát nổ khi bạn đang maglipat (chuyển) nó sang chỗ khác.
Tưởng tượng bạn dùng cái Ly để Phát tín hiệu bảo mọi người hãy maglipat (di dời) ngay.
</t>
    </r>
    <r>
      <rPr>
        <sz val="10"/>
        <color rgb="FFFF0000"/>
        <rFont val="Arial"/>
      </rPr>
      <t xml:space="preserve">
Vì Mắc xem tivi nên bạn cứ maglipat (chuyển kênh) liên tục bằng cái Ly (điều khiển giả).</t>
    </r>
  </si>
  <si>
    <t>Wǒ zài shèjiāo méitǐ shàng kàn dàole zhè tiáo xīnwén.</t>
  </si>
  <si>
    <t>Âm thanh to quá, bác cho nhỏ lại nhé.</t>
  </si>
  <si>
    <r>
      <rPr>
        <sz val="10"/>
        <color theme="1"/>
        <rFont val="Arial"/>
      </rPr>
      <t xml:space="preserve">Masyadong malakas , </t>
    </r>
    <r>
      <rPr>
        <sz val="10"/>
        <color rgb="FFFF0000"/>
        <rFont val="Arial"/>
      </rPr>
      <t xml:space="preserve">pakihinaan </t>
    </r>
    <r>
      <rPr>
        <sz val="10"/>
        <color theme="1"/>
        <rFont val="Arial"/>
      </rPr>
      <t>ang volume .</t>
    </r>
  </si>
  <si>
    <t>Pakihinaan (Làm ơn vặn nhỏ lại / Làm ơn làm yếu đi)
Từ gốc: Hina (Yếu/Nhỏ)
Âm thanh tương tự: "Ba-kì-hi-nản"
5 Mẹo ghi nhớ:
Ba thấy Kì vì cái Hi-fi (loa) này kêu to quá, làm Ba Nản nên phải bảo "Pakihinaan (vặn nhỏ lại) đi!".
"Ba-kì-hít-nản": Ba cứ Hít một hơi rồi Nản lòng vì tiếng ồn, nên yêu cầu pakihinaan.
Hãy pakihinaan (làm yếu đi) sức mạnh của con quái vật Kì dị đang làm Ba thấy Nản.
Tưởng tượng bạn đang Pakihinaan (vặn nhỏ) cái đài có hình chữ Kì và chữ Hi.
Ba bảo nếu không pakihinaan tiếng tivi thì Ba sẽ Nản chí không cho xem nữa.</t>
  </si>
  <si>
    <t>Cháu đang nghe đài radio.</t>
  </si>
  <si>
    <t>Nakikinig ako sa radyo .</t>
  </si>
  <si>
    <t>Nǐ tīng shuōguò zhè tiáo xīnwén ma?</t>
  </si>
  <si>
    <t>Cháu muốn biết dự báo thời tiết.</t>
  </si>
  <si>
    <t>Gusto ko malaman ang weather forecast .</t>
  </si>
  <si>
    <t>Ngày mai trời có mưa không ạ?</t>
  </si>
  <si>
    <t>Uulan ba bukas ?</t>
  </si>
  <si>
    <t>Zhège jiémù hěn shòu huānyíng.</t>
  </si>
  <si>
    <t>Tin tức nói là sẽ có bão.</t>
  </si>
  <si>
    <t>Sabi sa balita , may bagyo .</t>
  </si>
  <si>
    <t>Cháu thích đọc truyện tranh.</t>
  </si>
  <si>
    <t>Gusto ko magbasa ng komiks .</t>
  </si>
  <si>
    <t>Zhǔchí rén shì shéi?</t>
  </si>
  <si>
    <t>Bạn có thường xuyên xem tin tức không?</t>
  </si>
  <si>
    <t>Lagi ka bang nanonood ng news ?</t>
  </si>
  <si>
    <t>Cháu thấy nó rất thú vị.</t>
  </si>
  <si>
    <t>Interesting ito para sa akin .</t>
  </si>
  <si>
    <t>Cháu muốn trở thành phóng viên.</t>
  </si>
  <si>
    <t>Gusto ko maging reporter .</t>
  </si>
  <si>
    <t>Cho cháu mượn tờ báo này nhé.</t>
  </si>
  <si>
    <t>Pahiram ng diyaryong ito .</t>
  </si>
  <si>
    <t>Wǒ kěyǐ huàn tái ma?</t>
  </si>
  <si>
    <t>Đây là tạp chí về thời trang.</t>
  </si>
  <si>
    <t>Fashion magazine ito .</t>
  </si>
  <si>
    <t>Bạn có tin vào quảng cáo không?</t>
  </si>
  <si>
    <t>Naniniwala ka ba sa commercial ?</t>
  </si>
  <si>
    <t>Yīnliàng tài dàle, nǐ néng diào xiǎo diǎn ma?</t>
  </si>
  <si>
    <t>Quảng cáo này hài hước quá!</t>
  </si>
  <si>
    <t>Nakakatawa ang advertisement na ito !</t>
  </si>
  <si>
    <t>Cháu tìm thấy thông tin này trên Google.</t>
  </si>
  <si>
    <t>Nahanap ko ang info sa Google .</t>
  </si>
  <si>
    <t>Wǒ zài tīng guǎngbò.</t>
  </si>
  <si>
    <t>Trang web này rất hữu ích.</t>
  </si>
  <si>
    <t>Useful ang website na ito .</t>
  </si>
  <si>
    <t>Đừng tin vào tin giả (Fake news) nhé.</t>
  </si>
  <si>
    <t>Huwag maniniwala sa fake news .</t>
  </si>
  <si>
    <t>Wǒ xiǎng zhīdào tiānqì yùbào.</t>
  </si>
  <si>
    <t>Chúng mình nên kiểm tra lại thông tin.</t>
  </si>
  <si>
    <t>Dapat nating i-check ang info .</t>
  </si>
  <si>
    <t>Bác có biết nhà báo này không?</t>
  </si>
  <si>
    <t>Kilala niyo ba ang journalist na ito ?</t>
  </si>
  <si>
    <t>Míngtiān huì xià yǔ ma?</t>
  </si>
  <si>
    <t>Cháu đang xem một bộ phim tài liệu.</t>
  </si>
  <si>
    <t>Nanonood ako ng documentary .</t>
  </si>
  <si>
    <t>Nó nói về đất nước Philippines.</t>
  </si>
  <si>
    <t>Tungkol ito sa Pilipinas .</t>
  </si>
  <si>
    <t>Xīnwén shuō huì yǒu bàofēngyǔ.</t>
  </si>
  <si>
    <t>Cháu thích xem các video khám phá.</t>
  </si>
  <si>
    <t>Gusto ko ng discovery videos .</t>
  </si>
  <si>
    <t>Cháu có thể phỏng vấn bác không?</t>
  </si>
  <si>
    <t>Pwede ba kayong i-interview ?</t>
  </si>
  <si>
    <t>Wǒ xǐhuān kàn mànhuà shū.</t>
  </si>
  <si>
    <t>Cháu sẽ ghi âm lại nhé.</t>
  </si>
  <si>
    <t>I-re-record ko ha .</t>
  </si>
  <si>
    <t>Cháu đang viết một bài báo nhỏ.</t>
  </si>
  <si>
    <t>Nagsusulat ako ng maikling balita .</t>
  </si>
  <si>
    <t>Nǐ jīngcháng kàn xīnwén ma?</t>
  </si>
  <si>
    <t>Chủ đề là về trường học của cháu.</t>
  </si>
  <si>
    <t>Ang topic ay tungkol sa school ko .</t>
  </si>
  <si>
    <t>Bạn có hay đọc blog không?</t>
  </si>
  <si>
    <t>Nagbabasa ka ba ng blog ?</t>
  </si>
  <si>
    <t>Wǒ juédé xīnwén hěn yǒuyìsi.</t>
  </si>
  <si>
    <t>Cháu thích xem các ngôi sao trên TV.</t>
  </si>
  <si>
    <t>Gusto ko makita ang mga sikat sa TV .</t>
  </si>
  <si>
    <t>Phim này bắt đầu lúc mấy giờ ạ?</t>
  </si>
  <si>
    <t>Anong oras magsisimula ang movie ?</t>
  </si>
  <si>
    <t>Wǒ xiǎng chéngwéi yī míng jìzhě.</t>
  </si>
  <si>
    <t>Có phụ đề tiếng Anh không ạ?</t>
  </si>
  <si>
    <t>May English subtitles ba ?</t>
  </si>
  <si>
    <t>Cháu muốn học tiếng Tagalog qua TV.</t>
  </si>
  <si>
    <t>Gusto ko matuto ng Tagalog sa TV .</t>
  </si>
  <si>
    <t>Wǒ kěyǐ jiè zhè fèn bàozhǐ ma?</t>
  </si>
  <si>
    <t>Bác giải thích tin này cho cháu nhé.</t>
  </si>
  <si>
    <t>Paki-explain sa akin ang balitang ito .</t>
  </si>
  <si>
    <t>Cháu thấy lo lắng về tin tức này.</t>
  </si>
  <si>
    <r>
      <rPr>
        <sz val="10"/>
        <color theme="1"/>
        <rFont val="Arial"/>
      </rPr>
      <t>Nag-</t>
    </r>
    <r>
      <rPr>
        <sz val="10"/>
        <color rgb="FFFF0000"/>
        <rFont val="Arial"/>
      </rPr>
      <t xml:space="preserve">aalala </t>
    </r>
    <r>
      <rPr>
        <sz val="10"/>
        <color theme="1"/>
        <rFont val="Arial"/>
      </rPr>
      <t>ako sa balitang ito .</t>
    </r>
  </si>
  <si>
    <r>
      <rPr>
        <sz val="10"/>
        <color theme="1"/>
        <rFont val="Arial"/>
      </rPr>
      <t xml:space="preserve">Aalala (Sẽ ghi nhớ / Sẽ chăm sóc)
Từ gốc: Alala (Kỷ niệm / Lo lắng / Nhớ)
Âm thanh tương tự: "Ao-là-lạ" hoặc "A-la-la"
5 Mẹo ghi nhớ:
</t>
    </r>
    <r>
      <rPr>
        <sz val="10"/>
        <color rgb="FFFF0000"/>
        <rFont val="Arial"/>
      </rPr>
      <t>Nhìn cái Ao thấy Là Lạ, tôi chắc chắn mình sẽ aalala (ghi nhớ) mãi hình ảnh này</t>
    </r>
    <r>
      <rPr>
        <sz val="10"/>
        <color theme="1"/>
        <rFont val="Arial"/>
      </rPr>
      <t>.
Bạn đứng bên bờ Ao thấy Lạ lẫm nên tự hứa sẽ aalala (chăm sóc) nơi này thật tốt.
"A-la-la": Tiếng hát "A la la" giúp bạn dễ dàng aalala (nhớ lại) những kỷ niệm cũ.
Tưởng tượng một cái Ao biết nói những điều Lạ lùng để bạn phải aalala.
Đừng thấy cái Ao Là Lạ mà quên không aalala (chăm sóc/để ý) đường đi nhé.</t>
    </r>
  </si>
  <si>
    <t>Zhè shì yī běn shíshàng zázhì.</t>
  </si>
  <si>
    <t>Đất nước đang phát triển rất tốt.</t>
  </si>
  <si>
    <t>Maganda ang takbo ng bansa .</t>
  </si>
  <si>
    <t>Chúc mọi người một ngày bình yên.</t>
  </si>
  <si>
    <t>Sana ay payapa ang araw ng lahat .</t>
  </si>
  <si>
    <t>Nǐ xiāngxìn guǎnggào ma?</t>
  </si>
  <si>
    <t>Cháu sẽ tắt TV đây ạ.</t>
  </si>
  <si>
    <t>Patatayin ko na ang TV .</t>
  </si>
  <si>
    <t>Cảm ơn bác đã cùng xem với cháu.</t>
  </si>
  <si>
    <t>Salamat sa pagsama sa akin manood .</t>
  </si>
  <si>
    <t>Zhège guǎnggào zhēn gǎoxiào!</t>
  </si>
  <si>
    <t>Cháu muốn mua một chiếc máy ảnh.</t>
  </si>
  <si>
    <t>Gusto ko bumili ng camera .</t>
  </si>
  <si>
    <t>Cháu sẽ chụp lại những tin tức hay.</t>
  </si>
  <si>
    <t>Kukuha ako ng litrato ng magagandang balita .</t>
  </si>
  <si>
    <t>Wǒ zài gǔgē shàng zhǎodàole zhèxiē xìnxī.</t>
  </si>
  <si>
    <t>Tin tốt lành sẽ đến thôi!</t>
  </si>
  <si>
    <t>Darating din ang magandang balita !</t>
  </si>
  <si>
    <t>Zhège wǎngzhàn hěn yǒuyòng.</t>
  </si>
  <si>
    <t>Bùyào xiāngxìn jiǎ xīnwén.</t>
  </si>
  <si>
    <t>Wǒmen yīnggāi héshí xìnxī.</t>
  </si>
  <si>
    <t>Nǐ rènshí zhè wèi jìzhě ma?</t>
  </si>
  <si>
    <t>Wǒ zài kàn yī bù jìlùpiàn.</t>
  </si>
  <si>
    <t>Shì guānyú fēilǜbīn de.</t>
  </si>
  <si>
    <t>Wǒ xǐhuān kàn tànsuǒ lèi shìpín.</t>
  </si>
  <si>
    <t>Wǒ kěyǐ cǎifǎng nǐ ma?</t>
  </si>
  <si>
    <t>Wǒ huì lù xiàlái.</t>
  </si>
  <si>
    <t>Wǒ zài xiě yī piān duǎnwén.</t>
  </si>
  <si>
    <t>Zhǔtí shì guānyú wǒ de xuéxiào.</t>
  </si>
  <si>
    <t>Nǐ jīngcháng kàn bókè ma?</t>
  </si>
  <si>
    <t>Wǒ xǐhuān kàn diànshì shàng de míngrén.</t>
  </si>
  <si>
    <t>Yǒu yīngwén zìmù ma?</t>
  </si>
  <si>
    <t>Wǒ xiǎng tōngguò diànshì xuéxí tā jiā lù yǔ.</t>
  </si>
  <si>
    <t>Nǐ néng gěi wǒ jiěshì yīxià zhè tiáo xīnwén ma?</t>
  </si>
  <si>
    <t>Wǒ hěn dānxīn zhè tiáo xīnwén.</t>
  </si>
  <si>
    <t>Zhège guójiā fāzhǎn dé hěn hǎo.</t>
  </si>
  <si>
    <t>Zhù dàjiā jīntiān píng'ān xǐlè.</t>
  </si>
  <si>
    <t>Wǒ yào guān diànshìle.</t>
  </si>
  <si>
    <t>Xièxiè nǐ péi wǒ yīqǐ kàn.</t>
  </si>
  <si>
    <t>Wǒ xiǎng mǎi yī tái xiàngjī.</t>
  </si>
  <si>
    <t>Wǒ yào pāi xià yǒuqù de xīnwén.</t>
  </si>
  <si>
    <t>Hǎo xiāoxī hěn kuài jiù huì dàolái!</t>
  </si>
  <si>
    <t>Chủ đề 24: Môi trường và Thiên tai</t>
  </si>
  <si>
    <t>Chúng mình cần bảo vệ môi trường.</t>
  </si>
  <si>
    <t>Kailangan nating protektahan ang kapaligiran .</t>
  </si>
  <si>
    <t>Wǒmen xūyào bǎohù huánjìng.</t>
  </si>
  <si>
    <t>Đừng vứt rác bừa bãi nhé.</t>
  </si>
  <si>
    <t>Huwag magkakalat ng basura .</t>
  </si>
  <si>
    <t>Hãy bỏ rác vào thùng.</t>
  </si>
  <si>
    <t>Itapon ang basura sa trash can .</t>
  </si>
  <si>
    <t>Bùyào luàn rēng lèsè.</t>
  </si>
  <si>
    <t>Cháu đang trồng cây.</t>
  </si>
  <si>
    <t>Nagtatanim ako ng puno .</t>
  </si>
  <si>
    <t>Cây xanh giúp chúng ta thở tốt hơn.</t>
  </si>
  <si>
    <t>Nakatutulong ang mga puno para makahinga .</t>
  </si>
  <si>
    <t>Bǎ lèsè rēng jìn lèsè tǒng.</t>
  </si>
  <si>
    <t>Cháu muốn nhặt rác ở bãi biển.</t>
  </si>
  <si>
    <t>Gusto ko mamulot ng basura sa dagat .</t>
  </si>
  <si>
    <t>Đừng lãng phí nước nhé.</t>
  </si>
  <si>
    <t>Huwag mag-aksaya ng tubig .</t>
  </si>
  <si>
    <t>Wǒ zài zhǒng shù.</t>
  </si>
  <si>
    <t>Tắt đèn khi không sử dụng ạ.</t>
  </si>
  <si>
    <t>Patayin ang ilaw kapag hindi ginagamit .</t>
  </si>
  <si>
    <t>Cháu dùng túi vải thay vì túi nilon.</t>
  </si>
  <si>
    <t>Gumagamit ako ng eco-bag .</t>
  </si>
  <si>
    <t>Lǜ shù néng ràng wǒmen hūxī gèng shùnchàng.</t>
  </si>
  <si>
    <t>Tái chế đồ cũ rất tốt.</t>
  </si>
  <si>
    <t>Maganda ang mag-recycle .</t>
  </si>
  <si>
    <t>Không khí hôm nay hơi ô nhiễm.</t>
  </si>
  <si>
    <t>Medyo polluted ang hangin ngayon .</t>
  </si>
  <si>
    <t>Wǒ xiǎng qù hǎitān jiǎn lèsè.</t>
  </si>
  <si>
    <t>Cháu sẽ đeo khẩu trang.</t>
  </si>
  <si>
    <t>Magsuot tayo ng face mask .</t>
  </si>
  <si>
    <t>Có bão đang đến phải không ạ?</t>
  </si>
  <si>
    <t>May bagyo bang dumarating ?</t>
  </si>
  <si>
    <t>Bùyào làngfèi shuǐ.</t>
  </si>
  <si>
    <t>Bão tên là gì thế ạ?</t>
  </si>
  <si>
    <t>Ano pangalan ng bagyo ?</t>
  </si>
  <si>
    <t>Trời sắp mưa to rồi.</t>
  </si>
  <si>
    <t>Malakas ang ulan .</t>
  </si>
  <si>
    <t>Bùyòng dēng de shíhòu qǐng guān dēng.</t>
  </si>
  <si>
    <t>Gió thổi rất mạnh!</t>
  </si>
  <si>
    <t>Ang lakas ng hangin !</t>
  </si>
  <si>
    <t>Cháu sợ sấm sét quá.</t>
  </si>
  <si>
    <t>Takot ako sa kulog at kidlat .</t>
  </si>
  <si>
    <t>Wǒ yòng bùdài dàitì sùliào dài.</t>
  </si>
  <si>
    <t>Đừng đi ra ngoài khi trời bão nhé.</t>
  </si>
  <si>
    <t>Huwag lalabas kapag may bagyo .</t>
  </si>
  <si>
    <t>Chúng mình nên chuẩn bị đồ cứu hộ.</t>
  </si>
  <si>
    <t>Dapat tayong maghanda ng emergency kit .</t>
  </si>
  <si>
    <t>Huíshōu jiùwù fēicháng hǎo.</t>
  </si>
  <si>
    <t>Có nến và đèn pin chưa ạ?</t>
  </si>
  <si>
    <t>May kandila at flashlight na ba ?</t>
  </si>
  <si>
    <t>Cháu sẽ sạc đầy điện thoại.</t>
  </si>
  <si>
    <t>I-cha-charge ko nang full ang phone .</t>
  </si>
  <si>
    <t>Jīntiān kōngqì yǒudiǎn wūrǎn.</t>
  </si>
  <si>
    <t>Có đồ ăn dự trữ không ạ?</t>
  </si>
  <si>
    <t>May stock ba tayong pagkain ?</t>
  </si>
  <si>
    <t>Động đất kìa! Bình tĩnh nhé!</t>
  </si>
  <si>
    <t>Lindol ! Chill lang tayo !</t>
  </si>
  <si>
    <t>Wǒ huì dài kǒuzhào.</t>
  </si>
  <si>
    <t>Hãy chui xuống gầm bàn.</t>
  </si>
  <si>
    <t>Pumunta tayo sa ilalim ng mesa .</t>
  </si>
  <si>
    <t>Đừng dùng thang máy khi động đất.</t>
  </si>
  <si>
    <t>Huwag gumamit ng elevator .</t>
  </si>
  <si>
    <t>Bàofēngyǔ yào láile ma?</t>
  </si>
  <si>
    <t>Chạy ra chỗ trống rộng rãi ạ.</t>
  </si>
  <si>
    <t>Pumunta tayo sa open area .</t>
  </si>
  <si>
    <t>Cháu cảm thấy rung lắc.</t>
  </si>
  <si>
    <t>Nararamdaman ko ang pagyanig .</t>
  </si>
  <si>
    <t>Zhè chǎng bàofēngyǔ jiào shénme míngzì?</t>
  </si>
  <si>
    <t>Mọi chuyện ổn rồi, đừng lo.</t>
  </si>
  <si>
    <t>Okay na ang lahat , huwag mag-alala .</t>
  </si>
  <si>
    <t>Có cảnh báo sóng thần không ạ?</t>
  </si>
  <si>
    <t>May tsunami warning ba ?</t>
  </si>
  <si>
    <t>Hěn kuài jiù yào xià dàyǔle.</t>
  </si>
  <si>
    <t>Hãy di chuyển lên chỗ cao hơn.</t>
  </si>
  <si>
    <t>Pumunta tayo sa mataas na lugar .</t>
  </si>
  <si>
    <t>Nước lũ đang dâng cao.</t>
  </si>
  <si>
    <t>Tumataas ang baha .</t>
  </si>
  <si>
    <t>Fēng guā dé hěn dà!</t>
  </si>
  <si>
    <t>Đừng lội nước lũ, bẩn lắm.</t>
  </si>
  <si>
    <t>Huwag mag-tampisaw sa baha .</t>
  </si>
  <si>
    <t>Cháu bị ướt hết đồ rồi.</t>
  </si>
  <si>
    <t>Basang-basa ang damit ko .</t>
  </si>
  <si>
    <t>Wǒ hǎo hàipà dǎléi hé shǎndiàn.</t>
  </si>
  <si>
    <t>Lau khô người kẻo cảm lạnh nhé.</t>
  </si>
  <si>
    <t>Magpatuyo kayo baka sipunin .</t>
  </si>
  <si>
    <t>Cháu hy vọng trời sẽ nắng sớm.</t>
  </si>
  <si>
    <t>Sana ay umaraw na .</t>
  </si>
  <si>
    <t>Bàofēngyǔ de shíhòu bùyào chūmén.</t>
  </si>
  <si>
    <t>Nhìn kìa, có cầu vồng!</t>
  </si>
  <si>
    <t>Tingnan niyo , may bahaghari !</t>
  </si>
  <si>
    <t>Môi trường sạch thì chúng ta khỏe.</t>
  </si>
  <si>
    <t>Kapag malinis ang kapaligiran , healthy tayo .</t>
  </si>
  <si>
    <t>Wǒmen yīnggāi zhǔnbèi yīxiē yìngjí wùzī.</t>
  </si>
  <si>
    <t>Cháu yêu thiên nhiên xanh.</t>
  </si>
  <si>
    <t>Mahal ko ang luntiang kalikasan .</t>
  </si>
  <si>
    <t>Chúng mình cùng dọn dẹp nhé.</t>
  </si>
  <si>
    <t>Maglinis tayo nang sabay-sabay .</t>
  </si>
  <si>
    <t>Nǐ yǒu làzhú hé shǒudiàntǒng ma?</t>
  </si>
  <si>
    <t>Cháu sẽ không dùng ống hút nhựa.</t>
  </si>
  <si>
    <t>Hindi na ako gagamit ng plastic straw .</t>
  </si>
  <si>
    <t>Philippines có nhiều núi lửa không ạ?</t>
  </si>
  <si>
    <t>Marami bang bulkan sa Pilipinas ?</t>
  </si>
  <si>
    <t>Wǒ yào bǎ shǒujī chōngmǎn diàn.</t>
  </si>
  <si>
    <t>Núi lửa Mayon rất đẹp.</t>
  </si>
  <si>
    <t>Napakalanda ng Bulkang Mayon .</t>
  </si>
  <si>
    <t>Nó có đang hoạt động không ạ?</t>
  </si>
  <si>
    <t>Active ba ito ?</t>
  </si>
  <si>
    <t>Nǐ yǒu shíwù chúbèi ma?</t>
  </si>
  <si>
    <t>Cháu muốn xem khói phun ra.</t>
  </si>
  <si>
    <t>Gusto ko makita ang usok .</t>
  </si>
  <si>
    <t>Nhưng phải đứng ở xa cho an toàn.</t>
  </si>
  <si>
    <t>Pero dapat malayo tayo para safe .</t>
  </si>
  <si>
    <t>Dìzhènle! Bǎochí lěngjìng!</t>
  </si>
  <si>
    <t>Cháu sẽ kể cho bạn nghe về môi trường.</t>
  </si>
  <si>
    <t>Ikwento ko sa mga kaibigan ang tungkol sa environment .</t>
  </si>
  <si>
    <t>Chúng mình là những chiến binh xanh!</t>
  </si>
  <si>
    <t>Mga green warriors tayo !</t>
  </si>
  <si>
    <t>Pá dào zhuōzǐ dǐxia.</t>
  </si>
  <si>
    <t>Cảm ơn bác đã dạy cháu về an toàn.</t>
  </si>
  <si>
    <t>Salamat sa pagtuturo ng safety .</t>
  </si>
  <si>
    <t>Chúc Trái Đất của chúng ta luôn đẹp.</t>
  </si>
  <si>
    <t>Sana ay laging maganda ang mundo .</t>
  </si>
  <si>
    <t>Dìzhèn shí bùyào chéngzuò diàntī.</t>
  </si>
  <si>
    <t>Chúc mọi người luôn an toàn!</t>
  </si>
  <si>
    <t>Ingat ang lahat !</t>
  </si>
  <si>
    <t>Kuài pǎo dào kōngkuàng dì dìfāng.</t>
  </si>
  <si>
    <t>Wǒ gǎnjué dàole zhèndòng.</t>
  </si>
  <si>
    <t>Méishì de, bié dānxīn.</t>
  </si>
  <si>
    <t>Yǒu hǎixiào yùjǐng ma?</t>
  </si>
  <si>
    <t>Qù dìshì gāo dì dìfāng.</t>
  </si>
  <si>
    <t>Hóngshuǐ shàngzhǎngle.</t>
  </si>
  <si>
    <t>Bùyào tàngguò hóngshuǐ, shuǐ hěn zàng.</t>
  </si>
  <si>
    <t>Wǒ de yīfú dōu shīle.</t>
  </si>
  <si>
    <t>Cā gān shēntǐ, miǎndé zháoliáng.</t>
  </si>
  <si>
    <t>Xīwàng hěn kuài jiù néng fàngqíng.</t>
  </si>
  <si>
    <t>Kàn, yǒu cǎihóng!</t>
  </si>
  <si>
    <t>Gānjìng de huánjìng yìwèizhe wǒmen gèng jiànkāng.</t>
  </si>
  <si>
    <t>Wǒ xǐhuān lǜsè de zìrán.</t>
  </si>
  <si>
    <t>Wǒmen yī qǐlái qīnglǐ ba.</t>
  </si>
  <si>
    <t>Wǒ bù huì shǐyòng sùliào xīguǎn.</t>
  </si>
  <si>
    <t>Fēilǜbīn yǒu hěnduō huǒshān ma?</t>
  </si>
  <si>
    <t>Mǎ róng huǒshān zhēn piàoliang.</t>
  </si>
  <si>
    <t>Tā shì huó huǒshān ma?</t>
  </si>
  <si>
    <t>Wǒ xiǎng kàn kàn tā mào chū de yān.</t>
  </si>
  <si>
    <t>Dàn wèile ānquán qǐjiàn, wǒmen bìxū zhàn yuǎn diǎn.</t>
  </si>
  <si>
    <t>Wǒ huì gàosù wǒ de péngyǒu guānyú huánjìng de shìqíng.</t>
  </si>
  <si>
    <t>Wǒmen shì huánbǎo wèishì!</t>
  </si>
  <si>
    <t>Xièxiè nǐ jiào wǒ ānquán zhīshì.</t>
  </si>
  <si>
    <t>Yuàn wǒmen dì dìqiú yǒngyuǎn měilì.</t>
  </si>
  <si>
    <t>Yuàn měi gèrén dōu píng'ān!</t>
  </si>
  <si>
    <t>Chủ đề 25: Sở thích và Đam mê</t>
  </si>
  <si>
    <t>Bạn thích làm gì lúc rảnh rỗi?</t>
  </si>
  <si>
    <t>Ano hobby mo ?</t>
  </si>
  <si>
    <t>Gusto ko makinig ng music .</t>
  </si>
  <si>
    <t>Bạn có thích đọc sách không?</t>
  </si>
  <si>
    <t>Mahilig ka bang magbasa ?</t>
  </si>
  <si>
    <t>Cháu đam mê nấu ăn.</t>
  </si>
  <si>
    <t>Hilig ko ang magluto .</t>
  </si>
  <si>
    <t>Cháu thích sưu tập tem.</t>
  </si>
  <si>
    <t>Nag-iipon ako ng stamps .</t>
  </si>
  <si>
    <t>Gusto ko mag-video games .</t>
  </si>
  <si>
    <t>Nǐ xǐhuān dúshū ma?</t>
  </si>
  <si>
    <t>Bạn chơi nhạc cụ gì không?</t>
  </si>
  <si>
    <t>Tumutugtog ka ba ng instrument ?</t>
  </si>
  <si>
    <t>Cháu biết chơi đàn Piano.</t>
  </si>
  <si>
    <t>Marunong akong mag-piano .</t>
  </si>
  <si>
    <t>Wǒ rè'ài pēngrèn.</t>
  </si>
  <si>
    <t>Cháu muốn học chơi đàn Guitar.</t>
  </si>
  <si>
    <t>Gusto ko matutong mag-gitara .</t>
  </si>
  <si>
    <t>Giọng bạn hát hay quá!</t>
  </si>
  <si>
    <t>Ang ganda ng boses mo !</t>
  </si>
  <si>
    <t>Wǒ xǐhuān jíyóu.</t>
  </si>
  <si>
    <t>Cháu thích đi chụp ảnh.</t>
  </si>
  <si>
    <t>Hilig ko kumuha ng litrato .</t>
  </si>
  <si>
    <t>Cháu có một chiếc máy ảnh nhỏ.</t>
  </si>
  <si>
    <t>May maliit akong camera .</t>
  </si>
  <si>
    <t>Cháu thích xem phim hoạt hình Nhật Bản.</t>
  </si>
  <si>
    <t>Gusto ko ng Anime .</t>
  </si>
  <si>
    <t>Bạn có thích nhảy múa không?</t>
  </si>
  <si>
    <t>Mahilig ka bang sumayaw ?</t>
  </si>
  <si>
    <t>Nǐ huì yǎnzòu yuèqì ma?</t>
  </si>
  <si>
    <t>Cháu thích nhảy hiện đại.</t>
  </si>
  <si>
    <t>Gusto ko ng modern dance .</t>
  </si>
  <si>
    <t>Cháu thích làm đồ thủ công.</t>
  </si>
  <si>
    <t>Gusto ko gumawa ng crafts .</t>
  </si>
  <si>
    <t>Wǒ huì dàn gāngqín.</t>
  </si>
  <si>
    <t>Cháu đang làm một cái thiệp.</t>
  </si>
  <si>
    <t>Gumagawa ako ng card .</t>
  </si>
  <si>
    <t>Cháu thích trồng hoa hồng.</t>
  </si>
  <si>
    <t>Gusto ko magtanim ng rosas .</t>
  </si>
  <si>
    <t>Wǒ xiǎng xué jítā.</t>
  </si>
  <si>
    <t>Bạn thích môn thể thao nào?</t>
  </si>
  <si>
    <t>Anong sports ang gusto mo ?</t>
  </si>
  <si>
    <t>Cháu rất thích đá bóng.</t>
  </si>
  <si>
    <t>Gusto ko mag-football .</t>
  </si>
  <si>
    <t>Nǐ de gēshēng zhēn hǎotīng!</t>
  </si>
  <si>
    <t>Cháu thích đi dạo trong công viên.</t>
  </si>
  <si>
    <t>Cháu thích viết nhật ký.</t>
  </si>
  <si>
    <t>Nagsusulat ako sa diary .</t>
  </si>
  <si>
    <t>Wǒ xǐhuān pāizhào.</t>
  </si>
  <si>
    <t>Cháu muốn trở thành họa sĩ.</t>
  </si>
  <si>
    <t>Gusto ko maging artist .</t>
  </si>
  <si>
    <t>Ước mơ của bạn là gì?</t>
  </si>
  <si>
    <t>Ano pangarap mo ?</t>
  </si>
  <si>
    <t>Wǒ yǒuyī tái xiǎoxíng xiàngjī.</t>
  </si>
  <si>
    <t>Cháu thích học ngoại ngữ.</t>
  </si>
  <si>
    <t>Gusto ko mag-aral ng languages .</t>
  </si>
  <si>
    <t>Cháu đang học tiếng Tagalog.</t>
  </si>
  <si>
    <t>Wǒ xǐhuān kàn rìběn dòngmàn.</t>
  </si>
  <si>
    <t>Nó rất thú vị!</t>
  </si>
  <si>
    <t>Napakasaya nito !</t>
  </si>
  <si>
    <t>Cháu thích đi xem triển lãm.</t>
  </si>
  <si>
    <t>Gusto ko pumunta sa exhibit .</t>
  </si>
  <si>
    <t>Nǐ xǐhuān tiàowǔ ma?</t>
  </si>
  <si>
    <t>Gusto mo bang mag-alaga ng pet ?</t>
  </si>
  <si>
    <t>Cháu thích chăm sóc mèo.</t>
  </si>
  <si>
    <t>Gusto ko mag-alaga ng pusa .</t>
  </si>
  <si>
    <t>Wǒ xǐhuān xiàndài wǔ.</t>
  </si>
  <si>
    <t>Cháu thích chơi cờ vua.</t>
  </si>
  <si>
    <t>Cháu thích giải đố.</t>
  </si>
  <si>
    <t>Gusto ko ng puzzles .</t>
  </si>
  <si>
    <t>Wǒ xǐhuān zuò shǒugōng.</t>
  </si>
  <si>
    <t>Bạn có hay xem TikTok không?</t>
  </si>
  <si>
    <t>Nanonood ka ba ng TikTok ?</t>
  </si>
  <si>
    <t>Cháu thích làm video ngắn.</t>
  </si>
  <si>
    <t>Gusto ko gumawa ng short videos .</t>
  </si>
  <si>
    <t>Wǒ zài zuò hèkǎ.</t>
  </si>
  <si>
    <t>Cháu thích đi bơi vào mùa hè.</t>
  </si>
  <si>
    <t>Gusto ko lumangoy tuwing summer .</t>
  </si>
  <si>
    <t>Cháu thích ngắm nhìn bầu trời.</t>
  </si>
  <si>
    <t>Gusto ko tumingin sa langit .</t>
  </si>
  <si>
    <t>Wǒ xǐhuān zhǒng méiguī.</t>
  </si>
  <si>
    <t>Bạn có thích thiên văn học không?</t>
  </si>
  <si>
    <t>Gusto mo ba ng astronomy ?</t>
  </si>
  <si>
    <t>Cháu thích xem các vì sao.</t>
  </si>
  <si>
    <t>Gusto ko tignan ang mga bituin .</t>
  </si>
  <si>
    <t>Nǐ xǐhuān shénme yùndòng?</t>
  </si>
  <si>
    <t>Cháu thích đi mua sắm.</t>
  </si>
  <si>
    <t>Gusto ko mag-shopping .</t>
  </si>
  <si>
    <t>Cháu thích ăn vặt.</t>
  </si>
  <si>
    <t>Gusto ko ng snacks .</t>
  </si>
  <si>
    <t>Wǒ fēicháng xǐhuān tī zúqiú.</t>
  </si>
  <si>
    <t>Cháu thích đi cắm trại.</t>
  </si>
  <si>
    <t>Gusto ko mag-camping .</t>
  </si>
  <si>
    <t>Cháu thích kể chuyện cười.</t>
  </si>
  <si>
    <t>Gusto ko magkwento ng jokes .</t>
  </si>
  <si>
    <t>Wǒ xǐhuān zài gōngyuán sànbù.</t>
  </si>
  <si>
    <t>Bạn thật hài hước!</t>
  </si>
  <si>
    <t>Ang joker niyo !</t>
  </si>
  <si>
    <t>Cháu thích trang trí phòng.</t>
  </si>
  <si>
    <t>Gusto ko mag-decorate ng kwarto .</t>
  </si>
  <si>
    <t>Wǒ xǐhuān xiě rìjì.</t>
  </si>
  <si>
    <t>Cháu thích gấp giấy Origami.</t>
  </si>
  <si>
    <t>Gusto ko mag-origami .</t>
  </si>
  <si>
    <t>Cháu thích tập thể dục buổi sáng.</t>
  </si>
  <si>
    <t>Nag-e-ehersisyo ako tuwing umaga .</t>
  </si>
  <si>
    <t>Wǒ xiǎng chéngwéi yī míng yìshùjiā.</t>
  </si>
  <si>
    <t>Nó giúp cháu khỏe mạnh.</t>
  </si>
  <si>
    <t>Para healthy ako .</t>
  </si>
  <si>
    <t>Cháu thích chia sẻ sở thích với bạn.</t>
  </si>
  <si>
    <t>Gusto ko i-share ang hobby ko sa iyo .</t>
  </si>
  <si>
    <t>Nǐ de mèngxiǎng shì shénme?</t>
  </si>
  <si>
    <t>Hãy cùng làm nhé!</t>
  </si>
  <si>
    <t>Gawin natin nang sabay !</t>
  </si>
  <si>
    <t>Wǒ xǐhuān xuéxí wàiyǔ.</t>
  </si>
  <si>
    <t xml:space="preserve">Zhēn yǒuqù! </t>
  </si>
  <si>
    <t>Wǒ xǐhuān guàng zhǎnlǎn.</t>
  </si>
  <si>
    <t>Wǒ xǐhuān zhàogù māo.</t>
  </si>
  <si>
    <t>Wǒ xǐhuān jiě mí.</t>
  </si>
  <si>
    <t>Nǐ jīngcháng kàn TikTok ma?</t>
  </si>
  <si>
    <t>Wǒ xǐhuān zhìzuò duǎn shìpín.</t>
  </si>
  <si>
    <t>Wǒ xǐhuān xiàtiān yóuyǒng.</t>
  </si>
  <si>
    <t>Wǒ xǐhuān kàn tiānkōng.</t>
  </si>
  <si>
    <t>Nǐ xǐhuān tiānwénxué ma?</t>
  </si>
  <si>
    <t>Wǒ xǐhuān kàn xīngxīng.</t>
  </si>
  <si>
    <t>Wǒ xǐhuān gòuwù.</t>
  </si>
  <si>
    <t>Wǒ xǐhuān chī língshí.</t>
  </si>
  <si>
    <t>Wǒ xǐhuān lùyíng.</t>
  </si>
  <si>
    <t>Wǒ xǐhuān jiǎng xiàohuà.</t>
  </si>
  <si>
    <t>Wǒ xǐhuān zhuāngshì wǒ de fángjiān.</t>
  </si>
  <si>
    <t>Wǒ xǐhuān zhézhǐ.</t>
  </si>
  <si>
    <t>Wǒ xǐhuān zuò chénliàn.</t>
  </si>
  <si>
    <t>Zhè yǒu zhù yú wǒ bǎochí jiànkāng.</t>
  </si>
  <si>
    <t>Wǒ xǐhuān hé nǐ fēnxiǎng wǒ de àihào.</t>
  </si>
  <si>
    <t>Wǒmen yīqǐ zuò ba!</t>
  </si>
  <si>
    <t>Chủ đề 26: Ngày nghỉ và Du lịch</t>
  </si>
  <si>
    <t>Sắp đến kỳ nghỉ rồi!</t>
  </si>
  <si>
    <t>Bakasyon na !</t>
  </si>
  <si>
    <t>Jiàqī kuài dàole!</t>
  </si>
  <si>
    <t>Chúng mình sẽ đi đâu ạ?</t>
  </si>
  <si>
    <t>Saan tayo pupunta ?</t>
  </si>
  <si>
    <t>Cháu muốn đi biển Boracay.</t>
  </si>
  <si>
    <t>Gusto ko pumunta sa Boracay .</t>
  </si>
  <si>
    <t>Wǒmen yào qù nǎlǐ?</t>
  </si>
  <si>
    <t>Cháu muốn đi thăm ruộng bậc thang.</t>
  </si>
  <si>
    <t>Gusto ko makita ang Rice Terraces .</t>
  </si>
  <si>
    <t>Chúng mình sẽ đi bằng gì ạ?</t>
  </si>
  <si>
    <t>Ano sasakyan natin ?</t>
  </si>
  <si>
    <t>Wǒ xiǎng qù zhǎngtān dǎo.</t>
  </si>
  <si>
    <t>Đi bằng máy bay phải không ạ?</t>
  </si>
  <si>
    <t>Sasakay ba tayo ng eroplano ?</t>
  </si>
  <si>
    <t>Cháu cần chuẩn bị hành lý.</t>
  </si>
  <si>
    <t>Mag-e-empake ako ng gamit .</t>
  </si>
  <si>
    <t>Wǒ xiǎng qù cānguān tītián.</t>
  </si>
  <si>
    <t>Đừng quên mang theo đồ bơi nhé.</t>
  </si>
  <si>
    <t>Huwag kalimutan ang swimwear .</t>
  </si>
  <si>
    <t>Cháu đã để kem chống nắng vào túi rồi.</t>
  </si>
  <si>
    <t>Nasa bag na ang sunscreen .</t>
  </si>
  <si>
    <t>Wǒmen zěnme qù?</t>
  </si>
  <si>
    <t>Cháu cần mang theo mũ.</t>
  </si>
  <si>
    <t>Kailangan ko magdala ng sumbrero .</t>
  </si>
  <si>
    <t>Đường đi có xa không ạ?</t>
  </si>
  <si>
    <t>Malayo ba ang biyahe ?</t>
  </si>
  <si>
    <t>Zuò fēijī, duì ba?</t>
  </si>
  <si>
    <t>Cháu thấy rất hào hứng!</t>
  </si>
  <si>
    <t>Excited na ako !</t>
  </si>
  <si>
    <t>Cháu muốn ngồi gần cửa sổ.</t>
  </si>
  <si>
    <t>Gusto ko maupo sa tabi ng bintana .</t>
  </si>
  <si>
    <t>Wǒ dé shōushí xínglǐle.</t>
  </si>
  <si>
    <t>Cháu có bị say xe không?</t>
  </si>
  <si>
    <t>Nalulula ka ba sa biyahe ?</t>
  </si>
  <si>
    <t>Cho cháu uống thuốc chống say nhé.</t>
  </si>
  <si>
    <t>Pahingi ng gamot sa biyahe .</t>
  </si>
  <si>
    <t>Bié wàngle dài yǒngyī.</t>
  </si>
  <si>
    <t>Chúng mình ở khách sạn nào ạ?</t>
  </si>
  <si>
    <t>Saang hotel tayo tutuloy ?</t>
  </si>
  <si>
    <t>Khách sạn có hồ bơi không ạ?</t>
  </si>
  <si>
    <t>May pool ba sa hotel ?</t>
  </si>
  <si>
    <t>Wǒ yǐjīng bǎ fángshài shuāng fàng jìn bāo lǐle.</t>
  </si>
  <si>
    <t>Cháu muốn đi ngắm cảnh.</t>
  </si>
  <si>
    <t>Gusto ko mag-sightseeing .</t>
  </si>
  <si>
    <t>Ở đây đẹp quá!</t>
  </si>
  <si>
    <t>Ang ganda rito !</t>
  </si>
  <si>
    <t>Wǒ xūyào dài màozǐ.</t>
  </si>
  <si>
    <t>Chụp cho cháu một bức ảnh nhé.</t>
  </si>
  <si>
    <t>Paki-picture naman ako .</t>
  </si>
  <si>
    <t>Cháu muốn mua quà lưu niệm.</t>
  </si>
  <si>
    <t>Gusto ko bumili ng souvenirs .</t>
  </si>
  <si>
    <t>Lùtú yáoyuǎn ma?</t>
  </si>
  <si>
    <t>Cái này giá bao nhiêu ạ?</t>
  </si>
  <si>
    <t>Cháu muốn ăn đặc sản ở đây.</t>
  </si>
  <si>
    <t>Gusto ko kumain ng local food .</t>
  </si>
  <si>
    <t>Wǒ hǎo xīngfèn!</t>
  </si>
  <si>
    <t>Có món gì ngon không ạ?</t>
  </si>
  <si>
    <t>Ano masarap kainin dito ?</t>
  </si>
  <si>
    <t>Cháu thích đi dạo trên bãi cát.</t>
  </si>
  <si>
    <t>Gusto ko maglakad sa buhangin .</t>
  </si>
  <si>
    <t>Wǒ xiǎng zuò zài kào chuāng de wèizhì.</t>
  </si>
  <si>
    <t>Sóng biển to quá!</t>
  </si>
  <si>
    <t>Ang laki ng alon !</t>
  </si>
  <si>
    <t>Đừng bơi ra xa nhé.</t>
  </si>
  <si>
    <t>Huwag lalangoy sa malayo .</t>
  </si>
  <si>
    <t>Wǒ huì yùnjī ma?</t>
  </si>
  <si>
    <t>Cháu muốn đi tàu thủy.</t>
  </si>
  <si>
    <t>Gusto ko sumakay ng barko .</t>
  </si>
  <si>
    <t>Cháu muốn đi lặn ngắm san hô.</t>
  </si>
  <si>
    <t>Gusto ko mag-snorkeling .</t>
  </si>
  <si>
    <t>Qǐng gěi wǒ yīxiē yùnjī yào.</t>
  </si>
  <si>
    <t>Cháu thấy rất nhiều cá màu sắc.</t>
  </si>
  <si>
    <t>Ang dami makukulay na isda .</t>
  </si>
  <si>
    <t>Chúng mình sẽ đi leo núi chứ ạ?</t>
  </si>
  <si>
    <t>Mag-ha-hiking ba tayo ?</t>
  </si>
  <si>
    <t>Wǒmen zhù zài nǎ jiā jiǔdiàn?</t>
  </si>
  <si>
    <t>Nhớ mang theo nước uống nhé.</t>
  </si>
  <si>
    <t>Magdala tayo ng tubig .</t>
  </si>
  <si>
    <t>Cháu muốn đi thăm bảo tàng.</t>
  </si>
  <si>
    <t>Gusto ko pumunta sa museum .</t>
  </si>
  <si>
    <t>Jiǔdiàn yǒu yóuyǒngchí ma?</t>
  </si>
  <si>
    <t>Cháu muốn học về lịch sử nơi này.</t>
  </si>
  <si>
    <t>Gusto ko matuto ng history dito .</t>
  </si>
  <si>
    <t>Ở đây có bản đồ không ạ?</t>
  </si>
  <si>
    <t>May map ba rito ?</t>
  </si>
  <si>
    <t>Wǒ xiǎng qù guānguāng.</t>
  </si>
  <si>
    <t>Làm ơn giúp cháu với.</t>
  </si>
  <si>
    <t>Paki-tulong naman .</t>
  </si>
  <si>
    <t>Zhèlǐ zhēnměi!</t>
  </si>
  <si>
    <t>Cháu đang tìm đường về khách sạn.</t>
  </si>
  <si>
    <t>Hinahanap ko ang daan pabalik sa hotel .</t>
  </si>
  <si>
    <t>Hôm nay đi bộ nhiều quá, cháu mỏi chân.</t>
  </si>
  <si>
    <t>Pagod na ang paa ko sa kalalakad .</t>
  </si>
  <si>
    <t>Qǐng bāng wǒ pāi zhāng zhàopiàn.</t>
  </si>
  <si>
    <t>Nghỉ một chút nhé bác.</t>
  </si>
  <si>
    <t>Cháu muốn mua kem.</t>
  </si>
  <si>
    <t>Gusto ko bumili ng ice cream .</t>
  </si>
  <si>
    <t>Thời tiết hôm nay thật tuyệt để đi chơi.</t>
  </si>
  <si>
    <t>Ang ganda ng panahon para mamasyal .</t>
  </si>
  <si>
    <t>Cháu không muốn về nhà chút nào.</t>
  </si>
  <si>
    <t>Ayaw ko pa umuwi .</t>
  </si>
  <si>
    <t>Cháu rất thích chuyến đi này.</t>
  </si>
  <si>
    <t>Nagustuhan ko ang trip na ito .</t>
  </si>
  <si>
    <t>Cảm ơn bác đã đưa cháu đi.</t>
  </si>
  <si>
    <t>Salamat sa pagpasyal sa akin .</t>
  </si>
  <si>
    <t>Wǒ xiǎng cháng cháng dāngdì de tèsè cài.</t>
  </si>
  <si>
    <t>Lần sau mình lại đi nhé.</t>
  </si>
  <si>
    <t>Ulitin natin ito sa susunod .</t>
  </si>
  <si>
    <t>Cháu sẽ kể cho bạn bè nghe.</t>
  </si>
  <si>
    <t>Ikwento ko ito sa mga friends ko .</t>
  </si>
  <si>
    <t>Yǒu shé me hào chī de ma?</t>
  </si>
  <si>
    <t>Cháu đã quay được nhiều video đẹp.</t>
  </si>
  <si>
    <t>Marami akong nakuhang magandang video .</t>
  </si>
  <si>
    <t>Chúc mọi người có chuyến đi vui vẻ.</t>
  </si>
  <si>
    <t>Have a safe trip sa lahat .</t>
  </si>
  <si>
    <t>Wǒ xǐhuān zài shātān shàng sànbù.</t>
  </si>
  <si>
    <t>Chúc mừng kỳ nghỉ!</t>
  </si>
  <si>
    <t>Happy holidays !</t>
  </si>
  <si>
    <t>Hǎilàng hào dà a!</t>
  </si>
  <si>
    <t xml:space="preserve"> Bié yóutàiyuǎn!</t>
  </si>
  <si>
    <t xml:space="preserve"> Wǒ xiǎng chéng chuán yóulǎn.</t>
  </si>
  <si>
    <t>Wǒ xiǎng qù fú qiǎn kàn shānhújiāo.</t>
  </si>
  <si>
    <t>Wǒ kàn dàole hǎoduō wǔcǎibīnfēn de yú.</t>
  </si>
  <si>
    <t>Wǒmen qù túbù lǚxíng ba?</t>
  </si>
  <si>
    <t>Jìdé dài shuǐ.</t>
  </si>
  <si>
    <t>Wǒ xiǎng cānguān bówùguǎn.</t>
  </si>
  <si>
    <t>Wǒ xiǎng liǎojiě zhège dìfāng de lìshǐ.</t>
  </si>
  <si>
    <t>Zhè li yǒu dìtú ma?</t>
  </si>
  <si>
    <t>Qǐng bāng bāng wǒ.</t>
  </si>
  <si>
    <t>Wǒ zài zhǎo huí jiǔdiàn de lù.</t>
  </si>
  <si>
    <t>Wǒ jīntiān zǒule hǎoduō lù, jiǎo dōu lèile.</t>
  </si>
  <si>
    <t>Wǒmen xiūxí yīhuǐ'er ba, hǎo ma?</t>
  </si>
  <si>
    <t>Wǒ xiǎng mǎi bīngqílín.</t>
  </si>
  <si>
    <t>Jīntiān tiānqì zhēn hǎo, shìhé chūqù wán.</t>
  </si>
  <si>
    <t>Wǒ yīdiǎn dōu bùxiǎng huí jiā.</t>
  </si>
  <si>
    <t>Wǒ zhēn de hěn xiǎngshòu zhè cì lǚxíng.</t>
  </si>
  <si>
    <t>Xièxiè nǐ dài wǒ lái.</t>
  </si>
  <si>
    <t>Xià cì wǒmen zàilái ba.</t>
  </si>
  <si>
    <t>Wǒ huì gàosù wǒ de péngyǒumen.</t>
  </si>
  <si>
    <t>Wǒ pāile hěnduō piàoliang de shìpín.</t>
  </si>
  <si>
    <t>Zhù dàjiā lǚtú yúkuài!</t>
  </si>
  <si>
    <t>Jiàqī kuàilè!</t>
  </si>
  <si>
    <t>Chủ đề 27: Sức khỏe và Bệnh viện</t>
  </si>
  <si>
    <t>Cháu cảm thấy không khỏe</t>
  </si>
  <si>
    <t>Hindi maganda ang pakiramdam ko</t>
  </si>
  <si>
    <t>Cháu bị đau đầu</t>
  </si>
  <si>
    <t>Masakit ang ulo ko</t>
  </si>
  <si>
    <t>Cháu bị đau bụng</t>
  </si>
  <si>
    <t>Masakit ang tiyan ko</t>
  </si>
  <si>
    <t>Cháu bị sốt rồi</t>
  </si>
  <si>
    <t>May lagnat ako</t>
  </si>
  <si>
    <t>Cháu bị ho</t>
  </si>
  <si>
    <t>May ubo ako</t>
  </si>
  <si>
    <t>Cháu bị sổ mũi</t>
  </si>
  <si>
    <t>May sipon ako</t>
  </si>
  <si>
    <t>Cháu thấy chóng mặt</t>
  </si>
  <si>
    <t>Nahihilo ako</t>
  </si>
  <si>
    <t>Cháu muốn đi nằm nghỉ</t>
  </si>
  <si>
    <t>Gusto ko magpahinga</t>
  </si>
  <si>
    <t>Cháu cần gặp bác sĩ</t>
  </si>
  <si>
    <t>Kailangan ko magpatingin sa doctor</t>
  </si>
  <si>
    <t>Wǒ késòu.</t>
  </si>
  <si>
    <t>Bệnh viện gần nhất ở đâu ạ?</t>
  </si>
  <si>
    <t xml:space="preserve">Wǒliú bítì. </t>
  </si>
  <si>
    <t>Đừng sợ, bác sĩ rất hiền</t>
  </si>
  <si>
    <t>Huwag kang matakot , mabait ang doctor</t>
  </si>
  <si>
    <t xml:space="preserve">Wǒ tóuyūn. </t>
  </si>
  <si>
    <t>Cháu bị đau ở đây</t>
  </si>
  <si>
    <t>Masakit rito</t>
  </si>
  <si>
    <t xml:space="preserve">Wǒ xiǎng tǎng xià xiūxí. </t>
  </si>
  <si>
    <t>Cháu bị đau răng</t>
  </si>
  <si>
    <t>Masakit ang ngipin ko</t>
  </si>
  <si>
    <t>Wǒ xūyào qù kàn yīshēng.</t>
  </si>
  <si>
    <t>Cháu cần đi khám nha sĩ</t>
  </si>
  <si>
    <t>Kailangan ko magpunta sa dentist</t>
  </si>
  <si>
    <t>Cháu bị ngã và đau chân</t>
  </si>
  <si>
    <t>Nabuwal ako at masakit ang paa ko</t>
  </si>
  <si>
    <t>Bié hàipà, yīshēng hěn hé'ǎi.</t>
  </si>
  <si>
    <t>Cháu có cần uống thuốc không ạ?</t>
  </si>
  <si>
    <t>Kailangan ko bang uminom ng gamot ?</t>
  </si>
  <si>
    <t xml:space="preserve">Wǒ zhèlǐ téng. </t>
  </si>
  <si>
    <t>Thuốc này đắng quá!</t>
  </si>
  <si>
    <t>Ang pait ng gamot</t>
  </si>
  <si>
    <t xml:space="preserve">Wǒ yá téng. </t>
  </si>
  <si>
    <t>Uống nước nhiều vào nhé</t>
  </si>
  <si>
    <t>Uminom kayo ng maraming tubig</t>
  </si>
  <si>
    <t>Cháu thấy đỡ hơn rồi</t>
  </si>
  <si>
    <t>Mabuti na ang pakiramdam ko</t>
  </si>
  <si>
    <t xml:space="preserve">Wǒ shuāi dǎo le, tuǐ shòushāngle. </t>
  </si>
  <si>
    <t>Cháu vẫn còn thấy đau</t>
  </si>
  <si>
    <t>Masakit pa rin</t>
  </si>
  <si>
    <t>Wǒ xūyào chī yào ma?</t>
  </si>
  <si>
    <t>Cháu bị dị ứng với tôm</t>
  </si>
  <si>
    <t>Allergic ako sa hipon</t>
  </si>
  <si>
    <t>Zhè yào tài kǔle!</t>
  </si>
  <si>
    <t>Đừng cho cháu ăn đậu phộng nhé</t>
  </si>
  <si>
    <t>Huwag akong pakainin ng mani</t>
  </si>
  <si>
    <t>Cháu cần dán băng cá nhân</t>
  </si>
  <si>
    <t>Kailangan ko ng band-aid</t>
  </si>
  <si>
    <t>Vết thương có bị chảy máu không?</t>
  </si>
  <si>
    <t>May dugo ba ang sugat ?</t>
  </si>
  <si>
    <t>Cháu bị đau họng</t>
  </si>
  <si>
    <t>Masakit ang lalamunan ko</t>
  </si>
  <si>
    <t>Cháu thấy buồn nôn</t>
  </si>
  <si>
    <t>Nasusuka ako</t>
  </si>
  <si>
    <t>Đừng quên uống thuốc đúng giờ nhé</t>
  </si>
  <si>
    <t>Huwag kalimutang uminom ng gamot sa tamang oras</t>
  </si>
  <si>
    <t>Wǒ háishì téng.</t>
  </si>
  <si>
    <t>Cháu muốn đi ngủ sớm</t>
  </si>
  <si>
    <t>Gusto ko matulog nang maaga</t>
  </si>
  <si>
    <t>Bác sĩ bảo cháu bị làm sao ạ?</t>
  </si>
  <si>
    <t>Ano sabi ng doctor ?</t>
  </si>
  <si>
    <t>Wǒ duìxiā guòmǐn.</t>
  </si>
  <si>
    <t>Cháu cần phải tiêm ạ?</t>
  </si>
  <si>
    <t>Kailangan ko bang turukan ?</t>
  </si>
  <si>
    <t>Cháu sợ kim tiêm quá!</t>
  </si>
  <si>
    <t>Takot ako sa injection</t>
  </si>
  <si>
    <t>Qǐng bùyào gěi wǒ huāshēng.</t>
  </si>
  <si>
    <t>Dũng cảm lên nào!</t>
  </si>
  <si>
    <t>Magpakatapang ka</t>
  </si>
  <si>
    <t>Cháu sẽ ổn thôi mà</t>
  </si>
  <si>
    <t>Magiging okay din ako</t>
  </si>
  <si>
    <t>Wǒ xūyào bēngdài.</t>
  </si>
  <si>
    <t>Cháu thích ăn cháo khi bị ốm</t>
  </si>
  <si>
    <t>Gusto ko kumain ng lugaw kapag may sakit</t>
  </si>
  <si>
    <t>Cháo nóng rất tốt cho sức khỏe</t>
  </si>
  <si>
    <t>Mabuti sa katawan ang mainit na lugaw</t>
  </si>
  <si>
    <t>Shāngkǒu chūxiěle ma?</t>
  </si>
  <si>
    <t>Cháu muốn uống nước cam</t>
  </si>
  <si>
    <t>Gusto ko uminom ng orange juice</t>
  </si>
  <si>
    <t>Vitamin C giúp cháu mau khỏe</t>
  </si>
  <si>
    <t>Nakatutulong ang Vitamin C para gumaling agad</t>
  </si>
  <si>
    <t>Cháu không muốn đi học hôm nay vì mệt</t>
  </si>
  <si>
    <t>Hindi ko kayang pumasok sa school kasi pagod ako</t>
  </si>
  <si>
    <t>Chúc bạn mau khỏe nhé!</t>
  </si>
  <si>
    <t>Pagaling ka agad</t>
  </si>
  <si>
    <t>Wǒ gǎnjué ěxīn.</t>
  </si>
  <si>
    <t>Cháu cần đo nhiệt độ</t>
  </si>
  <si>
    <t>Kailangan ko mag-thermometer</t>
  </si>
  <si>
    <t xml:space="preserve"> Bié wàngle ànshí chī yào.</t>
  </si>
  <si>
    <t>Nhiệt độ của cháu là bao nhiêu ạ?</t>
  </si>
  <si>
    <t>Ano temperature ko ?</t>
  </si>
  <si>
    <t xml:space="preserve"> Wǒ xiǎng zǎodiǎn shuìjiào. </t>
  </si>
  <si>
    <t>Cháu bị muỗi đốt đau quá</t>
  </si>
  <si>
    <t>Masakit ang kagat ng lamok</t>
  </si>
  <si>
    <t>Yīshēng shuō wǒ zěnmeliǎo?</t>
  </si>
  <si>
    <t>Bôi thuốc mỡ vào đây nhé</t>
  </si>
  <si>
    <t>Maglagay ng ointment dito</t>
  </si>
  <si>
    <t>Cháu thấy hơi lạnh</t>
  </si>
  <si>
    <t>Nangangatog ako sa lamig</t>
  </si>
  <si>
    <t>Đắp thêm chăn cho cháu với</t>
  </si>
  <si>
    <t>Paki-kumutan ako</t>
  </si>
  <si>
    <t>Cháu muốn hít thở không khí trong lành</t>
  </si>
  <si>
    <t>Gusto ko makalanghap ng sariwang hangin</t>
  </si>
  <si>
    <t>Sức khỏe là quý nhất</t>
  </si>
  <si>
    <t>Ang kalusugan ay kayamanan</t>
  </si>
  <si>
    <t>Cháu sẽ tập thể dục thường xuyên</t>
  </si>
  <si>
    <t>Mag-e-ehersisyo na ako lagi</t>
  </si>
  <si>
    <t>Wǒ xūyào dǎzhēn ma?</t>
  </si>
  <si>
    <t>Cháu sẽ ăn nhiều rau xanh</t>
  </si>
  <si>
    <t>Kakain ako ng maraming gulay</t>
  </si>
  <si>
    <t>Cảm ơn bác đã chăm sóc cháu</t>
  </si>
  <si>
    <t>Salamat sa pag-aalaga sa akin</t>
  </si>
  <si>
    <t>Wǒ hǎo pà dǎzhēn!</t>
  </si>
  <si>
    <t>Yǒnggǎn diǎn!</t>
  </si>
  <si>
    <t>Nǐ huì méishì de.</t>
  </si>
  <si>
    <t>Wǒ shēngbìng de shíhòu xǐhuān chī zhōu.</t>
  </si>
  <si>
    <t xml:space="preserve">Rè zhōu duì wǒ de shēntǐ hěn hǎo. </t>
  </si>
  <si>
    <t>Wǒ xiǎng hē chéngzhī.</t>
  </si>
  <si>
    <t xml:space="preserve">Wéishēngsù C néng bāngzhù wǒ kuài diǎn hǎo qǐlái. </t>
  </si>
  <si>
    <t>Wǒ jīntiān bùxiǎng qù shàngxué, yīnwèi wǒ lèile.</t>
  </si>
  <si>
    <t xml:space="preserve"> Zhù nǐ zǎorì kāngfù!</t>
  </si>
  <si>
    <t>Wǒ xūyào liàng yīxià tǐwēn.</t>
  </si>
  <si>
    <t>Wǒ de tǐwēn shì duōshǎo?</t>
  </si>
  <si>
    <t>Wǒ bèi wénzǐ yǎole, hǎo téng a.</t>
  </si>
  <si>
    <t>Qǐng zài zhèlǐ tú diǎn yàogāo.</t>
  </si>
  <si>
    <t>Wǒ yǒudiǎn lěng.</t>
  </si>
  <si>
    <t>Qǐng zài gěi wǒ gài yī céng tǎnzǐ.</t>
  </si>
  <si>
    <t>Wǒ xiǎng hūxī xīnxiān kōngqì.</t>
  </si>
  <si>
    <t>Jiànkāng zuì bǎoguì.</t>
  </si>
  <si>
    <t>Wǒ huì jiānchí duànliàn.</t>
  </si>
  <si>
    <t>Wǒ huì duō chī shūcài.</t>
  </si>
  <si>
    <t>Chủ đề 28: Nghề nghiệp và Ước mơ</t>
  </si>
  <si>
    <t>Lớn lên cháu muốn làm gì?</t>
  </si>
  <si>
    <t>Ano ang gusto mong maging paglaki mo ?</t>
  </si>
  <si>
    <t>Nǐ zhǎng dà hòu xiǎng zuò shénme?</t>
  </si>
  <si>
    <t>Cháu muốn trở thành bác sĩ</t>
  </si>
  <si>
    <t>Gusto kong maging doktor .</t>
  </si>
  <si>
    <t>Cháu muốn làm giáo viên</t>
  </si>
  <si>
    <t>Gusto kong maging teacher .</t>
  </si>
  <si>
    <t>Wǒ xiǎng dāng yīshēng.</t>
  </si>
  <si>
    <t>Cháu thích làm chú cảnh sát</t>
  </si>
  <si>
    <t>Gusto kong maging pulis .</t>
  </si>
  <si>
    <t>Cháu muốn làm lính cứu hỏa</t>
  </si>
  <si>
    <t>Gusto kong maging bumbero .</t>
  </si>
  <si>
    <t>Wǒ xiǎng dāng lǎoshī.</t>
  </si>
  <si>
    <t>Cháu muốn làm phi công để bay lên trời</t>
  </si>
  <si>
    <t>Gusto kong maging piloto para makalipad .</t>
  </si>
  <si>
    <t>Cháu thích nấu ăn, cháu sẽ làm đầu bếp</t>
  </si>
  <si>
    <t>Gusto kong maging chef .</t>
  </si>
  <si>
    <t>Wǒ xǐhuān dāng jǐngchá.</t>
  </si>
  <si>
    <t>Cháu muốn làm họa sĩ để vẽ tranh</t>
  </si>
  <si>
    <t>Gusto kong maging artist .</t>
  </si>
  <si>
    <t>Cháu thích hát, cháu sẽ làm ca sĩ</t>
  </si>
  <si>
    <t>Gusto kong maging singer .</t>
  </si>
  <si>
    <t>Wǒ xiǎng dāng xiāofáng yuán.</t>
  </si>
  <si>
    <t>Bác làm nghề gì ạ?</t>
  </si>
  <si>
    <t>Ano ang trabaho ninyo ?</t>
  </si>
  <si>
    <t>Cháu ngưỡng mộ công việc của bác</t>
  </si>
  <si>
    <t>Hanga ako sa trabaho ninyo .</t>
  </si>
  <si>
    <t>Wǒ xiǎng dāng fēixíngyuán, áoxiáng lántiān.</t>
  </si>
  <si>
    <t>Công việc đó có khó không ạ?</t>
  </si>
  <si>
    <t>Mahirap ba ang trabaho na iyon ?</t>
  </si>
  <si>
    <t>Cháu muốn làm kỹ sư xây dựng</t>
  </si>
  <si>
    <t>Gusto kong maging engineer .</t>
  </si>
  <si>
    <t>Wǒ xǐhuān pēngrèn, wǒ xiǎng dāng chúshī.</t>
  </si>
  <si>
    <t>Cháu thích máy tính, cháu sẽ làm lập trình viên</t>
  </si>
  <si>
    <t>Gusto kong maging programmer .</t>
  </si>
  <si>
    <t>Cháu muốn làm bác sĩ thú y để cứu các con vật</t>
  </si>
  <si>
    <t>Gusto kong maging vet .</t>
  </si>
  <si>
    <t>Wǒ xiǎng dāng yìshùjiā, huà huà.</t>
  </si>
  <si>
    <t>Cháu muốn làm phi hành gia đi vào vũ trụ</t>
  </si>
  <si>
    <t>Gusto kong maging astronaut .</t>
  </si>
  <si>
    <t>Cháu muốn làm cầu thủ bóng rổ chuyên nghiệp</t>
  </si>
  <si>
    <t>Gusto kong maging pro basketball player .</t>
  </si>
  <si>
    <t>Wǒ xǐhuān chànggē, wǒ xiǎng dāng gēshǒu.</t>
  </si>
  <si>
    <t>Cháu thích kể chuyện, cháu sẽ làm nhà văn</t>
  </si>
  <si>
    <t>Gusto kong maging writer .</t>
  </si>
  <si>
    <t>Cháu muốn làm người mẫu ảnh</t>
  </si>
  <si>
    <t>Gusto kong maging model .</t>
  </si>
  <si>
    <t>Nǐ xiànzài zuò shénme gōngzuò?</t>
  </si>
  <si>
    <t>Cháu muốn làm YouTuber nổi tiếng</t>
  </si>
  <si>
    <t>Gusto kong maging sikat na YouTuber .</t>
  </si>
  <si>
    <t>Để thành công, cháu phải học thật giỏi</t>
  </si>
  <si>
    <t>Kailangang mag-aral mabuti para magtagumpay .</t>
  </si>
  <si>
    <t>Wǒ hěn xīnshǎng nǐ de gōngzuò.</t>
  </si>
  <si>
    <t>Cháu đang cố gắng mỗi ngày</t>
  </si>
  <si>
    <t>Nagsisikap ako araw-araw .</t>
  </si>
  <si>
    <t>Bố cháu là một công nhân chăm chỉ</t>
  </si>
  <si>
    <t>Ang Tatay ko ay masipag na manggagawa .</t>
  </si>
  <si>
    <t>Nà fèn gōngzuò nàn ma?</t>
  </si>
  <si>
    <t>Mẹ cháu là một nữ y tá tận tâm</t>
  </si>
  <si>
    <t>Ang Nanay ko ay mabait na nurse .</t>
  </si>
  <si>
    <t>Cháu muốn giúp đỡ mọi người</t>
  </si>
  <si>
    <t>Gusto kong tumulong sa mga tao .</t>
  </si>
  <si>
    <t>Wǒ xiǎng dāng tǔmù gōngchéngshī.</t>
  </si>
  <si>
    <t>Làm việc kiếm tiền rất quan trọng</t>
  </si>
  <si>
    <t>Mahalaga ang magtrabaho para kumita .</t>
  </si>
  <si>
    <t>Cháu muốn mua nhà cho bố mẹ</t>
  </si>
  <si>
    <t>Gusto kong ibili ng bahay ang aking mga magulang .</t>
  </si>
  <si>
    <t>Wǒ xǐhuān diànnǎo, wǒ xiǎng dāng chéngxù yuán.</t>
  </si>
  <si>
    <t>Bác nông dân trồng lúa vất vả quá</t>
  </si>
  <si>
    <t>Mahirap ang trabaho ng magsasaka .</t>
  </si>
  <si>
    <t>Chúng taên trân trọng mọi nghề nghiệp</t>
  </si>
  <si>
    <t>Dapat nating i-respeto ang lahat ng trabaho .</t>
  </si>
  <si>
    <t>Wǒ xiǎng dāng shòuyī, jiùsǐfúshāng.</t>
  </si>
  <si>
    <t>Cháu muốn làm hướng dẫn viên du lịch</t>
  </si>
  <si>
    <t>Gusto kong maging tour guide .</t>
  </si>
  <si>
    <t>Cháu sẽ dẫn bác đi tham quan Việt Nam</t>
  </si>
  <si>
    <t>Isasama ko kayo sa Vietnam .</t>
  </si>
  <si>
    <t>Wǒ xiǎng dāng yǔháng yuán, áoyóu tàikōng.</t>
  </si>
  <si>
    <t>Cháu muốn làm thợ cắt tóc</t>
  </si>
  <si>
    <t>Gusto kong maging barber .</t>
  </si>
  <si>
    <t>Cháu muốn làm thợ may đồ đẹp</t>
  </si>
  <si>
    <t>Gusto kong maging mananahi .</t>
  </si>
  <si>
    <t>Wǒ xiǎng dāng zhíyè lánqiú yùndòngyuán.</t>
  </si>
  <si>
    <t>Cháu thích làm khoa học gia</t>
  </si>
  <si>
    <t>Gusto kong maging scientist .</t>
  </si>
  <si>
    <t>Cháu sẽ chế tạo ra robot</t>
  </si>
  <si>
    <t>Gagawa ako ng robot .</t>
  </si>
  <si>
    <t>Wǒ xǐhuān jiǎng gùshì, wǒ xiǎng dàng zuòjiā.</t>
  </si>
  <si>
    <t>Robot sẽ giúp cháu làm việc nhà</t>
  </si>
  <si>
    <t>Tutulungan ako ng robot sa gawaing bahay .</t>
  </si>
  <si>
    <t>Cháu muốn làm thẩm phán công minh</t>
  </si>
  <si>
    <t>Gusto kong maging judge .</t>
  </si>
  <si>
    <t>Wǒ xiǎng dāng mótè.</t>
  </si>
  <si>
    <t>Cháu muốn làm luật sư</t>
  </si>
  <si>
    <t>Gusto kong maging lawyer .</t>
  </si>
  <si>
    <t>Cháu muốn làm nhiếp ảnh gia tài ba</t>
  </si>
  <si>
    <t>Gusto kong maging photographer .</t>
  </si>
  <si>
    <t>Wǒ xiǎng chéngwéi yī míng zhùmíng de YouTuber</t>
  </si>
  <si>
    <t>Cháu sẽ chụp thật nhiều ảnh đẹp về Philippines</t>
  </si>
  <si>
    <t>Kukuha ako ng maraming litrato sa Pilipinas .</t>
  </si>
  <si>
    <t>Bạn của cháu muốn làm thợ điện</t>
  </si>
  <si>
    <t>Gusto ng kaibigan ko na maging electrician .</t>
  </si>
  <si>
    <t>wèile chénggōng, wǒ bìxū nǔlì xuéxí</t>
  </si>
  <si>
    <t>Chú lái xe jeepney rất vui tính</t>
  </si>
  <si>
    <t>Masaya kausap ang driver ng jeepney .</t>
  </si>
  <si>
    <t>Cháu muốn làm chủ một cửa hàng bánh kẹo</t>
  </si>
  <si>
    <t>Gusto kong magkaroon ng candy shop .</t>
  </si>
  <si>
    <t>wǒ měitiān dū zài nǔlì</t>
  </si>
  <si>
    <t>Cháu sẽ cho các bạn ăn miễn phí</t>
  </si>
  <si>
    <t>Bibigyan ko ng libreng candy ang mga kaibigan ko .</t>
  </si>
  <si>
    <t>Nghề nào cũng có cái hay riêng</t>
  </si>
  <si>
    <t>Lahat ng trabaho ay may ganda .</t>
  </si>
  <si>
    <t>wǒ bàba hěn qínláo</t>
  </si>
  <si>
    <t>Cháu sẽ không bao giờ từ bỏ ước mơ</t>
  </si>
  <si>
    <t>Hindi ko susukuan ang pangarap ko .</t>
  </si>
  <si>
    <t>Bác tin tưởng cháu chứ?</t>
  </si>
  <si>
    <t>Naniniwala ba kayo sa akin ?</t>
  </si>
  <si>
    <t>wǒ māmā shì yī wèi jìnzhí jìnzé de hùshì</t>
  </si>
  <si>
    <t>Cháu sẽ làm bác tự hào</t>
  </si>
  <si>
    <t>Ipapakita ko na kaya ko .</t>
  </si>
  <si>
    <t>Ước mơ sẽ thành hiện thực</t>
  </si>
  <si>
    <t>Matutupad din ang pangarap ko .</t>
  </si>
  <si>
    <t>wǒ xiǎng bāngzhù biérén</t>
  </si>
  <si>
    <t>Cháu yêu tất cả mọi người</t>
  </si>
  <si>
    <t>Mahal ko kayong lahat .</t>
  </si>
  <si>
    <t>gōngzuò zhuànqián fēicháng zhòngyào</t>
  </si>
  <si>
    <t>wǒ xiǎng wèi wǒ de fùmǔ mǎi yī tào fángzǐ</t>
  </si>
  <si>
    <t>zhǒng shuǐdào de nóngmín fēicháng xīnkǔ</t>
  </si>
  <si>
    <t>wǒmen zūnzhòng suǒyǒu zhíyè</t>
  </si>
  <si>
    <t>wǒ xiǎng chéngwéi yī míng dǎoyóu</t>
  </si>
  <si>
    <t>wǒ huì dài nǐ yóulǎn yuènán</t>
  </si>
  <si>
    <t>wǒ xiǎng chéngwéi yī míng lǐfǎ shī</t>
  </si>
  <si>
    <t>wǒ xiǎng chéngwéi yī míng cáiféng, zhìzuò piàoliang de yīfú</t>
  </si>
  <si>
    <t>wǒ xǐhuān chéngwéi yī míng kēxuéjiā</t>
  </si>
  <si>
    <t>wǒ huì zhìzào yīgè jīqìrén</t>
  </si>
  <si>
    <t>jīqìrén huì bāng wǒ zuò jiāwù</t>
  </si>
  <si>
    <t>wǒ xiǎng chéngwéi yī míng gōngzhèng de fǎguān</t>
  </si>
  <si>
    <t>wǒ xiǎng chéngwéi yī míng lǜshī</t>
  </si>
  <si>
    <t>wǒ xiǎng chéngwéi yī míng cáihuáhéngyì de shèyǐng shī</t>
  </si>
  <si>
    <t>wǒ huì pāishè xǔduō fēilǜbīn dì měilì zhàopiàn</t>
  </si>
  <si>
    <t>wǒ de péngyǒu xiǎng chéngwéi yī míng diàngōng</t>
  </si>
  <si>
    <t>jípǔ ní sījī hěn yōumò</t>
  </si>
  <si>
    <t>wǒ xiǎng yǒngyǒu yījiā tángguǒ diàn</t>
  </si>
  <si>
    <t>wǒ huì gěi wǒ de péngyǒumen miǎnfèi de shíwù</t>
  </si>
  <si>
    <t>měi gè zhíyè dōu yǒu qí zìshēn de yōushì</t>
  </si>
  <si>
    <t>wǒ yǒngyuǎn bù huì fàngqì wǒ de mèngxiǎng</t>
  </si>
  <si>
    <t xml:space="preserve">nǐ xiāngxìn wǒ ma? </t>
  </si>
  <si>
    <t>Wǒ huì ràng nǐ gǎndào jiāo'ào de, shūshu.</t>
  </si>
  <si>
    <t xml:space="preserve">Wǒ de mèngxiǎng yīdìng huì shíxiàn. </t>
  </si>
  <si>
    <t>Wǒ ài suǒyǒu rén.</t>
  </si>
  <si>
    <t>Chủ đề 29: Phương hướng và Vị trí</t>
  </si>
  <si>
    <t>Cho cháu hỏi, nhà vệ sinh ở đâu ạ?</t>
  </si>
  <si>
    <t>Qǐngwèn, xǐshǒujiān zài nǎlǐ?</t>
  </si>
  <si>
    <t>Đi thẳng đường này phải không ạ?</t>
  </si>
  <si>
    <t>Diretso lang ba rito ?</t>
  </si>
  <si>
    <t>Rẽ trái ở góc kia nhé.</t>
  </si>
  <si>
    <t>Kaliwa sa kanto .</t>
  </si>
  <si>
    <t>Yánzhe zhè tiáo lù yīzhí zǒu jiùshì ma?</t>
  </si>
  <si>
    <t>Rẽ phải ở chỗ đèn giao thông.</t>
  </si>
  <si>
    <t>Kanan sa traffic light .</t>
  </si>
  <si>
    <t>Nó ở ngay đằng kia.</t>
  </si>
  <si>
    <t>Nandoon sa dulo .</t>
  </si>
  <si>
    <t>Zài guǎijiǎo chù zuǒ zhuǎn.</t>
  </si>
  <si>
    <t>Nó ở gần đây thôi.</t>
  </si>
  <si>
    <t>Malapit lang rito .</t>
  </si>
  <si>
    <t>Nó ở rất xa.</t>
  </si>
  <si>
    <t>Malayo iyon .</t>
  </si>
  <si>
    <t>Zài hónglǜdēng chù yòu zhuǎn.</t>
  </si>
  <si>
    <t>Đi ngược lại ạ?</t>
  </si>
  <si>
    <t>Pabalik ba ?</t>
  </si>
  <si>
    <t>Cái này ở trên bàn.</t>
  </si>
  <si>
    <t>Nasa ibabaw ng mesa .</t>
  </si>
  <si>
    <t>Jiù zài nà biān.</t>
  </si>
  <si>
    <t>Cái kia ở dưới ghế.</t>
  </si>
  <si>
    <t>Nasa ilalim ng upuan .</t>
  </si>
  <si>
    <t>Cháu đang đứng trước cửa.</t>
  </si>
  <si>
    <t>Nasa harap ako ng pinto .</t>
  </si>
  <si>
    <t>Bạn ấy đang trốn đằng sau cái cây.</t>
  </si>
  <si>
    <t>Nasa likod siya ng puno .</t>
  </si>
  <si>
    <t>Để nó ở giữa hai cái hộp nhé.</t>
  </si>
  <si>
    <t>Ilagay sa gitna ng dalawang kahon .</t>
  </si>
  <si>
    <t>Hěn yuǎn.</t>
  </si>
  <si>
    <t>Ngân hàng ở bên cạnh siêu thị.</t>
  </si>
  <si>
    <t>Nasa tabi ng supermarket ang bangko .</t>
  </si>
  <si>
    <t>Cháu đang ở bên trong nhà.</t>
  </si>
  <si>
    <t>Nasa loob ako ng bahay .</t>
  </si>
  <si>
    <t>Shì zài fǎn fāngxiàng ma?</t>
  </si>
  <si>
    <t>Đừng chạy ra bên ngoài, trời đang mưa.</t>
  </si>
  <si>
    <t>Huwag kang lalabas , umuulan .</t>
  </si>
  <si>
    <t>Đi lên tầng trên nhé.</t>
  </si>
  <si>
    <t>Akyat tayo sa taas .</t>
  </si>
  <si>
    <t>Zhège zài zhuōzǐ shàng.</t>
  </si>
  <si>
    <t>Đi xuống tầng dưới ạ.</t>
  </si>
  <si>
    <t>Baba tayo sa baba .</t>
  </si>
  <si>
    <t>Phía Bắc ở đâu ạ?</t>
  </si>
  <si>
    <t>Nasaan ang Hilaga ?</t>
  </si>
  <si>
    <t>Nàgè zài yǐzǐ xiàmiàn.</t>
  </si>
  <si>
    <t>Phía Nam là hướng này.</t>
  </si>
  <si>
    <t>Timog ang direksyong ito .</t>
  </si>
  <si>
    <t>Mặt trời mọc ở phía Đông.</t>
  </si>
  <si>
    <t>Sumisikat ang araw sa Silangan .</t>
  </si>
  <si>
    <t>Wǒ zhàn zài mén qián.</t>
  </si>
  <si>
    <t>Mặt trời lặn ở phía Tây.</t>
  </si>
  <si>
    <t>Lumulubog ang araw sa Kanluran .</t>
  </si>
  <si>
    <t>Trường học ở đối diện công viên.</t>
  </si>
  <si>
    <t>Nasa tapat ng park ang school .</t>
  </si>
  <si>
    <t>Tā duǒ zài shù hòumiàn.</t>
  </si>
  <si>
    <t>Bạn có bản đồ không?</t>
  </si>
  <si>
    <t>May mapa ka ba ?</t>
  </si>
  <si>
    <t>Bǎ tā fàng zài liǎng gè xiāngzǐ zhōngjiān.</t>
  </si>
  <si>
    <t>Hãy chỉ cho cháu trên bản đồ này.</t>
  </si>
  <si>
    <t>Paki-turo sa mapa na ito .</t>
  </si>
  <si>
    <t>Cháu đang ở phố nào ạ?</t>
  </si>
  <si>
    <t>Anong kalye ito ?</t>
  </si>
  <si>
    <t>Yínháng zài chāoshì pángbiān.</t>
  </si>
  <si>
    <t>Đi qua cây cầu này nhé.</t>
  </si>
  <si>
    <t>Tumawid sa tulay na ito .</t>
  </si>
  <si>
    <t>Cẩn thận khi sang đường.</t>
  </si>
  <si>
    <t>Mag-ingat sa pagtawid .</t>
  </si>
  <si>
    <t>Wǒ zài wū li.</t>
  </si>
  <si>
    <t>Đi lối này ạ?</t>
  </si>
  <si>
    <t>Dito ba ang daan ?</t>
  </si>
  <si>
    <t>Không phải lối đó đâu.</t>
  </si>
  <si>
    <t>Hindi diyan .</t>
  </si>
  <si>
    <t>Bié pǎo chūqù, xià yǔle.</t>
  </si>
  <si>
    <t>Cháu thấy biển báo rồi.</t>
  </si>
  <si>
    <t>Nakita ko na ang sign .</t>
  </si>
  <si>
    <t>Nhà cháu ở tầng 2.</t>
  </si>
  <si>
    <t>Nasa second floor ang bahay namin .</t>
  </si>
  <si>
    <t>Shàng lóu qù.</t>
  </si>
  <si>
    <t>Cháu đang ở tầng hầm.</t>
  </si>
  <si>
    <t>Nasa basement ako .</t>
  </si>
  <si>
    <t>Chỗ này là lối vào.</t>
  </si>
  <si>
    <t>Dito ang entrance .</t>
  </si>
  <si>
    <t>Xià lóu qù.</t>
  </si>
  <si>
    <t>Chỗ kia là lối ra.</t>
  </si>
  <si>
    <t>Doon ang exit .</t>
  </si>
  <si>
    <t>Hãy đứng xếp hàng ở đây.</t>
  </si>
  <si>
    <t>Pila tayo rito .</t>
  </si>
  <si>
    <t>Běi zài nǎlǐ?</t>
  </si>
  <si>
    <t>Bạn đứng phía trước cháu nhé.</t>
  </si>
  <si>
    <t>Nasa harap ko kayo .</t>
  </si>
  <si>
    <t>Cháu đứng cuối hàng.</t>
  </si>
  <si>
    <t>Nasa huli ako ng pila .</t>
  </si>
  <si>
    <t>Nán zài zhège fāngxiàng.</t>
  </si>
  <si>
    <t>Cháu tìm thấy nó rồi!</t>
  </si>
  <si>
    <t>Nahanap ko na !</t>
  </si>
  <si>
    <t>Nó ở ngay trong túi của cháu.</t>
  </si>
  <si>
    <t>Nasa loob ng bulsa ko .</t>
  </si>
  <si>
    <t>Tàiyáng cóng dōngbian shēng qǐ.</t>
  </si>
  <si>
    <t>Để nó sang bên trái một chút.</t>
  </si>
  <si>
    <t>I-usog nang konti sa kaliwa .</t>
  </si>
  <si>
    <t>Để nó sang bên phải một chút.</t>
  </si>
  <si>
    <t>I-usog nang konti sa kanan .</t>
  </si>
  <si>
    <t>Tàiyáng cóng xībian luòxià.</t>
  </si>
  <si>
    <t>Cháu có thể ngồi cạnh bạn không?</t>
  </si>
  <si>
    <t>Pwede ba akong tumabi sa iyo ?</t>
  </si>
  <si>
    <t>Ngồi đối diện nhau nhé.</t>
  </si>
  <si>
    <t>Magkatapat tayo .</t>
  </si>
  <si>
    <t>Xuéxiào zài gōngyuán duìmiàn.</t>
  </si>
  <si>
    <t>Đi vòng quanh hồ nhé.</t>
  </si>
  <si>
    <t>Ikot tayo sa lawa .</t>
  </si>
  <si>
    <t>Nhìn lên trời kìa!</t>
  </si>
  <si>
    <t>Tingin sa langit !</t>
  </si>
  <si>
    <t>Nhìn xuống đất đi.</t>
  </si>
  <si>
    <t>Tingin sa lupa .</t>
  </si>
  <si>
    <t>Cháu biết đường về rồi.</t>
  </si>
  <si>
    <t>Alam ko na ang daan pauwi .</t>
  </si>
  <si>
    <t>Nǐ yǒu dìtú ma?</t>
  </si>
  <si>
    <t>Cảm ơn bác đã chỉ đường.</t>
  </si>
  <si>
    <t>Salamat sa pagturo ng daan .</t>
  </si>
  <si>
    <t>Qǐng zài zhè zhāng dìtú shàng zhǐ gěi wǒ kàn.</t>
  </si>
  <si>
    <t>Wǒ zài nǎ tiáo jiē shàng?</t>
  </si>
  <si>
    <t>Guò zhè zuò qiáo.</t>
  </si>
  <si>
    <t>Guò mǎlù shí yào xiǎoxīn.</t>
  </si>
  <si>
    <t>Shì zhè tiáo lù ma?</t>
  </si>
  <si>
    <t>Bù, bùshì zhè tiáo lù.</t>
  </si>
  <si>
    <t>Wǒ kàn dào lùbiāole.</t>
  </si>
  <si>
    <t>Wǒjiā zài èr lóu.</t>
  </si>
  <si>
    <t>Wǒ zài dìxiàshì.</t>
  </si>
  <si>
    <t>Zhè shì rùkǒu.</t>
  </si>
  <si>
    <t>Nà shì chūkǒu.</t>
  </si>
  <si>
    <t>Qǐng zài zhèlǐ páiduì.</t>
  </si>
  <si>
    <t>Nǐ zhàn zài wǒ qiánmiàn.</t>
  </si>
  <si>
    <t>Wǒ zài duìwǔ de mòwěi.</t>
  </si>
  <si>
    <t>Wǒ zhǎodàole!</t>
  </si>
  <si>
    <t>Jiù zài wǒ de bāo lǐ.</t>
  </si>
  <si>
    <t>Bǎ tā wǎng zuǒbiān nuó yīdiǎn.</t>
  </si>
  <si>
    <t>Bǎ tā wǎng yòubiān nuó yīdiǎn.</t>
  </si>
  <si>
    <t>Wǒ kěyǐ zuò zài nǐ pángbiān ma?</t>
  </si>
  <si>
    <t>Wǒmen miànduìmiàn zuò ba.</t>
  </si>
  <si>
    <t>Wǒmen ràozhe hú zǒu zǒu.</t>
  </si>
  <si>
    <t>Táitóu kàn kàn tiānkōng!</t>
  </si>
  <si>
    <t>Dītóu kàn kàn dìmiàn.</t>
  </si>
  <si>
    <t>Wǒ xiànzài zhīdào huí jiā de lùle.</t>
  </si>
  <si>
    <t>Xièxiè nǐ gěi wǒ zhǐ lù.</t>
  </si>
  <si>
    <t>Chủ đề 30: Hình dáng và Kích thước</t>
  </si>
  <si>
    <t>Zhè tài dàle!</t>
  </si>
  <si>
    <t>Cái này to quá!</t>
  </si>
  <si>
    <t>Napakalaki nito !</t>
  </si>
  <si>
    <t>Nàgè hěn xiǎo.</t>
  </si>
  <si>
    <t>Cái kia nhỏ xíu à</t>
  </si>
  <si>
    <t>Napakaliiit niyan</t>
  </si>
  <si>
    <t>Nó có hình tròn</t>
  </si>
  <si>
    <t>Hugis bilog ito</t>
  </si>
  <si>
    <t>Tā shì yuán de.</t>
  </si>
  <si>
    <t>Cái hộp này hình vuông</t>
  </si>
  <si>
    <t>Square ang kahon na ito</t>
  </si>
  <si>
    <t>Quyển vở hình chữ nhật</t>
  </si>
  <si>
    <t>Rectangle ang notebook</t>
  </si>
  <si>
    <t>Zhège hézǐ shì zhèngfāngxíng de.</t>
  </si>
  <si>
    <t>Hình tam giác có 3 cạnh</t>
  </si>
  <si>
    <t>May tatlong tabi ang triangle</t>
  </si>
  <si>
    <t>Cái này nặng quá, cháu không nhấc nổi</t>
  </si>
  <si>
    <t>Mabigat ito , hindi ko kaya</t>
  </si>
  <si>
    <t>Zhège bǐjìběn shì chángfāngxíng de.</t>
  </si>
  <si>
    <t>Cái này nhẹ như lông hồng vậy</t>
  </si>
  <si>
    <t>Ang gaan-gaan nito</t>
  </si>
  <si>
    <t>Nó rất dài</t>
  </si>
  <si>
    <t>Napakahaba nito</t>
  </si>
  <si>
    <t>Sānjiǎoxíng yǒu sāntiáo biān.</t>
  </si>
  <si>
    <t>Nó hơi ngắn một chút</t>
  </si>
  <si>
    <t>Medyo maikli</t>
  </si>
  <si>
    <t>Cái thước này thẳng</t>
  </si>
  <si>
    <t>Matuwid ang ruler</t>
  </si>
  <si>
    <t>Zhège tài zhòngle, wǒ ná bù dòng.</t>
  </si>
  <si>
    <t>Con đường này cong quá</t>
  </si>
  <si>
    <t>Ang kurbada ng daan</t>
  </si>
  <si>
    <t>Sợi dây này rất dày</t>
  </si>
  <si>
    <t>Makapal ang lubid na ito</t>
  </si>
  <si>
    <t>Zhège qīng rú hóngmáo.</t>
  </si>
  <si>
    <t>Tờ giấy này mỏng quá</t>
  </si>
  <si>
    <t>Ang nipis ng papel na ito</t>
  </si>
  <si>
    <t>Cái hố này sâu không ạ?</t>
  </si>
  <si>
    <t>Malalim ba ang hukay na ito ?</t>
  </si>
  <si>
    <t>Tā hěn zhǎng.</t>
  </si>
  <si>
    <t>Nông thôi, đừng sợ</t>
  </si>
  <si>
    <t>Mababaw lang , huwag matakot</t>
  </si>
  <si>
    <t>Cái cây này rất cao</t>
  </si>
  <si>
    <t>Ang taas ng puno</t>
  </si>
  <si>
    <t>Tā yǒudiǎn duǎn.</t>
  </si>
  <si>
    <t>Em bé còn thấp lắm</t>
  </si>
  <si>
    <t>Maliit/Pandak pa ang baby</t>
  </si>
  <si>
    <t>Cái bàn này rộng quá</t>
  </si>
  <si>
    <t>Malawak ang mesa</t>
  </si>
  <si>
    <t>Zhè bǎ chǐzǐ shì zhí de.</t>
  </si>
  <si>
    <t>Lối đi này hẹp quá</t>
  </si>
  <si>
    <t>Masikip ang daan</t>
  </si>
  <si>
    <t>Hình ngôi sao có mấy cánh ạ?</t>
  </si>
  <si>
    <t>Ilang kanto ang bituin ?</t>
  </si>
  <si>
    <t>Zhè tiáo lù tài wānle.</t>
  </si>
  <si>
    <t>Hình trái tim màu đỏ</t>
  </si>
  <si>
    <t>Hugis puso na kulay pula</t>
  </si>
  <si>
    <t>Nó có hình bầu dục</t>
  </si>
  <si>
    <t>Hugis itlog (oval) ito</t>
  </si>
  <si>
    <t>Zhè gēn shéngzǐ hěn cū.</t>
  </si>
  <si>
    <t>Cái gối này rất mềm</t>
  </si>
  <si>
    <t>Ang lambot ng unan</t>
  </si>
  <si>
    <t>Hòn đá này cứng quá</t>
  </si>
  <si>
    <t>Ang tigas ng bato</t>
  </si>
  <si>
    <t>Zhè zhāng zhǐ tài báole.</t>
  </si>
  <si>
    <t>Bề mặt này rất nhẵn</t>
  </si>
  <si>
    <t>Ang kinis nito</t>
  </si>
  <si>
    <t>Chỗ này hơi gồ ghề</t>
  </si>
  <si>
    <t>Medyo baku-bako rito</t>
  </si>
  <si>
    <t>Zhège dòng shēn ma?</t>
  </si>
  <si>
    <t>Bạn muốn cái to hay cái nhỏ?</t>
  </si>
  <si>
    <t>Gusto mo ba ng malaki o maliit ?</t>
  </si>
  <si>
    <t>Cháu lấy cái ở giữa nhé</t>
  </si>
  <si>
    <t>Yung nasa gitna ang kukunin ko</t>
  </si>
  <si>
    <t>Hěn qiǎn, bùyòng dānxīn.</t>
  </si>
  <si>
    <t>Đôi giày này hơi rộng so với chân cháu</t>
  </si>
  <si>
    <t>Maluwag ang sapatos sa paa ko</t>
  </si>
  <si>
    <t>Đôi tất này chật quá</t>
  </si>
  <si>
    <t>Masikip ang medyas na ito</t>
  </si>
  <si>
    <t>Zhè kē shù hěn gāo.</t>
  </si>
  <si>
    <t>Nó có hình dạng kỳ lạ</t>
  </si>
  <si>
    <t>Kakaiba ang hugis nito</t>
  </si>
  <si>
    <t>Hình này là hình thoi phải không ạ?</t>
  </si>
  <si>
    <t>Diamond ba ang hugis na ito ?</t>
  </si>
  <si>
    <t>Bǎobǎo hái hěn ǎi.</t>
  </si>
  <si>
    <t>Cháu thích những thứ nhỏ xinh</t>
  </si>
  <si>
    <t>Gusto ko ng mga maliliit at cute</t>
  </si>
  <si>
    <t>Cái bánh này hình tròn như mặt trăng</t>
  </si>
  <si>
    <t>Bilog ang tinapay na parang buwan</t>
  </si>
  <si>
    <t>Zhè zhāng zhuōzǐ tài kuānle.</t>
  </si>
  <si>
    <t>Bút chì của cháu bị ngắn rồi</t>
  </si>
  <si>
    <t>Maikli na ang lapis ko</t>
  </si>
  <si>
    <t>Cháu cần một sợi dây dài hơn</t>
  </si>
  <si>
    <t>Kailangan ko ng mas mahabang tali</t>
  </si>
  <si>
    <t xml:space="preserve">Zhè tiáo lù tài zhǎile. </t>
  </si>
  <si>
    <t>Cái túi này chứa được nhiều đồ lắm</t>
  </si>
  <si>
    <t>Maraming kasya sa bag na ito</t>
  </si>
  <si>
    <t>Xīngxīng yǒu jǐ gè jiǎo?</t>
  </si>
  <si>
    <t>Nó rỗng tuếch, không có gì bên trong</t>
  </si>
  <si>
    <t>Walang laman , bakante</t>
  </si>
  <si>
    <t>Tā shì yī kē hóngxīn.</t>
  </si>
  <si>
    <t>Nó đầy ắp rồi!</t>
  </si>
  <si>
    <t>Puno na</t>
  </si>
  <si>
    <t>Cháu muốn cắt giấy thành hình tròn</t>
  </si>
  <si>
    <t>Gugupit ako ng bilog sa papel</t>
  </si>
  <si>
    <t>Tā shì tuǒyuán xíng de.</t>
  </si>
  <si>
    <t>Hãy vẽ một hình vuông nhé</t>
  </si>
  <si>
    <t>Gumuhit tayo ng square</t>
  </si>
  <si>
    <t>Cái tháp này cao chọc trời</t>
  </si>
  <si>
    <t>Nakataas sa langit ang tore</t>
  </si>
  <si>
    <t>Zhège zhěntou hěn ruǎn.</t>
  </si>
  <si>
    <t>Con sông này rất rộng</t>
  </si>
  <si>
    <t>Malawak ang ilog na ito</t>
  </si>
  <si>
    <t>Con suối này nhỏ và xinh</t>
  </si>
  <si>
    <t>Maliit at maganda ang sapa</t>
  </si>
  <si>
    <t>Zhè kuài shítou tài yìngle.</t>
  </si>
  <si>
    <t>Quả bóng này căng tròn</t>
  </si>
  <si>
    <t>Ang bilog ng bola</t>
  </si>
  <si>
    <t>Nó hơi móp một chút rồi  (dented)</t>
  </si>
  <si>
    <t>Medyo pito</t>
  </si>
  <si>
    <t>Zhège biǎomiàn hěn guānghuá.</t>
  </si>
  <si>
    <t>Cháu thích hình khối này</t>
  </si>
  <si>
    <t>Gusto ko ang block na ito</t>
  </si>
  <si>
    <t>Kích thước này vừa vặn với cháu</t>
  </si>
  <si>
    <t>Sakto lang ang size na ito</t>
  </si>
  <si>
    <t xml:space="preserve">Zhè li yǒudiǎn cūcāo. </t>
  </si>
  <si>
    <t>Mọi hình dáng đều có cái đẹp riêng</t>
  </si>
  <si>
    <t>Lahat ng hugis ay maganda</t>
  </si>
  <si>
    <t>Nǐ yào dà de háishì xiǎo de?</t>
  </si>
  <si>
    <t>Wǒ yào zhōngjiān de.</t>
  </si>
  <si>
    <t>Zhè shuāng xié duì wǒ lái shuō yǒudiǎn dàle.</t>
  </si>
  <si>
    <t xml:space="preserve"> Zhè shuāng wàzǐ tài jǐnle.</t>
  </si>
  <si>
    <t>Tā de xíngzhuàng hěn qíguài.</t>
  </si>
  <si>
    <t xml:space="preserve"> Zhè shì língxíng ma?</t>
  </si>
  <si>
    <t xml:space="preserve"> Wǒ xǐhuān xiǎoqiǎo jīngzhì de dōngxī.</t>
  </si>
  <si>
    <t>Zhè kuài dàngāoxiàng yuèliàng yīyàng yuán.</t>
  </si>
  <si>
    <t>Wǒ de qiānbǐ tài duǎnle.</t>
  </si>
  <si>
    <t>Wǒ xūyào yī gēn gèng zhǎng de shéngzǐ.</t>
  </si>
  <si>
    <t>Zhège dàizǐ néng zhuāng hěnduō dōngxī.</t>
  </si>
  <si>
    <t>Tā shì kōng de, lǐmiàn shénme dōu méiyǒu.</t>
  </si>
  <si>
    <t>Tā zhuāng mǎnle!</t>
  </si>
  <si>
    <t>Wǒ xiǎng bǎ zhǐ jiǎn chéng yuán xíng.</t>
  </si>
  <si>
    <t>Wǒmen lái huà gè zhèngfāngxíng ba.</t>
  </si>
  <si>
    <t>Zhè zuò tǎ hěn gāo.</t>
  </si>
  <si>
    <t>Zhè tiáo hé hěn kuān.</t>
  </si>
  <si>
    <t>Zhè tiáo xiǎo xī yòu xiǎo yòu piàoliang.</t>
  </si>
  <si>
    <t>Zhège qiú shì wánměi de yuán xíng.</t>
  </si>
  <si>
    <t>Tā yǒudiǎn āo xiàn.</t>
  </si>
  <si>
    <t>Wǒ xǐhuān zhège xíngzhuàng.</t>
  </si>
  <si>
    <t>Zhège chǐcùn hěn shìhé wǒ.</t>
  </si>
  <si>
    <t>Měi zhǒng xíngzhuàng dōu yǒu tā dútè dì měi.</t>
  </si>
  <si>
    <t>Chủ đề 31: Đồ dùng trong nhà</t>
  </si>
  <si>
    <t>Cái bàn này chắc chắn quá.</t>
  </si>
  <si>
    <t>Matibay ang mesa na ito .</t>
  </si>
  <si>
    <t>Zhè zhāng zhuōzǐ zhēn jiēshi.</t>
  </si>
  <si>
    <t>Cháu đang ngồi trên ghế.</t>
  </si>
  <si>
    <t>Nakaupo ako sa upuan .</t>
  </si>
  <si>
    <t>Cháu muốn nằm trên sofa.</t>
  </si>
  <si>
    <t>Gusto ko humiga sa sofa .</t>
  </si>
  <si>
    <t>Wǒ zhèng zuò zài yǐzǐ shàng.</t>
  </si>
  <si>
    <t>Bật TV lên nhé bác.</t>
  </si>
  <si>
    <t>Pakibukas ng TV .</t>
  </si>
  <si>
    <t>Cháu đang tìm cái điều khiển (remote).</t>
  </si>
  <si>
    <t>Hinahanap ko ang remote .</t>
  </si>
  <si>
    <t>Wǒ xiǎng tǎng zài shāfā shàng.</t>
  </si>
  <si>
    <t>Cửa sổ đang mở ạ.</t>
  </si>
  <si>
    <t>Nakabukas ang bintana .</t>
  </si>
  <si>
    <t>Bác đóng cửa chính giúp cháu nhé.</t>
  </si>
  <si>
    <t>Pakisara ang pinto .</t>
  </si>
  <si>
    <t>Qǐng dǎkāi diànshì.</t>
  </si>
  <si>
    <t>Cái rèm cửa này màu đẹp quá.</t>
  </si>
  <si>
    <t>Ang ganda ng kulay ng kurtina .</t>
  </si>
  <si>
    <t>Cháu cần một cái gối.</t>
  </si>
  <si>
    <t>Kailangan ko ng unan .</t>
  </si>
  <si>
    <t>Wǒ zài zhǎo yáokòng qì.</t>
  </si>
  <si>
    <t>Đắp chăn cho ấm nhé.</t>
  </si>
  <si>
    <t>Mag-kumot para mainit .</t>
  </si>
  <si>
    <t>Cháu đang soi gương.</t>
  </si>
  <si>
    <t>Nananalamin ako .</t>
  </si>
  <si>
    <t>Chuānghù kāizhe.</t>
  </si>
  <si>
    <t>Tủ quần áo của cháu ở đây.</t>
  </si>
  <si>
    <t>Narito ang aparador ko .</t>
  </si>
  <si>
    <t>Treo quần áo vào móc nhé.</t>
  </si>
  <si>
    <t>Isabit ang damit sa hanger .</t>
  </si>
  <si>
    <t>Qǐng bāng wǒ guānshàng qiánmén.</t>
  </si>
  <si>
    <t>Cháu cần cái đèn bàn để học bài.</t>
  </si>
  <si>
    <t>Kailangan ko ng lamp para mag-aral .</t>
  </si>
  <si>
    <t>Quạt điện đang quay mát quá.</t>
  </si>
  <si>
    <t>Presko ang electric fan .</t>
  </si>
  <si>
    <t>Zhèxiē chuānglián zhēn piàoliang.</t>
  </si>
  <si>
    <t>Bật điều hòa lên được không ạ?</t>
  </si>
  <si>
    <t>Pwede bang buksan ang aircon ?</t>
  </si>
  <si>
    <t>Cháu đang quét nhà.</t>
  </si>
  <si>
    <t>Nagwawalis ako ng sahig .</t>
  </si>
  <si>
    <t>Wǒ xūyào yīgè zhěntou.</t>
  </si>
  <si>
    <t>Cái chổi ở đâu ạ?</t>
  </si>
  <si>
    <t>Nasaan ang walis ?</t>
  </si>
  <si>
    <t>Cháu đi lau nhà đây.</t>
  </si>
  <si>
    <t>Maglalampaso ako ng sahig .</t>
  </si>
  <si>
    <t>Gài shàng tǎnzǐ bǎonuǎn.</t>
  </si>
  <si>
    <t>Thùng rác đầy rồi ạ.</t>
  </si>
  <si>
    <t>Puno na ang basura .</t>
  </si>
  <si>
    <t>Cháu cần cái kéo.</t>
  </si>
  <si>
    <t>Kailangan ko ng gunting .</t>
  </si>
  <si>
    <t>Wǒ zài zhào jìngzǐ.</t>
  </si>
  <si>
    <t>Băng dính ở trong ngăn kéo.</t>
  </si>
  <si>
    <t>Nasa drawer ang tape .</t>
  </si>
  <si>
    <t>Đồng hồ treo tường chạy đúng giờ quá.</t>
  </si>
  <si>
    <t>On time ang wall clock .</t>
  </si>
  <si>
    <t>Wǒ de yīguì zài zhèlǐ.</t>
  </si>
  <si>
    <t>Thay pin cho đồng hồ nhé.</t>
  </si>
  <si>
    <t>Palitan natin ng battery ang orasan .</t>
  </si>
  <si>
    <t>Cháu thích cái thảm này.</t>
  </si>
  <si>
    <t>Gusto ko itong carpet .</t>
  </si>
  <si>
    <t>Bǎ yīfú guà zài yījià shàng.</t>
  </si>
  <si>
    <t>Để giày lên kệ nhé.</t>
  </si>
  <si>
    <t>Ilagay ang sapatos sa shoe rack .</t>
  </si>
  <si>
    <t>Cháu đang cắm sạc điện thoại.</t>
  </si>
  <si>
    <t>Nagcha-charge ako ng cellphone .</t>
  </si>
  <si>
    <t>Wǒ xūyào yī zhǎn táidēng lái xuéxí.</t>
  </si>
  <si>
    <t>Nasaan ang socket ?</t>
  </si>
  <si>
    <t>Cẩn thận kẻo điện giật nhé.</t>
  </si>
  <si>
    <t>Ingat , baka makuryente .</t>
  </si>
  <si>
    <t>Diàn fēngshàn zhuǎn dé zhēn hǎo.</t>
  </si>
  <si>
    <t>Cháu đang đọc sách trên giường.</t>
  </si>
  <si>
    <t>Nagbabasa ako sa kama .</t>
  </si>
  <si>
    <t>Ga trải giường sạch sẽ quá.</t>
  </si>
  <si>
    <t>Malinis ang bedsheet .</t>
  </si>
  <si>
    <t>Wǒ kěyǐ dǎkāi kòngtiáo ma?</t>
  </si>
  <si>
    <t>Cháu cần một cái khăn tắm.</t>
  </si>
  <si>
    <t>Kailangan ko ng tuwalya .</t>
  </si>
  <si>
    <t>Bàn chải đánh răng của cháu màu xanh.</t>
  </si>
  <si>
    <t>Kulay asul ang toothbrush ko .</t>
  </si>
  <si>
    <t>Wǒ zài sǎodì.</t>
  </si>
  <si>
    <t>Hết kem đánh răng rồi ạ.</t>
  </si>
  <si>
    <t>Ubus na ang toothpaste .</t>
  </si>
  <si>
    <t>Cháu đang rửa mặt ở bồn rửa.</t>
  </si>
  <si>
    <t>Naghuhugas ako sa sink .</t>
  </si>
  <si>
    <t>Sàozhǒu zài nǎ'er?</t>
  </si>
  <si>
    <t>Vòi nước bị rò rỉ rồi.</t>
  </si>
  <si>
    <t>May tulo ang gripo .</t>
  </si>
  <si>
    <t>Cháu đi tắm đây.</t>
  </si>
  <si>
    <t>Maliligo na ako .</t>
  </si>
  <si>
    <t>Wǒ yào tuō dì.</t>
  </si>
  <si>
    <t>Xà phòng thơm quá!</t>
  </si>
  <si>
    <t>Ang bango ng sabon !</t>
  </si>
  <si>
    <t>Cháu đang dùng máy sấy tóc.</t>
  </si>
  <si>
    <t>Gumagamit ako ng hair dryer .</t>
  </si>
  <si>
    <t>Lèsè tǒng mǎnle.</t>
  </si>
  <si>
    <t>Cái lược này bị gãy rồi.</t>
  </si>
  <si>
    <t>Putol na ang suklay .</t>
  </si>
  <si>
    <t>Cháu cần một cái túi xách.</t>
  </si>
  <si>
    <t>Kailangan ko ng bag .</t>
  </si>
  <si>
    <t>Wǒ xūyào jiǎndāo.</t>
  </si>
  <si>
    <t>Để chìa khóa trên kệ nhé.</t>
  </si>
  <si>
    <t>Iwan ang susi sa table .</t>
  </si>
  <si>
    <t>Cháu đang mở tủ lạnh.</t>
  </si>
  <si>
    <t>Binubuksan ko ang ref .</t>
  </si>
  <si>
    <t>Jiāodài zài chōutì lǐ.</t>
  </si>
  <si>
    <t>Trong tủ có nước mát không ạ?</t>
  </si>
  <si>
    <t>May malamig bang tubig sa ref ?</t>
  </si>
  <si>
    <t>Cháu thích cái cốc (ly) này.</t>
  </si>
  <si>
    <t>Gusto ko itong baso .</t>
  </si>
  <si>
    <t>Guàzhōng zǒushí hěn zhǔn.</t>
  </si>
  <si>
    <t>Để bát đĩa vào chậu rửa nhé.</t>
  </si>
  <si>
    <t>Ilagay ang mga plato sa lababo .</t>
  </si>
  <si>
    <t>Cháu đang lau bàn ăn.</t>
  </si>
  <si>
    <t>Nagpupunas ako ng mesa .</t>
  </si>
  <si>
    <t>Gēnghuàn guàzhōng diànchí.</t>
  </si>
  <si>
    <t>Nhà mình sạch đẹp quá!</t>
  </si>
  <si>
    <t>Ang linis at ganda ng bahay natin !</t>
  </si>
  <si>
    <t>Cháu yêu ngôi nhà của mình.</t>
  </si>
  <si>
    <t>Mahal ko ang bahay natin .</t>
  </si>
  <si>
    <t>Wǒ xǐhuān zhè zhāng dìtǎn.</t>
  </si>
  <si>
    <t>Good night sa lahat .</t>
  </si>
  <si>
    <t>Bǎ xiézǐ fàng zài jiàzǐ shàng.</t>
  </si>
  <si>
    <t>Wǒ zài gěi shǒujī chōngdiàn.</t>
  </si>
  <si>
    <t>Xiǎoxīn bié chùdiàn.</t>
  </si>
  <si>
    <t>Wǒ zài chuángshàng kànshū.</t>
  </si>
  <si>
    <t>Chuángdān zhēn gānjìng.</t>
  </si>
  <si>
    <t>Wǒ xūyào yītiáo máojīn.</t>
  </si>
  <si>
    <t>Wǒ de yáshuā shì lán sè de.</t>
  </si>
  <si>
    <t>Wǒ de yágāo yòng wánliǎo.</t>
  </si>
  <si>
    <t>Wǒ zài shuǐcáo lǐ xǐliǎn.</t>
  </si>
  <si>
    <t>Shuǐlóngtóu lòushuǐle.</t>
  </si>
  <si>
    <t>Wǒ yào qù xǐzǎo.</t>
  </si>
  <si>
    <t>Féizào zhēnxiāng!</t>
  </si>
  <si>
    <t>Wǒ zài yòng chuīfēngjī.</t>
  </si>
  <si>
    <t>Zhè bǎ shūzǐ huàile.</t>
  </si>
  <si>
    <t>Wǒ xūyào yīgè shǒutí bāo.</t>
  </si>
  <si>
    <t>Bǎ yàoshi fàng zài jiàzǐ shàng.</t>
  </si>
  <si>
    <t>Wǒ zài dǎkāi bīngxiāng.</t>
  </si>
  <si>
    <t>Bīngxiāng li yǒu lěngshuǐ ma?</t>
  </si>
  <si>
    <t>Wǒ xǐhuān zhège bēizǐ.</t>
  </si>
  <si>
    <t>Bǎ wǎn dié fàng dào shuǐcáo lǐ.</t>
  </si>
  <si>
    <t>Wǒ zài cā cānzhuō.</t>
  </si>
  <si>
    <t>Wǒmen de fángzǐ zhēn gānjìng piàoliang!</t>
  </si>
  <si>
    <t>Wǒ ài wǒ de fángzǐ.</t>
  </si>
  <si>
    <t>Dàjiā wǎn'ān.</t>
  </si>
  <si>
    <t>Chủ đề 32: Các loại Rau Củ Quả</t>
  </si>
  <si>
    <t>Cháu thích ăn trái cây.</t>
  </si>
  <si>
    <t>Wǒ xǐhuān chī shuǐguǒ.</t>
  </si>
  <si>
    <t>Quả xoài này ngọt quá!</t>
  </si>
  <si>
    <t>Ang tamis ng mangga !</t>
  </si>
  <si>
    <t>Cháu thích ăn xoài xanh với mắm tôm.</t>
  </si>
  <si>
    <t>Gusto ko ng hilaw na mangga at bagoong .</t>
  </si>
  <si>
    <t>Zhège mángguǒ tài tiánle!</t>
  </si>
  <si>
    <t>Quả chuối này chín rồi.</t>
  </si>
  <si>
    <t>Hinog na ang saging .</t>
  </si>
  <si>
    <t>Cháu muốn ăn đu đủ.</t>
  </si>
  <si>
    <t>Gusto ko ng papaya .</t>
  </si>
  <si>
    <t>Wǒ xǐhuān chī zhàn xiā jiàng de qīng mángguǒ.</t>
  </si>
  <si>
    <t>Quả dứa (thơm) này chua quá.</t>
  </si>
  <si>
    <t>Ang asim ng pinya .</t>
  </si>
  <si>
    <t>Cháu thích uống nước dừa.</t>
  </si>
  <si>
    <t>Gusto ko uminom ng buko juice .</t>
  </si>
  <si>
    <t>Zhè gēn xiāngjiāo shúle.</t>
  </si>
  <si>
    <t>Quả dưa hấu này to thật!</t>
  </si>
  <si>
    <t>Ang laki ng pakwan !</t>
  </si>
  <si>
    <t>Cháu thích ăn cam.</t>
  </si>
  <si>
    <t>Gusto ko ng dalandan .</t>
  </si>
  <si>
    <t>Wǒ xiǎng chī mùguā.</t>
  </si>
  <si>
    <t>Quả táo này giòn quá.</t>
  </si>
  <si>
    <t>Ang lutong (crunchy) ng mansanas .</t>
  </si>
  <si>
    <t>Cháu thích nho không hạt.</t>
  </si>
  <si>
    <t>Gusto ko ng ubas na walang buto .</t>
  </si>
  <si>
    <t>Zhège bōluó tài suānle.</t>
  </si>
  <si>
    <t>Quả bơ này rất ngậy.</t>
  </si>
  <si>
    <t>Ang creamy ng abokado .</t>
  </si>
  <si>
    <t>Cháu thích ăn dâu tây.</t>
  </si>
  <si>
    <t>Gusto ko ng strawberry .</t>
  </si>
  <si>
    <t>Wǒ xǐhuān hē yēzǐ shuǐ.</t>
  </si>
  <si>
    <t>Quả sầu riêng có mùi rất mạnh.</t>
  </si>
  <si>
    <t>Matapang ang amoy ng durian .</t>
  </si>
  <si>
    <t>Cháu thích ăn rau xanh.</t>
  </si>
  <si>
    <t>Gusto ko ng gulay .</t>
  </si>
  <si>
    <t>Zhège xīguā hào dà!</t>
  </si>
  <si>
    <t>Bắp cải này tươi quá.</t>
  </si>
  <si>
    <t>Sariwa ang repolyo .</t>
  </si>
  <si>
    <t>Cháu đang nhặt rau muống.</t>
  </si>
  <si>
    <t>Naghihimay ako ng kangkong .</t>
  </si>
  <si>
    <t>Wǒ xǐhuān chī chéngzǐ.</t>
  </si>
  <si>
    <t>Củ cà rốt màu cam.</t>
  </si>
  <si>
    <t>Kulay orange ang carrots .</t>
  </si>
  <si>
    <t>Cháu thích ăn khoai tây chiên.</t>
  </si>
  <si>
    <t>Gusto ko ng french fries (potato).</t>
  </si>
  <si>
    <t>Zhège píngguǒ tài cuìle.</t>
  </si>
  <si>
    <t>Quả cà chua này đỏ mọng.</t>
  </si>
  <si>
    <t>Ang pula ng kamatis .</t>
  </si>
  <si>
    <t>Cháu không thích ăn hành tây.</t>
  </si>
  <si>
    <t>Ayaw ko ng sibuyas .</t>
  </si>
  <si>
    <t>Wǒ xǐhuān wú zǐ pútáo.</t>
  </si>
  <si>
    <t>Tỏi giúp món ăn thơm hơn.</t>
  </si>
  <si>
    <t>Pampabango ng luto ang bawang .</t>
  </si>
  <si>
    <t>Quả ớt này cay xè!</t>
  </si>
  <si>
    <t>Ang anghang ng sili !</t>
  </si>
  <si>
    <t>Zhège niúyóuguǒ hěn miánruǎn.</t>
  </si>
  <si>
    <t>Cháu thích ăn ngô (bắp) luộc.</t>
  </si>
  <si>
    <t>Gusto ko ng nilagang mais .</t>
  </si>
  <si>
    <t>Quả dưa chuột (dưa leo) rất mát.</t>
  </si>
  <si>
    <t>Presko ang pipino .</t>
  </si>
  <si>
    <t>Wǒ xǐhuān chī cǎoméi.</t>
  </si>
  <si>
    <t>Cháu thích ăn bí ngô.</t>
  </si>
  <si>
    <t>Gusto ko ng kalabasa .</t>
  </si>
  <si>
    <t>Đậu que này dài quá.</t>
  </si>
  <si>
    <t>Ang haba ng sitaw .</t>
  </si>
  <si>
    <t>Liúlián wèidào hěn nóng.</t>
  </si>
  <si>
    <t>Quả cà tím này dùng để nướng nhé.</t>
  </si>
  <si>
    <t>I-ihawin natin ang talong .</t>
  </si>
  <si>
    <t>Cháu thích ăn mướp đắng (khổ qua).</t>
  </si>
  <si>
    <t>Gusto ko ng ampalaya .</t>
  </si>
  <si>
    <t>Wǒ xǐhuān chī lǜyè shūcài.</t>
  </si>
  <si>
    <t>Rau xà lách này rất sạch.</t>
  </si>
  <si>
    <t>Malinis ang lettuce .</t>
  </si>
  <si>
    <t>Cháu muốn mua 1 cân xoài.</t>
  </si>
  <si>
    <t>Bibili ako ng isang kilong mangga .</t>
  </si>
  <si>
    <t>Zhè juǎnxīncài zhēn xīnxiān.</t>
  </si>
  <si>
    <t>Giá bao nhiêu một cân ạ?</t>
  </si>
  <si>
    <t>Magkano ang isang kilo ?</t>
  </si>
  <si>
    <t>Cho cháu chọn quả này nhé.</t>
  </si>
  <si>
    <t>Piliin ko itong isa .</t>
  </si>
  <si>
    <t>Wǒ zài zhāi kōngxīncài.</t>
  </si>
  <si>
    <t>Cháu thích đi chợ hoa quả.</t>
  </si>
  <si>
    <t>Gusto ko pumunta sa fruit stand .</t>
  </si>
  <si>
    <t>Nước ép trái cây rất tốt cho sức khỏe.</t>
  </si>
  <si>
    <t>Healthy ang fruit juice .</t>
  </si>
  <si>
    <t>Húluóbo shì chéngsè de.</t>
  </si>
  <si>
    <t>Cháu đang rửa hoa quả.</t>
  </si>
  <si>
    <t>Naghuhugas ako ng prutas .</t>
  </si>
  <si>
    <t>Gọt vỏ giúp cháu nhé.</t>
  </si>
  <si>
    <t>Pabalat naman nito .</t>
  </si>
  <si>
    <t>Wǒ xǐhuān chī zhà shǔ tiáo.</t>
  </si>
  <si>
    <t>Cháu muốn ăn salad trái cây.</t>
  </si>
  <si>
    <t>Gusto ko ng fruit salad .</t>
  </si>
  <si>
    <t>Quả chanh này nhiều nước quá.</t>
  </si>
  <si>
    <t>Ma-juice ang calamansi .</t>
  </si>
  <si>
    <t>Zhège xīhóngshì xiānhóng yù dī.</t>
  </si>
  <si>
    <t>Cháu thích ăn hạt điều.</t>
  </si>
  <si>
    <t>Gusto ko ng kasoy .</t>
  </si>
  <si>
    <t>Quả đậu phộng này bùi quá.</t>
  </si>
  <si>
    <t>Masarap ang mani .</t>
  </si>
  <si>
    <t>Wǒ bù xǐhuān chī yángcōng.</t>
  </si>
  <si>
    <t>Cháu thích ăn khoai lang nướng.</t>
  </si>
  <si>
    <t>Gusto ko ng kamote .</t>
  </si>
  <si>
    <t>Củ gừng này cay quá.</t>
  </si>
  <si>
    <t>Ang anghang ng luya .</t>
  </si>
  <si>
    <t>Dàsuàn néng ràng shíwù gēng xiāng.</t>
  </si>
  <si>
    <t>Cháu thích ăn nấm.</t>
  </si>
  <si>
    <t>Gusto ko ng kabute .</t>
  </si>
  <si>
    <t>Quả măng cụt là nữ hoàng trái cây.</t>
  </si>
  <si>
    <t>Queen of fruits ang mangosteen .</t>
  </si>
  <si>
    <t>Zhège làjiāo hǎo là!</t>
  </si>
  <si>
    <t>Cháu thích ăn chôm chôm.</t>
  </si>
  <si>
    <t>Gusto ko ng rambutan .</t>
  </si>
  <si>
    <t>Quả mít này thơm nức mũi.</t>
  </si>
  <si>
    <t>Ang bango ng langka .</t>
  </si>
  <si>
    <t>Wǒ xǐhuān chī zhǔ yùmǐ.</t>
  </si>
  <si>
    <t>Cháu thích ăn trái cây mỗi ngày.</t>
  </si>
  <si>
    <t>Kumakain ako ng prutas araw-araw .</t>
  </si>
  <si>
    <t>Cảm ơn bác đã mua trái cây cho cháu.</t>
  </si>
  <si>
    <t>Salamat sa pagbili ng prutas .</t>
  </si>
  <si>
    <t>Huángguā hěn qīngshuǎng.</t>
  </si>
  <si>
    <t>Hoa quả Philippines thật tuyệt vời!</t>
  </si>
  <si>
    <t>The best ang mga prutas sa Pilipinas !</t>
  </si>
  <si>
    <t>Wǒ xǐhuān chī nánguā.</t>
  </si>
  <si>
    <t>Zhèxiē sìjì dòu tài zhǎngle.</t>
  </si>
  <si>
    <t>Zhège qiézǐ shì yòng lái kǎo de.</t>
  </si>
  <si>
    <t>Wǒ xǐhuān chī kǔguā.</t>
  </si>
  <si>
    <t>Zhè kē shēngcài hěn gānjìng.</t>
  </si>
  <si>
    <t>Wǒ xiǎng mǎi yī gōngjīn mángguǒ.</t>
  </si>
  <si>
    <t>Yī gōngjīn duōshǎo qián?</t>
  </si>
  <si>
    <t>Ràng wǒ xuǎn zhège.</t>
  </si>
  <si>
    <t>Wǒ xǐhuān qù shuǐguǒ shìchǎng.</t>
  </si>
  <si>
    <t>Guǒzhī duì jiànkāng fēicháng yǒuyì.</t>
  </si>
  <si>
    <t>Wǒ zài xǐ shuǐguǒ.</t>
  </si>
  <si>
    <t>Qǐng bāng wǒ xiāo pí.</t>
  </si>
  <si>
    <t>Wǒ xiǎng chī shuǐguǒ shālā.</t>
  </si>
  <si>
    <t>Zhège níngméng zhīshui tài duōle.</t>
  </si>
  <si>
    <t>Wǒ xǐhuān chī yāoguǒ.</t>
  </si>
  <si>
    <t>Zhè huāshēng tài xiāngle.</t>
  </si>
  <si>
    <t>Wǒ xǐhuān chī kǎo hóngshǔ.</t>
  </si>
  <si>
    <t>Zhè jiāng tài làle.</t>
  </si>
  <si>
    <t>Wǒ xǐhuān chī mógū.</t>
  </si>
  <si>
    <t>Shānzhú shì shuǐguǒ huánghòu.</t>
  </si>
  <si>
    <t>Wǒ xǐhuān chī hóng máo dān.</t>
  </si>
  <si>
    <t>Zhè bōluómì wén qǐlái zhēnxiāng.</t>
  </si>
  <si>
    <t>Wǒ xǐhuān měitiān chī shuǐguǒ.</t>
  </si>
  <si>
    <t>Xièxiè nǐ bāng wǒ mǎi shuǐguǒ.</t>
  </si>
  <si>
    <t>Fēilǜbīn de shuǐguǒ zhēn bàng!</t>
  </si>
  <si>
    <t>Chủ đề 33: Công nghệ và Máy tính</t>
  </si>
  <si>
    <t>Cháu muốn dùng máy tính.</t>
  </si>
  <si>
    <t>Gusto ko gumamit ng computer .</t>
  </si>
  <si>
    <t>Wǒ xiǎng yòng diànnǎo.</t>
  </si>
  <si>
    <t>Máy tính này chạy nhanh quá.</t>
  </si>
  <si>
    <t>Ang bilis ng computer na ito .</t>
  </si>
  <si>
    <t>Cháu đang bật máy lên.</t>
  </si>
  <si>
    <t>Binubuksan ko na .</t>
  </si>
  <si>
    <t>Zhè tái diànnǎo tài kuàile.</t>
  </si>
  <si>
    <t>Cho cháu mượn con chuột.</t>
  </si>
  <si>
    <t>Pahiram ng mouse .</t>
  </si>
  <si>
    <t>Bàn phím này bị kẹt rồi.</t>
  </si>
  <si>
    <t>Stock-up ang keyboard .</t>
  </si>
  <si>
    <t>Wǒ zhèngzài kāijī.</t>
  </si>
  <si>
    <t>Cháu cần một cái tai nghe.</t>
  </si>
  <si>
    <t>Kailangan ko ng headphones .</t>
  </si>
  <si>
    <t>Cháu đang làm bài tập trên mạng.</t>
  </si>
  <si>
    <t>Gumagawa ako ng homework online .</t>
  </si>
  <si>
    <t>Wǒ kěyǐ jièyòng yīxià nǐ de shǔbiāo ma?</t>
  </si>
  <si>
    <t>Bạn có chơi game không?</t>
  </si>
  <si>
    <t>Naglalaro ka ba ng games ?</t>
  </si>
  <si>
    <t>Cháu thích chơi game Roblox.</t>
  </si>
  <si>
    <t>Gusto ko maglaro ng Roblox .</t>
  </si>
  <si>
    <t>Zhège jiànpán kǎ zhùle.</t>
  </si>
  <si>
    <t>Đừng chơi lâu quá nhé.</t>
  </si>
  <si>
    <t>Huwag masyadong matagal maglaro .</t>
  </si>
  <si>
    <t>Cháu chỉ chơi thêm 5 phút thôi ạ.</t>
  </si>
  <si>
    <t>Five minutes na lang .</t>
  </si>
  <si>
    <t>Wǒ xūyào yīgè ěrjī.</t>
  </si>
  <si>
    <t>Cháu đang tải cái này về.</t>
  </si>
  <si>
    <t>Dina-download ko ito .</t>
  </si>
  <si>
    <t>Cháu muốn in tài liệu này.</t>
  </si>
  <si>
    <t>Gusto ko mag-print ng dokumento .</t>
  </si>
  <si>
    <t>Wǒ zhèngzài wǎngshàng zuò zuo yè.</t>
  </si>
  <si>
    <t>Máy in hết giấy rồi ạ.</t>
  </si>
  <si>
    <t>Wala na papel ang printer .</t>
  </si>
  <si>
    <t>Cháu cần sạc pin cho máy tính.</t>
  </si>
  <si>
    <t>Kailangan ko i-charge ang laptop .</t>
  </si>
  <si>
    <t>Nǐ wán yóuxì ma?</t>
  </si>
  <si>
    <t>Dây sạc ở đâu ạ?</t>
  </si>
  <si>
    <t>Nasaan ang charger ?</t>
  </si>
  <si>
    <t>Cháu đang lướt mạng.</t>
  </si>
  <si>
    <t>Nag-i-internet ako .</t>
  </si>
  <si>
    <t>Wǒ xǐhuān wán Roblox.</t>
  </si>
  <si>
    <t>Wifi ở đây mạnh quá.</t>
  </si>
  <si>
    <t>Ang lakas ng Wifi dito .</t>
  </si>
  <si>
    <t>Cháu bị mất kết nối rồi.</t>
  </si>
  <si>
    <t>Nawala ang connection ko .</t>
  </si>
  <si>
    <t>Bié wán tài jiǔ.</t>
  </si>
  <si>
    <t>Cháu cần tạo một tài khoản.</t>
  </si>
  <si>
    <t>Kailangan ko gumawa ng account .</t>
  </si>
  <si>
    <t>Đừng cho ai biết mật khẩu nhé.</t>
  </si>
  <si>
    <t>Huwag ipamigay ang password .</t>
  </si>
  <si>
    <t>Wǒ zài wán 5 fēnzhōng.</t>
  </si>
  <si>
    <t>Cháu đang viết thư điện tử (email).</t>
  </si>
  <si>
    <t>Nagsusulat ako ng email .</t>
  </si>
  <si>
    <t>Gửi cho cháu cái file này nhé.</t>
  </si>
  <si>
    <t>Paki-send sa akin ang file na ito .</t>
  </si>
  <si>
    <t>Wǒ zhèngzài xiàzài zhège.</t>
  </si>
  <si>
    <t>Cháu muốn lưu lại ảnh này.</t>
  </si>
  <si>
    <t>Gusto ko i-save ang picture na ito .</t>
  </si>
  <si>
    <t>Màn hình này sáng quá.</t>
  </si>
  <si>
    <t>Masyadong maliwanag ang screen .</t>
  </si>
  <si>
    <t>Wǒ xiǎng dǎyìn zhè fèn wénjiàn.</t>
  </si>
  <si>
    <t>Cho cháu nhỏ độ sáng lại ạ.</t>
  </si>
  <si>
    <t>Paki-hinaan ang brightness .</t>
  </si>
  <si>
    <t>Cháu đang xem video trên YouTube.</t>
  </si>
  <si>
    <t>Nanonood ako sa YouTube .</t>
  </si>
  <si>
    <t>Dǎyìnjī méi zhǐle.</t>
  </si>
  <si>
    <t>Video này rất bổ ích.</t>
  </si>
  <si>
    <t>Educational ang video na ito .</t>
  </si>
  <si>
    <t>Cháu thích công nghệ mới.</t>
  </si>
  <si>
    <t>Gusto ko ng bagong technology .</t>
  </si>
  <si>
    <t>Wǒ xūyào gěi diànnǎo chōngdiàn.</t>
  </si>
  <si>
    <t>Bạn có biết dùng phần mềm này không?</t>
  </si>
  <si>
    <t>Marunong ka ba sa software na ito ?</t>
  </si>
  <si>
    <t>Dạy cháu với nhé.</t>
  </si>
  <si>
    <t>Turuan niyo ako .</t>
  </si>
  <si>
    <t>Chōngdiàn xiànzài nǎlǐ?</t>
  </si>
  <si>
    <t>Cháu đang gõ văn bản.</t>
  </si>
  <si>
    <t>Nagta-type ako .</t>
  </si>
  <si>
    <t>Cháu muốn lắp thêm loa.</t>
  </si>
  <si>
    <t>Gusto ko maglagay ng speakers .</t>
  </si>
  <si>
    <t>Wǒ zhèngzài shàngwǎng.</t>
  </si>
  <si>
    <t>Âm thanh nghe rất hay.</t>
  </si>
  <si>
    <t>Ang ganda ng sound .</t>
  </si>
  <si>
    <t>Cháu đang cài đặt ứng dụng.</t>
  </si>
  <si>
    <t>Nag-i-install ako ng app .</t>
  </si>
  <si>
    <t>Zhèlǐ de Wi-Fi xìnhào tài qiángle.</t>
  </si>
  <si>
    <t>Cháu muốn xóa bớt rác trong máy.</t>
  </si>
  <si>
    <t>Magbubura ako ng files .</t>
  </si>
  <si>
    <t>Máy tính bị đơ rồi ạ.</t>
  </si>
  <si>
    <t>Nag-hang ang computer .</t>
  </si>
  <si>
    <t>Wǒ de wǎngluò liánjiē duàn kāile.</t>
  </si>
  <si>
    <t>Hãy khởi động lại nhé.</t>
  </si>
  <si>
    <t>Paki-restart .</t>
  </si>
  <si>
    <t>Cháu sợ bị virus máy tính.</t>
  </si>
  <si>
    <t>Takot ako sa computer virus .</t>
  </si>
  <si>
    <t>Wǒ xūyào chuàngjiàn yīgè zhànghào.</t>
  </si>
  <si>
    <t>Phải quét virus thường xuyên ạ.</t>
  </si>
  <si>
    <t>Dapat laging mag-scan ng virus .</t>
  </si>
  <si>
    <t>Cháu muốn mua một chiếc máy tính bảng (Tablet).</t>
  </si>
  <si>
    <t>Gusto ko bumili ng tablet .</t>
  </si>
  <si>
    <t>Bùyào bǎ nǐ de mìmǎ gàosù rènhé rén.</t>
  </si>
  <si>
    <t>Nó rất tiện lợi để học tập.</t>
  </si>
  <si>
    <t>Madaling gamitin para sa pag-aaral .</t>
  </si>
  <si>
    <t>Cháu đang học lập trình nhí.</t>
  </si>
  <si>
    <t>Nag-aaral ako ng coding .</t>
  </si>
  <si>
    <t>Wǒ zhèngzài xiě yóujiàn.</t>
  </si>
  <si>
    <t>Cháu muốn tạo ra một ứng dụng.</t>
  </si>
  <si>
    <t>Gusto ko gumawa ng app .</t>
  </si>
  <si>
    <t>Bạn thật là thông minh!</t>
  </si>
  <si>
    <t>Napakatalino mo !</t>
  </si>
  <si>
    <t>Qǐng bǎ zhège wénjiàn fā gěi wǒ.</t>
  </si>
  <si>
    <t>Cảm ơn bác đã cho cháu dùng máy.</t>
  </si>
  <si>
    <t>Salamat sa pagpahiram ng computer .</t>
  </si>
  <si>
    <t>Cháu sẽ tắt máy đây ạ.</t>
  </si>
  <si>
    <t>Patatayin ko na .</t>
  </si>
  <si>
    <t>Wǒ xiǎng bǎocún zhè zhāng túpiàn.</t>
  </si>
  <si>
    <t>Nhớ rút phích cắm điện nhé.</t>
  </si>
  <si>
    <t>Huwag kalimutang bunutin ang saksakan .</t>
  </si>
  <si>
    <t>Cháu sẽ đi đọc sách giấy đây.</t>
  </si>
  <si>
    <t>Magbabasa na lang ako ng libro .</t>
  </si>
  <si>
    <t>Zhège píngmù tàiliàngle.</t>
  </si>
  <si>
    <t>Công nghệ thật là kỳ diệu!</t>
  </si>
  <si>
    <t>Amazing ang technology !</t>
  </si>
  <si>
    <t>Wǒ kěyǐ diào dī liàngdù ma?</t>
  </si>
  <si>
    <t>Wǒ zhèngzài YouTube shàng kàn shìpín.</t>
  </si>
  <si>
    <t>Zhège shìpín hěn yǒu bāngzhù.</t>
  </si>
  <si>
    <t>Wǒ xǐhuān xīn jìshù.</t>
  </si>
  <si>
    <t>Nǐ zhīdào zěnme yòng zhège ruǎnjiàn ma?</t>
  </si>
  <si>
    <t>Qǐngjiào jiào wǒ.</t>
  </si>
  <si>
    <t>Wǒ zài dǎzì.</t>
  </si>
  <si>
    <t>Wǒ xiǎng tiānjiā yángshēngqì.</t>
  </si>
  <si>
    <t>Yīnzhì zhēn bàng.</t>
  </si>
  <si>
    <t>Wǒ zhèngzài ānzhuāng yīgè yìngyòng chéngxù.</t>
  </si>
  <si>
    <t>Wǒ xiǎng qīnglǐ diànnǎo lǐ de lèsè wénjiàn.</t>
  </si>
  <si>
    <t>Wǒ de diànnǎo sǐjīle.</t>
  </si>
  <si>
    <t>Qǐng chóngqǐ yīxià.</t>
  </si>
  <si>
    <t>Wǒ dānxīn diànnǎo huì zhōng bìngdú.</t>
  </si>
  <si>
    <t>Wǒ xūyào dìngqí sǎomiáo bìngdú.</t>
  </si>
  <si>
    <t>Wǒ xiǎng mǎi yī tái píngbǎn diànnǎo.</t>
  </si>
  <si>
    <t>Tā hěn shìhé xuéxí.</t>
  </si>
  <si>
    <t>Wǒ zhèngzài xuéxí chūjí biānchéng.</t>
  </si>
  <si>
    <t>Wǒ xiǎng kāifā yīgè yìngyòng chéngxù.</t>
  </si>
  <si>
    <t>Nǐ zhēn cōngmíng!</t>
  </si>
  <si>
    <t>Xièxiè nǐ ràng wǒ yòng nǐ de diànnǎo.</t>
  </si>
  <si>
    <t>Wǒ xiànzài yào guānjīle.</t>
  </si>
  <si>
    <t>Jìdé bá diào diànyuán.</t>
  </si>
  <si>
    <t>Wǒ xiàn zài yào qù kàn zhǐ zhì shūle.</t>
  </si>
  <si>
    <t>Kējì zhēn shénqí!</t>
  </si>
  <si>
    <t>Chủ đề 34: Các ngày lễ và Kỷ niệm</t>
  </si>
  <si>
    <t>Hôm nay là ngày gì thế ạ?</t>
  </si>
  <si>
    <t>Chúc mừng sinh nhật bạn!</t>
  </si>
  <si>
    <t>Maligayang kaarawan sa iyo !</t>
  </si>
  <si>
    <t>Đây là quà sinh nhật của bạn.</t>
  </si>
  <si>
    <t>Ito ang regalo ko para sa iyo .</t>
  </si>
  <si>
    <t>Chúc bạn hay ăn chóng lớn.</t>
  </si>
  <si>
    <t>Sana ay lumaki kang malusog .</t>
  </si>
  <si>
    <t>Tiệc sinh nhật vui quá!</t>
  </si>
  <si>
    <t>Ang saya ng birthday party !</t>
  </si>
  <si>
    <t>Zhè shì nǐ de shēngrì lǐwù.</t>
  </si>
  <si>
    <t>Bánh kem ngon quá ạ.</t>
  </si>
  <si>
    <t>Ang sarap ng cake .</t>
  </si>
  <si>
    <t>Chúng mình cùng thổi nến nhé.</t>
  </si>
  <si>
    <t>Hipan na natin ang kandila .</t>
  </si>
  <si>
    <t>Zhù nǐ shēntǐ jiànkāng, zhuózhuàng chéngzhǎng.</t>
  </si>
  <si>
    <t>Hát bài "Chúc mừng sinh nhật" đi!</t>
  </si>
  <si>
    <t>Kantahin natin ang Happy Birthday !</t>
  </si>
  <si>
    <t>Cháu muốn ăn kem.</t>
  </si>
  <si>
    <t>Duōme yǒuqù de shēngrì pàiduì!</t>
  </si>
  <si>
    <t>Chúc mừng năm mới mọi người!</t>
  </si>
  <si>
    <t>Manigong Bagong Taon sa lahat !</t>
  </si>
  <si>
    <t>Cháu được nhận tiền lì xì này.</t>
  </si>
  <si>
    <t>Nakakuha ako ng ampa .</t>
  </si>
  <si>
    <t>Dàngāo zhēn hào chī!</t>
  </si>
  <si>
    <t>Chúc mừng Giáng sinh ạ!</t>
  </si>
  <si>
    <t>Maligayang Pasko !</t>
  </si>
  <si>
    <t>Cháu thích trang trí cây thông.</t>
  </si>
  <si>
    <t>Gusto ko mag-decorate ng Christmas tree .</t>
  </si>
  <si>
    <t>Wǒmen lái chuī làzhú ba!</t>
  </si>
  <si>
    <t>Ở đây có ông già Noel không ạ?</t>
  </si>
  <si>
    <t>May Santa Claus ba rito ?</t>
  </si>
  <si>
    <t>Chúc mừng ngày của Mẹ ạ!</t>
  </si>
  <si>
    <t>Happy Mother's Day , Nanay !</t>
  </si>
  <si>
    <t>Chàng “shēngrì kuài yuè gē”!</t>
  </si>
  <si>
    <t>Cháu yêu mẹ nhất trên đời.</t>
  </si>
  <si>
    <t>Mahal na mahal ko si Nanay .</t>
  </si>
  <si>
    <t>Tặng mẹ bông hoa này nhé.</t>
  </si>
  <si>
    <t>Ito ang bulaklak para sa inyo .</t>
  </si>
  <si>
    <t>Wǒ xiǎng chī bīngqílín.</t>
  </si>
  <si>
    <t>Chúc mừng ngày của Bố ạ!</t>
  </si>
  <si>
    <t>Happy Father's Day , Tatay !</t>
  </si>
  <si>
    <t>Bố là siêu anh hùng của cháu.</t>
  </si>
  <si>
    <t>Ang Tatay ko ay superhero ko .</t>
  </si>
  <si>
    <t>Zhù dàjiā xīnnián kuàilè!</t>
  </si>
  <si>
    <t>Hôm nay là ngày lễ Tình nhân.</t>
  </si>
  <si>
    <t>Valentine's Day ngayon .</t>
  </si>
  <si>
    <t>Chúc mọi người luôn yêu thương nhau.</t>
  </si>
  <si>
    <t>Sana ay laging magmahalan ang lahat .</t>
  </si>
  <si>
    <t>Wǒ shōu dàole zhèxiē yāsuìqián.</t>
  </si>
  <si>
    <t>Chúc mừng ngày Nhà giáo ạ!</t>
  </si>
  <si>
    <t>Happy Teacher's Day !</t>
  </si>
  <si>
    <t>Cảm ơn cô đã dạy dỗ cháu.</t>
  </si>
  <si>
    <t>Salamat sa pagtuturo sa akin .</t>
  </si>
  <si>
    <t>Đám cưới thật là đẹp.</t>
  </si>
  <si>
    <t>Ang ganda ng kasal .</t>
  </si>
  <si>
    <t>Chúc cô chú hạnh phúc nhé.</t>
  </si>
  <si>
    <t>Best wishes sa inyo .</t>
  </si>
  <si>
    <t>Wǒ xǐhuān zhuāngshì shèngdànshù.</t>
  </si>
  <si>
    <t>Cô dâu xinh đẹp quá!</t>
  </si>
  <si>
    <t>Napakaganda ng bride !</t>
  </si>
  <si>
    <t>Cháu muốn được đi dự tiệc.</t>
  </si>
  <si>
    <t>Gusto ko pumunta sa party .</t>
  </si>
  <si>
    <t>Zhè li yǒu shèngdàn lǎorén ma?</t>
  </si>
  <si>
    <t>Cháu nên mặc đồ gì ạ?</t>
  </si>
  <si>
    <t>Ano dapat kong isuot ?</t>
  </si>
  <si>
    <t>Mặc bộ đồ đẹp nhất của cháu nhé.</t>
  </si>
  <si>
    <t>Isuot mo ang pinakamagandang damit mo .</t>
  </si>
  <si>
    <t>Mǔqīn jié kuàilè!</t>
  </si>
  <si>
    <t>Chúc mừng lễ tốt nghiệp!</t>
  </si>
  <si>
    <t>Congratulations sa graduation !</t>
  </si>
  <si>
    <t>Cháu đã hoàn thành năm học rồi.</t>
  </si>
  <si>
    <t>Tapos ko na ang school year .</t>
  </si>
  <si>
    <t>Wǒ zuì ài wǒ de māmā.</t>
  </si>
  <si>
    <t>Chúng mình cùng đi ăn mừng nhé.</t>
  </si>
  <si>
    <t>Mag-celebrate tayo .</t>
  </si>
  <si>
    <t>Hôm nay là kỷ niệm ngày cưới của bố mẹ.</t>
  </si>
  <si>
    <t>Anniversary ng kasal nina Nanay at Tatay .</t>
  </si>
  <si>
    <t>Māmā, zhè shì sòng gěi nín de yī duǒ huā.</t>
  </si>
  <si>
    <t>Chúc bố mẹ mãi hạnh phúc bên nhau.</t>
  </si>
  <si>
    <t>Sana ay laging masaya sina Nanay at Tatay .</t>
  </si>
  <si>
    <t>Cháu thích xem diễu hành lễ hội.</t>
  </si>
  <si>
    <t>Gusto ko manood ng parade .</t>
  </si>
  <si>
    <t>Fùqīn jié kuàilè!</t>
  </si>
  <si>
    <t>Mọi người nhảy múa rất vui.</t>
  </si>
  <si>
    <t>Ang saya nilang sumayaw .</t>
  </si>
  <si>
    <t>Chúc mừng ngày Quốc khánh!</t>
  </si>
  <si>
    <t>Happy Independence Day !</t>
  </si>
  <si>
    <t>Bàba shì wǒ de chāojí yīngxióng.</t>
  </si>
  <si>
    <t>Cháu yêu đất nước của mình.</t>
  </si>
  <si>
    <t>Mahal ko ang bansa ko .</t>
  </si>
  <si>
    <t>Hôm nay là ngày nghỉ lễ ạ?</t>
  </si>
  <si>
    <t>Holiday ba ngayon ?</t>
  </si>
  <si>
    <t>Jīntiān shì qíngrén jié.</t>
  </si>
  <si>
    <t>Cháu được nghỉ học nên rất vui.</t>
  </si>
  <si>
    <t>Masaya ako kasi walang pasok .</t>
  </si>
  <si>
    <t>Cháu muốn đi chơi công viên.</t>
  </si>
  <si>
    <t>Gusto ko pumunta sa park .</t>
  </si>
  <si>
    <t>Zhùyuàn dàjiā yǒngyuǎn xiāng'ài.</t>
  </si>
  <si>
    <t>Có rất nhiều bóng bay kìa!</t>
  </si>
  <si>
    <t>Ang dami balloons !</t>
  </si>
  <si>
    <t>Cho cháu một quả bóng màu đỏ nhé.</t>
  </si>
  <si>
    <t>Pahingi ng kulay pulang balloon .</t>
  </si>
  <si>
    <t>Jiàoshī jié kuàilè!</t>
  </si>
  <si>
    <t>Cháu muốn viết thiệp chúc mừng.</t>
  </si>
  <si>
    <t>Gusto ko magsulat ng greeting card .</t>
  </si>
  <si>
    <t>Chúc bạn luôn gặp nhiều may mắn.</t>
  </si>
  <si>
    <t>Sana ay laging suwerte ka .</t>
  </si>
  <si>
    <t>Xièxiè nín jiàodǎo wǒ.</t>
  </si>
  <si>
    <t>Chúc mừng bạn đã thắng cuộc!</t>
  </si>
  <si>
    <t>Congratulations , panalo ka !</t>
  </si>
  <si>
    <t>Bạn giỏi quá, cháu rất ngưỡng mộ.</t>
  </si>
  <si>
    <t>Ang galing mo , idol kita !</t>
  </si>
  <si>
    <t>Hūnlǐ zhēnměi.</t>
  </si>
  <si>
    <t>Hãy cùng nhau chụp ảnh kỷ niệm nhé.</t>
  </si>
  <si>
    <t>Mag-picture tayo para sa remembrance .</t>
  </si>
  <si>
    <t>Cháu sẽ giữ bức ảnh này thật kỹ.</t>
  </si>
  <si>
    <t>Itatago ko ang picture na ito .</t>
  </si>
  <si>
    <t>Zhù nǐmen xìngfú.</t>
  </si>
  <si>
    <t>Những kỷ niệm thật tuyệt vời!</t>
  </si>
  <si>
    <t>Napakagandang mga alaala !</t>
  </si>
  <si>
    <t>Xīnniáng zhēn piàoliang!</t>
  </si>
  <si>
    <t xml:space="preserve">Wǒ xiǎng qù cānjiā pàiduì. </t>
  </si>
  <si>
    <t>Wǒ yīnggāi chuān shénme ne?</t>
  </si>
  <si>
    <t>Chuān nǐ zuì piàoliang de yīfú!</t>
  </si>
  <si>
    <t>Bìyè kuàilè!</t>
  </si>
  <si>
    <t>Nǐ xuénián jiéshùle!</t>
  </si>
  <si>
    <t>Wǒmen qù qìngzhù ba!</t>
  </si>
  <si>
    <t>Jīntiān shì fùmǔ de jiéhūn jìniàn rì.</t>
  </si>
  <si>
    <t>Zhù fùmǔ yǒngyuǎn xìngfú měimǎn.</t>
  </si>
  <si>
    <t>Wǒ xǐhuān kàn yóuxíng.</t>
  </si>
  <si>
    <t>Dàjiā dōu zài kuàilè de tiàowǔ.</t>
  </si>
  <si>
    <t>Guóqìng jié kuàilè!</t>
  </si>
  <si>
    <t>Wǒ ài wǒ de zǔguó!</t>
  </si>
  <si>
    <t>Jīntiān fàngjià ma?</t>
  </si>
  <si>
    <t>Wǒ hǎo kāixīn, jīntiān bùyòng shàngxué.</t>
  </si>
  <si>
    <t>Wǒ xiǎng qù gōngyuán.</t>
  </si>
  <si>
    <t>Hǎoduō qìqiú a!</t>
  </si>
  <si>
    <t>Qǐng gěi wǒ yīgè hóng qìqiú!</t>
  </si>
  <si>
    <t>Wǒ xiǎng xiě zhāng hèkǎ.</t>
  </si>
  <si>
    <t>Gōngxǐ nǐ huòjiǎng!</t>
  </si>
  <si>
    <t>Nǐ zhēn bàng, wǒ hǎo pèifú nǐ!</t>
  </si>
  <si>
    <t>Wǒmen yīqǐ pāi zhāng jìniàn zhào ba!</t>
  </si>
  <si>
    <t>Wǒ huì hǎohǎo bǎocún zhè zhāng zhàopiàn de.</t>
  </si>
  <si>
    <t>Duōme měihǎo de huíyì!</t>
  </si>
  <si>
    <t>Chủ đề 35: Đồ dùng học tập</t>
  </si>
  <si>
    <t>Cháu cần chuẩn bị cặp sách.</t>
  </si>
  <si>
    <t>Kailangan ko ihanda ang bag ko .</t>
  </si>
  <si>
    <t>Wǒ xūyào zhěnglǐ shūbāo.</t>
  </si>
  <si>
    <t>Quyển sách này hay quá.</t>
  </si>
  <si>
    <t>Ang ganda ng librong ito .</t>
  </si>
  <si>
    <t>Cho cháu mượn bút chì với ạ.</t>
  </si>
  <si>
    <t>Zhè běn shū zhēn hǎo.</t>
  </si>
  <si>
    <t>Bút chì của cháu bị gãy ngòi rồi.</t>
  </si>
  <si>
    <t>Naputol ang tasa ng lapis ko .</t>
  </si>
  <si>
    <t>Cháu cần cái gọt bút chì.</t>
  </si>
  <si>
    <t>Kailangan ko ng sharpener .</t>
  </si>
  <si>
    <t>Qǐngwèn wǒ kěyǐ jièzhī qiānbǐ ma?</t>
  </si>
  <si>
    <t>Cháu đang viết vào vở.</t>
  </si>
  <si>
    <t>Nagsusulat ako sa notebook .</t>
  </si>
  <si>
    <t>Cháu muốn mua một chiếc bút bi mới.</t>
  </si>
  <si>
    <t>Gusto ko bumili ng bagong ballpen .</t>
  </si>
  <si>
    <t>Wǒ de qiānbǐ xīn duànle.</t>
  </si>
  <si>
    <t>Bút bi này hết mực rồi ạ.</t>
  </si>
  <si>
    <t>Wala na tinta ang ballpen .</t>
  </si>
  <si>
    <t>Cháu dùng tẩy để xóa lỗi sai.</t>
  </si>
  <si>
    <t>Gagamit ako ng eraser para sa mali .</t>
  </si>
  <si>
    <t>Wǒ xūyào yīgè juàn bǐ dāo.</t>
  </si>
  <si>
    <t>Thước kẻ của cháu ở đâu ạ?</t>
  </si>
  <si>
    <t>Cháu đang vẽ hình tam giác bằng thước.</t>
  </si>
  <si>
    <t>Gumagamit ako ng ruler para sa triangle .</t>
  </si>
  <si>
    <t>Wǒ zài bǐjìběn shàng xiězì.</t>
  </si>
  <si>
    <t>Cháu cần hộp bút màu.</t>
  </si>
  <si>
    <t>Kailangan ko ng mga crayon .</t>
  </si>
  <si>
    <t>Bức tranh này cần tô màu xanh.</t>
  </si>
  <si>
    <t>Kulay asul dapat ito .</t>
  </si>
  <si>
    <t>Wǒ xiǎng mǎi yī zhī xīn de yuánzhūbǐ.</t>
  </si>
  <si>
    <t>Cháu muốn dùng bút dạ quang (highlight).</t>
  </si>
  <si>
    <t>Gagamit ako ng highlighter .</t>
  </si>
  <si>
    <t>Cho cháu xin một tờ giấy trắng ạ.</t>
  </si>
  <si>
    <t>Pahingi ng isang pirasong papel .</t>
  </si>
  <si>
    <t>Zhè zhī yuánzhūbǐ méi mòshuǐle.</t>
  </si>
  <si>
    <t>Cháu đang cắt giấy bằng kéo.</t>
  </si>
  <si>
    <t>Naggugupit ako ng papel .</t>
  </si>
  <si>
    <t>Đừng nghịch kéo nhé, nguy hiểm đấy.</t>
  </si>
  <si>
    <t>Mag-ingat sa gunting , delikado .</t>
  </si>
  <si>
    <t>Wǒ zhèngzài yòng xiàngpí cā xiūgǎi cuòwù.</t>
  </si>
  <si>
    <t>Cháu dùng hồ dán (keo) để dán ảnh.</t>
  </si>
  <si>
    <t>Gagamit ako ng glue .</t>
  </si>
  <si>
    <t>Sách giáo khoa của cháu nặng quá.</t>
  </si>
  <si>
    <t>Mabigat ang mga textbook ko .</t>
  </si>
  <si>
    <t>Wǒ de chǐzǐ zài nǎlǐ?</t>
  </si>
  <si>
    <t>Cháu đang bọc vở cho đẹp.</t>
  </si>
  <si>
    <t>Binabalutan ko ng plastic ang notebook .</t>
  </si>
  <si>
    <t>Cháu cần một cái máy tính bỏ túi.</t>
  </si>
  <si>
    <t>Kailangan ko ng calculator .</t>
  </si>
  <si>
    <t>Wǒ zhèngzài yòng chǐzǐ huà sānjiǎoxíng.</t>
  </si>
  <si>
    <t>Bài toán này khó quá ạ.</t>
  </si>
  <si>
    <t>Mahirap ang math problem na ito .</t>
  </si>
  <si>
    <t>Bác giải giúp cháu bài này nhé.</t>
  </si>
  <si>
    <t>Paki-tulong naman sa assignment ko .</t>
  </si>
  <si>
    <t>Wǒ xūyào yī hé cǎisè qiānbǐ.</t>
  </si>
  <si>
    <t>Cháu đã làm xong bài tập về nhà rồi.</t>
  </si>
  <si>
    <t>Tapos ko na ang homework ko .</t>
  </si>
  <si>
    <t>Cháu để quên hộp bút ở trường rồi.</t>
  </si>
  <si>
    <t>Naiwan ko ang pencil case sa school .</t>
  </si>
  <si>
    <t>Zhè zhāng tú xūyào túchénglán sè.</t>
  </si>
  <si>
    <t>Cháu cần mua từ điển.</t>
  </si>
  <si>
    <t>Kailangan ko ng dictionary .</t>
  </si>
  <si>
    <t>Từ này nghĩa là gì ạ?</t>
  </si>
  <si>
    <t>Ano ibig sabihin ng salitang ito ?</t>
  </si>
  <si>
    <t>Wǒ xiǎng yòng yíngguāng bǐ.</t>
  </si>
  <si>
    <t>Cháu đang học từ mới.</t>
  </si>
  <si>
    <t>Nag-aaral ako ng mga bagong salita .</t>
  </si>
  <si>
    <t>Bảng đen ở trên tường.</t>
  </si>
  <si>
    <t>Nasa pader ang blackboard .</t>
  </si>
  <si>
    <t>Qǐngwèn wǒ kěyǐ jiè yī zhāng bái zhǐ ma?</t>
  </si>
  <si>
    <t>Viết bằng phấn nhé bác.</t>
  </si>
  <si>
    <t>Magsulat tayo gamit ang chalk .</t>
  </si>
  <si>
    <t>Cháu muốn ngồi bàn đầu.</t>
  </si>
  <si>
    <t>Gusto ko maupo sa harap .</t>
  </si>
  <si>
    <t>Wǒ zhèngzài yòng jiǎndāo jiǎnzhǐ.</t>
  </si>
  <si>
    <t>Bạn cho tớ mượn cái compa nhé.</t>
  </si>
  <si>
    <t>Pahiram ng compass .</t>
  </si>
  <si>
    <t>Cháu đang vẽ hình tròn.</t>
  </si>
  <si>
    <t>Gumagawa ako ng bilog .</t>
  </si>
  <si>
    <t>Bùyào wán jiǎndāo, hěn wéixiǎn.</t>
  </si>
  <si>
    <t>Tập bản đồ này rất thú vị.</t>
  </si>
  <si>
    <t>Interesting ang atlas na ito .</t>
  </si>
  <si>
    <t>Cháu đang tìm nước Philippines trên bản đồ.</t>
  </si>
  <si>
    <t>Hinahanap ko ang Pilipinas sa mapa .</t>
  </si>
  <si>
    <t>Wǒ zhèngzài yòng jiāoshuǐ bǎ túpiàn zhān zài yīqǐ.</t>
  </si>
  <si>
    <t>Cháu để sách vào ngăn bàn.</t>
  </si>
  <si>
    <t>Inilalagay ko ang libro sa desk .</t>
  </si>
  <si>
    <t>Cháu cần ghim bấm.</t>
  </si>
  <si>
    <t>Kailangan ko ng stapler .</t>
  </si>
  <si>
    <t>Wǒ de kèběn tài zhòngle.</t>
  </si>
  <si>
    <t>Giấy bị rách rồi ạ.</t>
  </si>
  <si>
    <t>Punit na ang papel .</t>
  </si>
  <si>
    <t>Dán bằng băng dính nhé.</t>
  </si>
  <si>
    <t>Gamitan natin ng scotch tape .</t>
  </si>
  <si>
    <t>Wǒ zhèngzài gěi bǐjìběn bāopí, ràng tā kàn qǐlái gèng piàoliang.</t>
  </si>
  <si>
    <t>Cháu muốn có một cái nhãn vở xinh.</t>
  </si>
  <si>
    <t>Gusto ko ng cute na name tag .</t>
  </si>
  <si>
    <t>Cháu viết tên mình lên đây nhé.</t>
  </si>
  <si>
    <t>Isusulat ko ang pangalan ko rito .</t>
  </si>
  <si>
    <t>Wǒ xūyào yīgè jìsuàn qì.</t>
  </si>
  <si>
    <t>Bạn có bút xóa không?</t>
  </si>
  <si>
    <t>May correction tape ka ba ?</t>
  </si>
  <si>
    <t>Cháu đang tô màu nước.</t>
  </si>
  <si>
    <t>Nag-wa-water color ako .</t>
  </si>
  <si>
    <t>Zhè dào shùxué tí tài nánle.</t>
  </si>
  <si>
    <t>Cháu cần một cái cọ vẽ.</t>
  </si>
  <si>
    <t>Kailangan ko ng brush .</t>
  </si>
  <si>
    <t>Cháu thích đi hiệu sách.</t>
  </si>
  <si>
    <t>Gusto ko pumunta sa bookstore .</t>
  </si>
  <si>
    <t>Nǐ néng bāng wǒ jiědá zhè dào tí ma?</t>
  </si>
  <si>
    <t>Ở đó có nhiều truyện tranh hay.</t>
  </si>
  <si>
    <t>Maraming magagandang komiks doon .</t>
  </si>
  <si>
    <t>Cháu sẽ giữ gìn đồ dùng học tập thật tốt.</t>
  </si>
  <si>
    <t>Aalagaan ko ang mga gamit ko .</t>
  </si>
  <si>
    <t>Wǒ zuò wán zuòyèle.</t>
  </si>
  <si>
    <t>Cảm ơn bác đã mua đồ dùng cho cháu.</t>
  </si>
  <si>
    <t>Salamat sa pagbili ng gamit ko .</t>
  </si>
  <si>
    <t>Mai cháu sẽ mang đầy đủ đồ đi học.</t>
  </si>
  <si>
    <t>Kumpleto ang gamit ko bukas .</t>
  </si>
  <si>
    <t>Wǒ de qiānbǐ hé luò zài xuéxiàole.</t>
  </si>
  <si>
    <t>Cháu rất yêu việc học!</t>
  </si>
  <si>
    <t>Mahal ko ang mag-aral !</t>
  </si>
  <si>
    <t>Wǒ xūyào yī běn zìdiǎn.</t>
  </si>
  <si>
    <t>Zhège cí shì shénme yìsi?</t>
  </si>
  <si>
    <t>Wǒ zhèngzài xuéxí xīn dāncí.</t>
  </si>
  <si>
    <t>Hēibǎn zài qiáng shàng.</t>
  </si>
  <si>
    <t>Lǎoshī, wǒ huì yòng fěnbǐ xiězì.</t>
  </si>
  <si>
    <t>Wǒ xiǎng zuò zài qián pái.</t>
  </si>
  <si>
    <t>Wǒ kěyǐ jièyòng yīxià nǐ de yuánguī ma?</t>
  </si>
  <si>
    <t>Wǒ zhèngzài huà yīgè yuán.</t>
  </si>
  <si>
    <t>Zhè běn dìtú cè zhēn yǒuqù.</t>
  </si>
  <si>
    <t>Wǒ zhèngzài dìtú shàng zhǎo fēilǜbīn.</t>
  </si>
  <si>
    <t>Wǒ huì bǎ shū fàng dào shūzhuō chōutì lǐ.</t>
  </si>
  <si>
    <t>Wǒ xūyào yīgè dìng shū jī.</t>
  </si>
  <si>
    <t>Zhǐ sī pòle.</t>
  </si>
  <si>
    <t xml:space="preserve"> Qǐng bāng wǒ zhān yīxià.</t>
  </si>
  <si>
    <t>Wǒ xiǎng yào yīgè piàoliang de bǐjìběn biāoqiān.</t>
  </si>
  <si>
    <t>Wǒ huì zài zhèlǐ xiě shàng wǒ de míngzì.</t>
  </si>
  <si>
    <t>Nǐ yǒu xiàngpí ma?</t>
  </si>
  <si>
    <t>Wǒ zhèngzài yòng shuǐcǎi yánliào tú sè.</t>
  </si>
  <si>
    <t>Wǒ xūyào yī zhī huàbǐ.</t>
  </si>
  <si>
    <t>Wǒ xǐhuān guàng shūdiàn.</t>
  </si>
  <si>
    <t>Nà li yǒu hěnduō hǎo mànhuà shū.</t>
  </si>
  <si>
    <t>Wǒ huì hǎohǎo bǎoguǎn wǒ de xuéxí yòngpǐn.</t>
  </si>
  <si>
    <t>Xièxiè nǐ bāng wǒ mǎi xuéxí yòngpǐn.</t>
  </si>
  <si>
    <t>Wǒ míngtiān huì bǎ suǒyǒu xuéxí yòngpǐn dōu dài dào xuéxiào.</t>
  </si>
  <si>
    <t>Wǒ xǐhuān xuéxí!</t>
  </si>
  <si>
    <t>Chủ đề 36: Các hành động thường ngày</t>
  </si>
  <si>
    <t>Cháu thức dậy lúc 6 giờ sáng.</t>
  </si>
  <si>
    <t>Gumigising ako ng alas-sais ng umaga .</t>
  </si>
  <si>
    <t>Wǒ zǎoshang liù diǎn qǐchuángle.</t>
  </si>
  <si>
    <t>Cháu đang vươn vai.</t>
  </si>
  <si>
    <t>Nag-uunat ako .</t>
  </si>
  <si>
    <t>Cháu đi đánh răng đây.</t>
  </si>
  <si>
    <t>Magtotoothbrush na ako .</t>
  </si>
  <si>
    <t>Wǒ zài shēnlǎnyāo.</t>
  </si>
  <si>
    <t>Cháu đang rửa mặt.</t>
  </si>
  <si>
    <t>Naghuhugas ako ng mukha .</t>
  </si>
  <si>
    <t>Cháu đi tắm đây ạ.</t>
  </si>
  <si>
    <t>Wǒ yào shuāyá.</t>
  </si>
  <si>
    <t>Cháu đang mặc quần áo.</t>
  </si>
  <si>
    <t>Nagbibihis na ako .</t>
  </si>
  <si>
    <t>Wǒ zài xǐliǎn.</t>
  </si>
  <si>
    <t>Cháu ăn sáng lúc mấy giờ ạ?</t>
  </si>
  <si>
    <t>Anong oras tayo mag-aalmusal ?</t>
  </si>
  <si>
    <t>Cháu đang ăn cơm.</t>
  </si>
  <si>
    <t>Kumakain ako ng kanin .</t>
  </si>
  <si>
    <t>Wǒ yào xǐzǎo.</t>
  </si>
  <si>
    <t>Cháu đang uống sữa.</t>
  </si>
  <si>
    <t>Umiinom ako ng gatas .</t>
  </si>
  <si>
    <t>Cháu đi giày để đi học.</t>
  </si>
  <si>
    <t>Mag-sapatos na ako para pumasok .</t>
  </si>
  <si>
    <t>Wǒ zài chuān yīfú.</t>
  </si>
  <si>
    <t>Cháu đeo cặp lên vai.</t>
  </si>
  <si>
    <t>Isusuot ko na ang bag ko .</t>
  </si>
  <si>
    <t>Cháu đi bộ đến trường.</t>
  </si>
  <si>
    <t>Naglalakad ako papuntang school .</t>
  </si>
  <si>
    <t>Cháu đang học bài trong lớp.</t>
  </si>
  <si>
    <t>Nag-aaral ako sa loob ng klase .</t>
  </si>
  <si>
    <t>Cháu đang nghe cô giáo giảng.</t>
  </si>
  <si>
    <t>Nakikinig ako sa teacher .</t>
  </si>
  <si>
    <t>Wǒ jǐ diǎn chī zǎofàn?</t>
  </si>
  <si>
    <t>Cháu giơ tay phát biểu.</t>
  </si>
  <si>
    <t>Nagta-taas ako ng kamay .</t>
  </si>
  <si>
    <t>Cháu đang viết bài.</t>
  </si>
  <si>
    <t>Nagsusulat ako .</t>
  </si>
  <si>
    <t>Wǒ zài chī mǐfàn.</t>
  </si>
  <si>
    <t>Cháu đang đọc truyện.</t>
  </si>
  <si>
    <t>Nagbabasa ako ng kwento .</t>
  </si>
  <si>
    <t>Cháu chơi với bạn lúc ra chơi.</t>
  </si>
  <si>
    <t>Naglalalaro ako kasama ang mga kaibigan .</t>
  </si>
  <si>
    <t>Wǒ zài hē niúnǎi.</t>
  </si>
  <si>
    <t>Cháu đi về nhà đây ạ.</t>
  </si>
  <si>
    <t>Uuwi na ako .</t>
  </si>
  <si>
    <t>Cháu đang chào mọi người.</t>
  </si>
  <si>
    <t>Nagmamano/Bumabati ako .</t>
  </si>
  <si>
    <t>Wǒ zài chuān xié qù shàngxué.</t>
  </si>
  <si>
    <t>Cháu đi rửa tay sạch sẽ.</t>
  </si>
  <si>
    <t>Naghuhugas ako ng kamay .</t>
  </si>
  <si>
    <t>Cháu đang thay đồ ở nhà.</t>
  </si>
  <si>
    <t>Nagpapalit ako ng pambahay .</t>
  </si>
  <si>
    <t>Wǒ zài bèishū bāo.</t>
  </si>
  <si>
    <t>Cháu đang nghỉ ngơi một chút.</t>
  </si>
  <si>
    <t>Nagpapahinga ako nang konti .</t>
  </si>
  <si>
    <t>Cháu đang xem TV.</t>
  </si>
  <si>
    <t>Nanonood ako ng TV .</t>
  </si>
  <si>
    <t>Wǒ zài zǒulù qù xuéxiào.</t>
  </si>
  <si>
    <t>Cháu đang chơi đồ chơi.</t>
  </si>
  <si>
    <t>Naglalaro ako ng mga laruan .</t>
  </si>
  <si>
    <t>Cháu giúp mẹ quét nhà.</t>
  </si>
  <si>
    <t>Tumutulong akong magwalis .</t>
  </si>
  <si>
    <t>Wǒ zài kètáng shàng xuéxí.</t>
  </si>
  <si>
    <t>Cháu đang tưới cây.</t>
  </si>
  <si>
    <t>Nagdidilig ako ng halaman .</t>
  </si>
  <si>
    <t>Cháu đang làm bài tập về nhà.</t>
  </si>
  <si>
    <t>Gumagawa ako ng assignment .</t>
  </si>
  <si>
    <t>Wǒ zài tīng lǎoshī jiǎngkè.</t>
  </si>
  <si>
    <t>Cháu đang vẽ tranh.</t>
  </si>
  <si>
    <t>Nagdo-drawing ako .</t>
  </si>
  <si>
    <t>Cháu đang nghe nhạc.</t>
  </si>
  <si>
    <t>Nakikinig ako ng music .</t>
  </si>
  <si>
    <t>Wǒ zài jǔ shǒu fāyán.</t>
  </si>
  <si>
    <t>Cháu đang nhảy múa.</t>
  </si>
  <si>
    <t>Sumasayaw ako .</t>
  </si>
  <si>
    <t>Cháu đang hát.</t>
  </si>
  <si>
    <t>Kumakanta ako .</t>
  </si>
  <si>
    <t>Wǒ zài xiězì.</t>
  </si>
  <si>
    <t>Cháu đi tắm buổi chiều.</t>
  </si>
  <si>
    <t>Maliligo ako ngayong hapon .</t>
  </si>
  <si>
    <t>Cháu đang chuẩn bị bàn ăn.</t>
  </si>
  <si>
    <t>Nag-aayos ako ng mesa .</t>
  </si>
  <si>
    <t>Wǒ zàidú gùshì.</t>
  </si>
  <si>
    <t>Cháu đang ăn tối với gia đình.</t>
  </si>
  <si>
    <t>Nag-hahapunan ako kasama ang pamilya .</t>
  </si>
  <si>
    <t>Wǒ zài kè jiān xiūxí shí hé péngyǒumen wánshuǎ.</t>
  </si>
  <si>
    <t>Cháu giúp bác rửa bát.</t>
  </si>
  <si>
    <t>Tumutulong akong maghugas ng plato .</t>
  </si>
  <si>
    <t>Cháu đang chuẩn bị sách vở cho ngày mai.</t>
  </si>
  <si>
    <t>Inihahanda ko ang gamit ko bukas .</t>
  </si>
  <si>
    <t>Wǒ yào huí jiāle.</t>
  </si>
  <si>
    <t>Cháu đi ngủ lúc 9 giờ tối.</t>
  </si>
  <si>
    <t>Natutulog ako ng alas-nuwebe ng gabi .</t>
  </si>
  <si>
    <t>Cháu đang đánh răng trước khi ngủ.</t>
  </si>
  <si>
    <t>Magtotoothbrush ako bago matulog .</t>
  </si>
  <si>
    <t>Wǒ zài hé dàjiā dàobié.</t>
  </si>
  <si>
    <t>Cháu đang lên giường nằm.</t>
  </si>
  <si>
    <t>Humihiga na ako sa kama .</t>
  </si>
  <si>
    <t>Cháu đang đắp chăn.</t>
  </si>
  <si>
    <t>Nag-kukumot ako .</t>
  </si>
  <si>
    <t>Wǒ zài rènzhēn xǐshǒu.</t>
  </si>
  <si>
    <t>Cháu đang nhắm mắt lại.</t>
  </si>
  <si>
    <t>Ipipikit ko na ang mga mata ko .</t>
  </si>
  <si>
    <t>Cháu đang mơ một giấc mơ đẹp.</t>
  </si>
  <si>
    <t>Nananaginip ako ng maganda .</t>
  </si>
  <si>
    <t>Wǒ zài huàn jiājū fú.</t>
  </si>
  <si>
    <t>Cháu đang thở đều.</t>
  </si>
  <si>
    <t>Humihinga ako nang maayos .</t>
  </si>
  <si>
    <t>Cháu đang ngủ say.</t>
  </si>
  <si>
    <t>Mahimbing ang tulog ko .</t>
  </si>
  <si>
    <t>Wǒ xiūxí yīhuǐ'er.</t>
  </si>
  <si>
    <t>Cháu đang cười thầm trong lúc ngủ.</t>
  </si>
  <si>
    <t>Ngumingiti ako habang tulog .</t>
  </si>
  <si>
    <t>Cháu sẽ thức dậy sớm vào ngày mai.</t>
  </si>
  <si>
    <t>Gigising ako nang maaga bukas .</t>
  </si>
  <si>
    <t>Wǒ zài kàn diànshì.</t>
  </si>
  <si>
    <t>Cháu đang tận hưởng một ngày tuyệt vời.</t>
  </si>
  <si>
    <t>Nag-e-enjoy ako sa araw na ito .</t>
  </si>
  <si>
    <t>Wǒ zài wán wánjù.</t>
  </si>
  <si>
    <t>Wǒ zài bāng māmā dǎsǎo fángzǐ.</t>
  </si>
  <si>
    <t>Wǒ zài gěi zhíwù jiāo shuǐ.</t>
  </si>
  <si>
    <t>Wǒ zài zuò zuo yè.</t>
  </si>
  <si>
    <t>Wǒ zài huà huà.</t>
  </si>
  <si>
    <t>Wǒ zài tīng yīnyuè.</t>
  </si>
  <si>
    <t>Wǒ zài tiàowǔ.</t>
  </si>
  <si>
    <t>Wǒ zài chànggē.</t>
  </si>
  <si>
    <t>Wǒ zài xǐ gè xiàwǔ zǎo.</t>
  </si>
  <si>
    <t>Wǒ zài bǎi cānzhuō.</t>
  </si>
  <si>
    <t>Wǒ zài hé jiārén yīqǐ chī wǎnfàn.</t>
  </si>
  <si>
    <t>Wǒ zài bāng āyí xǐ wǎn.</t>
  </si>
  <si>
    <t>Wǒ zài zhǔnbèi míngtiān yào dú de shū.</t>
  </si>
  <si>
    <t>Wǒ wǎnshàng jiǔ diǎn shuìjiào.</t>
  </si>
  <si>
    <t>Wǒ shuì qián shuāyá.</t>
  </si>
  <si>
    <t>Wǒ tǎng zài chuángshàng.</t>
  </si>
  <si>
    <t>Wǒ lā qǐ tǎnzǐ.</t>
  </si>
  <si>
    <t>Wǒ bì shàng yǎnjīng.</t>
  </si>
  <si>
    <t>Wǒ zuòle yīgè měimèng.</t>
  </si>
  <si>
    <t>Wǒ hūxī jūnyún.</t>
  </si>
  <si>
    <t>Wǒ shuì dé hěn xiāng.</t>
  </si>
  <si>
    <t>Wǒ zài shuìmèng zhōng wéixiào.</t>
  </si>
  <si>
    <t>Wǒ míngtiān huì zǎoqǐ.</t>
  </si>
  <si>
    <t>Wǒ jīntiānguò dé hěn yúkuài.</t>
  </si>
  <si>
    <t>2. Chủ đề 37: Thế giới Động vật</t>
  </si>
  <si>
    <t>Cháu rất yêu động vật.</t>
  </si>
  <si>
    <t>Mahal ko ang mga hayop .</t>
  </si>
  <si>
    <t>Wǒ fēicháng xǐhuān dòngwù.</t>
  </si>
  <si>
    <t>Con chó đang vẫy đuôi.</t>
  </si>
  <si>
    <t>Kumakawag ang buntot ng aso .</t>
  </si>
  <si>
    <t>Con mèo đang kêu "meo meo".</t>
  </si>
  <si>
    <t>Nagme-meow ang pusa .</t>
  </si>
  <si>
    <t>Gǒu gǒu zài yáo wěibā.</t>
  </si>
  <si>
    <t>Con gà trống gáy rất to.</t>
  </si>
  <si>
    <t>Tumatilaok ang manok na lalaki .</t>
  </si>
  <si>
    <t>Con gà mái đang đẻ trứng.</t>
  </si>
  <si>
    <t>Nangingitlog ang manok na babae .</t>
  </si>
  <si>
    <t>Māomī zài miāo miāo jiào.</t>
  </si>
  <si>
    <t>Những chú gà con thật đáng yêu.</t>
  </si>
  <si>
    <t>Ang cute ng mga sisiw .</t>
  </si>
  <si>
    <t>Con vịt đang bơi dưới ao.</t>
  </si>
  <si>
    <t>Lumalangoy ang pato sa ilog .</t>
  </si>
  <si>
    <t>Gōngjī zài dàshēng tí jiào.</t>
  </si>
  <si>
    <t>Con bò đang ăn cỏ.</t>
  </si>
  <si>
    <t>Kumakain ng damo ang baka .</t>
  </si>
  <si>
    <t>Con trâu là bạn của nông dân.</t>
  </si>
  <si>
    <t>Kaibigan ng magsasaka ang kalabaw .</t>
  </si>
  <si>
    <t>Mǔ jī zài xiàdàn.</t>
  </si>
  <si>
    <t>Con ngựa chạy rất nhanh.</t>
  </si>
  <si>
    <t>Mabilis tumakbo ang kabayo .</t>
  </si>
  <si>
    <t>Cháu muốn cưỡi ngựa.</t>
  </si>
  <si>
    <t>Gusto ko sumakay sa kabayo .</t>
  </si>
  <si>
    <t>Xiǎo jī zhēn kě'ài.</t>
  </si>
  <si>
    <t>Con lợn (heo) có cái mũi rất ngộ.</t>
  </si>
  <si>
    <t>Ang cute ng ilong ng baboy .</t>
  </si>
  <si>
    <t>Con dê đang kêu "be be".</t>
  </si>
  <si>
    <t>Mee-mee ang tunog ng kambing .</t>
  </si>
  <si>
    <t>Yāzǐ zài chítáng lǐ yóuyǒng.</t>
  </si>
  <si>
    <t>Con thỏ có đôi tai dài.</t>
  </si>
  <si>
    <t>Mahaba ang tainga ng kuneho .</t>
  </si>
  <si>
    <t>Con chuột đang chạy trong bếp.</t>
  </si>
  <si>
    <t>Tumatakbo ang daga sa kusina .</t>
  </si>
  <si>
    <t>Niú zài chī cǎo.</t>
  </si>
  <si>
    <t>Con chim đang bay trên trời.</t>
  </si>
  <si>
    <t>Lumilipad ang ibon sa langit .</t>
  </si>
  <si>
    <t>Con vẹt biết bắt chước tiếng người.</t>
  </si>
  <si>
    <t>Nanggagaya ng boses ang loro .</t>
  </si>
  <si>
    <t>Shuǐniú shì nóngmín de péngyǒu.</t>
  </si>
  <si>
    <t>Con cá bơi trong bể kính.</t>
  </si>
  <si>
    <t>Lumalangoy ang isda sa aquarium .</t>
  </si>
  <si>
    <t>Cháu muốn cho cá ăn.</t>
  </si>
  <si>
    <t>Gusto ko pakainin ang mga isda .</t>
  </si>
  <si>
    <t>Mǎ pǎo dé hěn kuài.</t>
  </si>
  <si>
    <t>Con hổ có vằn rất đẹp.</t>
  </si>
  <si>
    <t>Maganda ang stripes ng tigre .</t>
  </si>
  <si>
    <t>Con sư tử là chúa tể rừng xanh.</t>
  </si>
  <si>
    <t>Hari ng gubat ang leon .</t>
  </si>
  <si>
    <t>Wǒ xiǎng qímǎ.</t>
  </si>
  <si>
    <t>Con voi có cái vòi rất dài.</t>
  </si>
  <si>
    <t>Mahaba ang nguso ng elepante .</t>
  </si>
  <si>
    <t>Con hươu cao cổ có cái cổ thật dài!</t>
  </si>
  <si>
    <t>Ang haba ng leeg ng giraffe !</t>
  </si>
  <si>
    <t>Zhū de bízǐ hěn yǒuqù.</t>
  </si>
  <si>
    <t>Con khỉ thích ăn chuối.</t>
  </si>
  <si>
    <t>Gusto ng unggoy ang saging .</t>
  </si>
  <si>
    <t>Con gấu trúc đang ăn trúc.</t>
  </si>
  <si>
    <t>Kumakain ng kawayan ang panda .</t>
  </si>
  <si>
    <t>Shānyáng zài miē miē jiào.</t>
  </si>
  <si>
    <t>Con rắn bò trên mặt đất.</t>
  </si>
  <si>
    <t>Gumagapang ang ahas sa lupa .</t>
  </si>
  <si>
    <t>Cháu rất sợ rắn.</t>
  </si>
  <si>
    <t>Takot ako sa ahas .</t>
  </si>
  <si>
    <t>Tùzǐ yǒu zhǎng zhǎng de ěrduǒ.</t>
  </si>
  <si>
    <t>Con cá sấu có hàm răng sắc nhọn.</t>
  </si>
  <si>
    <t>Matulis ang ngipin ng buwaya .</t>
  </si>
  <si>
    <t>Con rùa bò rất chậm.</t>
  </si>
  <si>
    <t>Mabagal lumakad ang pagong .</t>
  </si>
  <si>
    <t>Lǎoshǔ zài chúfáng lǐ pǎo lái pǎo qù.</t>
  </si>
  <si>
    <t>Con ếch đang nhảy dưới mưa.</t>
  </si>
  <si>
    <t>Tumatalon ang palaka sa ulan .</t>
  </si>
  <si>
    <t>Con cua có hai cái càng to.</t>
  </si>
  <si>
    <t>Malaki ang sipit ng alimango .</t>
  </si>
  <si>
    <t>Niǎo er zài tiānshàng fēixiáng.</t>
  </si>
  <si>
    <t>Con tôm đang bơi lùi.</t>
  </si>
  <si>
    <t>Lumalangoy pabalik ang hipon .</t>
  </si>
  <si>
    <t>Con mực phun ra mực đen.</t>
  </si>
  <si>
    <t>Naglalabas ng itim na tinta ang pusit .</t>
  </si>
  <si>
    <t>Yīngwǔ huì mófǎng rén shuōhuà.</t>
  </si>
  <si>
    <t>Con cá mập rất đáng sợ.</t>
  </si>
  <si>
    <t>Nakakatakot ang pating .</t>
  </si>
  <si>
    <t>Con cá heo rất thông minh.</t>
  </si>
  <si>
    <t>Matalino ang dolphin .</t>
  </si>
  <si>
    <t>Yú zài bōlí gāng lǐ yóu lái yóu qù.</t>
  </si>
  <si>
    <t>Con cá voi khổng lồ dưới biển.</t>
  </si>
  <si>
    <t>Napakalaki ng balyena sa dagat .</t>
  </si>
  <si>
    <t>Con chim cánh cụt sống ở nơi lạnh.</t>
  </si>
  <si>
    <t>Nakatira sa malalamig na lugar ang penguin .</t>
  </si>
  <si>
    <t>Wǒ xiǎng wèi yú.</t>
  </si>
  <si>
    <t>Con lạc đà sống ở sa mạc.</t>
  </si>
  <si>
    <t>Nakatira sa disyerto ang kamelyo .</t>
  </si>
  <si>
    <t>Con kangaroo có cái túi trước bụng.</t>
  </si>
  <si>
    <t>May supot sa tiyan ang kangaroo .</t>
  </si>
  <si>
    <t>Lǎohǔ shēnshang yǒu fēicháng piàoliang de tiáowén.</t>
  </si>
  <si>
    <t>Con ngựa vằn có hai màu đen trắng.</t>
  </si>
  <si>
    <t>Itim at puti ang zebra .</t>
  </si>
  <si>
    <t>Cháu thích đi tham quan vườn bách thú.</t>
  </si>
  <si>
    <t>Gusto ko pumunta sa zoo .</t>
  </si>
  <si>
    <t>Shīzǐ shì cónglín zhī wáng.</t>
  </si>
  <si>
    <t>Đừng chọc phá động vật nhé.</t>
  </si>
  <si>
    <t>Huwag asarin ang mga hayop .</t>
  </si>
  <si>
    <t>Hãy chăm sóc thú cưng của bạn.</t>
  </si>
  <si>
    <t>Alagaan niyo ang inyong pet .</t>
  </si>
  <si>
    <t>Dà xiàng yǒu hěn zhǎng de bízǐ.</t>
  </si>
  <si>
    <t>Con chó là người bạn trung thành.</t>
  </si>
  <si>
    <t>Matapat na kaibigan ang aso .</t>
  </si>
  <si>
    <t>Con mèo thích bắt chuột.</t>
  </si>
  <si>
    <t>Mahilig manghuli ng daga ang pusa .</t>
  </si>
  <si>
    <t>Chángjǐnglù yǒu hěn zhǎng de bózǐ!</t>
  </si>
  <si>
    <t>Cháu muốn nuôi một con chó nhỏ.</t>
  </si>
  <si>
    <t>Gusto ko mag-alaga ng tuta .</t>
  </si>
  <si>
    <t>Con chim này hót hay quá.</t>
  </si>
  <si>
    <t>Ang ganda ng kanta ng ibon .</t>
  </si>
  <si>
    <t>Hóuzǐ xǐhuān chī xiāngjiāo.</t>
  </si>
  <si>
    <t>Động vật cũng biết buồn đấy ạ.</t>
  </si>
  <si>
    <t>Nalulungkot din ang mga hayop .</t>
  </si>
  <si>
    <t>Chúng mình hãy bảo vệ chúng nhé.</t>
  </si>
  <si>
    <t>Protektahan natin sila .</t>
  </si>
  <si>
    <t>Xióngmāo zhèngzài chī zhúzǐ.</t>
  </si>
  <si>
    <t>Thế giới động vật thật kỳ diệu.</t>
  </si>
  <si>
    <t>Amazing ang mundo ng mga hayop .</t>
  </si>
  <si>
    <t>Shé zài dìshàng páxíng.</t>
  </si>
  <si>
    <t>Wǒ hěn hàipà shé.</t>
  </si>
  <si>
    <t>Èyú yǒu fēnglì de yáchǐ.</t>
  </si>
  <si>
    <t>Wūguī pá dé hěn màn.</t>
  </si>
  <si>
    <t>Qīngwā zài yǔzhōng tiàoyuè.</t>
  </si>
  <si>
    <t>Pángxiè yǒu liǎng zhī dà áo.</t>
  </si>
  <si>
    <t>Xiā zài dàozhe yóu.</t>
  </si>
  <si>
    <t>Yóuyú pēn hēisè de mòzhī.</t>
  </si>
  <si>
    <t>Shāyú hěn kěpà.</t>
  </si>
  <si>
    <t>Hǎitún hěn cōngmíng.</t>
  </si>
  <si>
    <t>Jīngyú zài hǎilǐ tǐxíng jùdà.</t>
  </si>
  <si>
    <t>Qì'é shēnghuó zài hánlěng dì dìfāng.</t>
  </si>
  <si>
    <t>Luòtuó shēnghuó zài shāmò lǐ.</t>
  </si>
  <si>
    <t>Dàishǔ de dùzǐ shàng yǒu yīgè yù'ér dài.</t>
  </si>
  <si>
    <t>Bānmǎ yǒu liǎng zhǒng yánsè, hēisè hé báisè.</t>
  </si>
  <si>
    <t>Wǒ xǐhuān qù dòngwùyuán.</t>
  </si>
  <si>
    <t>Bùyào xìnòng dòngwù.</t>
  </si>
  <si>
    <t>Zhàogù hǎo nǐ de chǒngwù.</t>
  </si>
  <si>
    <t>Gǒu shì zhōngchéng de péngyǒu.</t>
  </si>
  <si>
    <t>Māo xǐhuān zhuā lǎoshǔ.</t>
  </si>
  <si>
    <t>Wǒ xiǎng yǎng yī zhǐ xiǎo gǒu.</t>
  </si>
  <si>
    <t>Zhè zhǐ niǎo de gēshēng zhēnměi.</t>
  </si>
  <si>
    <t>Dòngwù yě huì bēishāng.</t>
  </si>
  <si>
    <t>Ràng wǒmen bǎohù tāmen.</t>
  </si>
  <si>
    <t>Dòngwù shìjiè zhēn qímiào.</t>
  </si>
  <si>
    <t>Chủ đề 38: Côn trùng và Sinh vật nhỏ</t>
  </si>
  <si>
    <t>Có một con kiến trên bàn.</t>
  </si>
  <si>
    <t>May langgam sa mesa .</t>
  </si>
  <si>
    <t>Zhuōzǐ shàng yǒuyī zhǐ mǎyǐ.</t>
  </si>
  <si>
    <t>Con kiến đang tha mồi.</t>
  </si>
  <si>
    <t>Nagdadala ng pagkain ang langgam .</t>
  </si>
  <si>
    <t>Con bướm có cánh rất đẹp.</t>
  </si>
  <si>
    <t>Maganda ang pakpak ng paru-paro .</t>
  </si>
  <si>
    <t>Mǎyǐ zhèngzài bānyùn tā de lièwù.</t>
  </si>
  <si>
    <t>Con ong đang hút mật hoa.</t>
  </si>
  <si>
    <t>Kumukuha ng nectar ang bubuyog .</t>
  </si>
  <si>
    <t>Cẩn thận kẻo ong đốt nhé.</t>
  </si>
  <si>
    <t>Ingat , baka makagat ng bubuyog .</t>
  </si>
  <si>
    <t>Húdié de chìbǎng zhēn piàoliang.</t>
  </si>
  <si>
    <t>Con muỗi đang bay quanh cháu.</t>
  </si>
  <si>
    <t>May lamok sa paligid ko .</t>
  </si>
  <si>
    <t>Cháu bị muỗi đốt ngứa quá.</t>
  </si>
  <si>
    <t>Ang kati ng kagat ng lamok .</t>
  </si>
  <si>
    <t>Mìfēng zhèngzài xīshí huāmì.</t>
  </si>
  <si>
    <t>Đuổi con ruồi đi nhé bác.</t>
  </si>
  <si>
    <t>Paki-taboy ang langaw .</t>
  </si>
  <si>
    <t>Con ruồi rất mất vệ sinh.</t>
  </si>
  <si>
    <t>Marumi ang langaw .</t>
  </si>
  <si>
    <t>Xiǎoxīn bié bèi zhēle.</t>
  </si>
  <si>
    <t>Con gián đang bò trong góc nhà.</t>
  </si>
  <si>
    <t>May ipis sa sulok .</t>
  </si>
  <si>
    <t>Cháu cực kỳ sợ gián!</t>
  </si>
  <si>
    <t>Takot na takot ako sa ipis !</t>
  </si>
  <si>
    <t>Yī zhǐ wénzǐ zài wǒ zhōuwéi fēi lái fēi qù.</t>
  </si>
  <si>
    <t>Con nhện đang giăng tơ.</t>
  </si>
  <si>
    <t>Gumagawa ng sapot ang gagamba .</t>
  </si>
  <si>
    <t>Con nhện có 8 cái chân.</t>
  </si>
  <si>
    <t>May walong paa ang gagamba .</t>
  </si>
  <si>
    <t>Wǒ bèi wénzǐ yǎole, hǎo yǎng a.</t>
  </si>
  <si>
    <t>Con chuồn chuồn bay thấp là sắp mưa.</t>
  </si>
  <si>
    <t>Mababa ang lipad ng tutubi kapag uulan .</t>
  </si>
  <si>
    <t>Con đom đóm phát sáng trong đêm.</t>
  </si>
  <si>
    <t>Umiilaw ang alitaptap sa gabi .</t>
  </si>
  <si>
    <t>Shūshu, qǐng bǎ cāngyíng gǎn zǒu.</t>
  </si>
  <si>
    <t>Nhìn kìa, một con bọ cánh cam!</t>
  </si>
  <si>
    <t>Tingnan niyo , may ladybug !</t>
  </si>
  <si>
    <t>Con bọ ngựa có hai cái "kiếm".</t>
  </si>
  <si>
    <t>May dalawang espada ang mandadangkal .</t>
  </si>
  <si>
    <t>Cāngyíng hěn bù wèishēng.</t>
  </si>
  <si>
    <t>Con sâu đang ăn lá cây.</t>
  </si>
  <si>
    <t>Kumakain ng dahon ang uod .</t>
  </si>
  <si>
    <t>Cháu sợ con sâu lông quá.</t>
  </si>
  <si>
    <t>Takot ako sa higad .</t>
  </si>
  <si>
    <t>Yī zhǐ zhāngláng zhèngzài wūzǐ de jiǎoluò lǐ pá lái pá qù.</t>
  </si>
  <si>
    <t>Con châu chấu nhảy rất cao.</t>
  </si>
  <si>
    <t>Mataas tumalon ang tipaklong .</t>
  </si>
  <si>
    <t>Con dế mèn kêu "ri ri".</t>
  </si>
  <si>
    <t>Nag-iingay ang kuliglig .</t>
  </si>
  <si>
    <t>Wǒ fēicháng hàipà zhāngláng!</t>
  </si>
  <si>
    <t>Con ốc sên bò chậm chạp trên tường.</t>
  </si>
  <si>
    <t>Mabagal gumapang ang suso sa pader .</t>
  </si>
  <si>
    <t>Con cuốn chiếu cuộn tròn lại.</t>
  </si>
  <si>
    <t>Nagbibilog ang millipede .</t>
  </si>
  <si>
    <t>Yī zhǐ zhīzhū zhèngzài zhī wǎng.</t>
  </si>
  <si>
    <t>Con rết có rất nhiều chân.</t>
  </si>
  <si>
    <t>Maraming paa ang alupihan .</t>
  </si>
  <si>
    <t>Cẩn thận, rết có độc đấy ạ.</t>
  </si>
  <si>
    <t>Ingat , nakakalason ang alupihan .</t>
  </si>
  <si>
    <t>Zhīzhū yǒu bātiáo tuǐ.</t>
  </si>
  <si>
    <t>Con ve sầu kêu vang vào mùa hè.</t>
  </si>
  <si>
    <t>Maingay ang kuliglig tuwing summer .</t>
  </si>
  <si>
    <t>Con bọ hung đang lăn viên đất.</t>
  </si>
  <si>
    <t>Nagpapagulong ng dumi ang uwang .</t>
  </si>
  <si>
    <t>Qīngtíng dīkōng fēixíng yìwèizhe yào xià yǔle.</t>
  </si>
  <si>
    <t>Cháu thích ngắm những con côn trùng nhỏ.</t>
  </si>
  <si>
    <t>Gusto ko tignan ang maliliit na insekto .</t>
  </si>
  <si>
    <t>Côn trùng cũng có ích cho tự nhiên.</t>
  </si>
  <si>
    <t>Yínghuǒchóng zài yèlǐ fāguāng.</t>
  </si>
  <si>
    <t>Đừng dẫm lên chúng nhé.</t>
  </si>
  <si>
    <t>Huwag nating apakan sila .</t>
  </si>
  <si>
    <t>Con mọt đang ăn gỗ.</t>
  </si>
  <si>
    <t>Kinakain ng anay ang kahoy .</t>
  </si>
  <si>
    <t>Kàn, yī zhǐ piáo chóng!</t>
  </si>
  <si>
    <t>Nhà mình có mối không ạ?</t>
  </si>
  <si>
    <t>May anay ba sa bahay natin ?</t>
  </si>
  <si>
    <t>Con bọ chét trên lưng chó.</t>
  </si>
  <si>
    <t>May pulgas sa likod ng aso .</t>
  </si>
  <si>
    <t>Tángláng yǒu liǎng bǎ “jiàn”.</t>
  </si>
  <si>
    <t>Con chấy trên đầu em bé.</t>
  </si>
  <si>
    <t>May kuto sa ulo ng bata .</t>
  </si>
  <si>
    <t>Phải gội đầu sạch sẽ nhé.</t>
  </si>
  <si>
    <t>Dapat tayong magshampoo nang mabuti .</t>
  </si>
  <si>
    <t>Máomao chóng zhèngzài chī shùyè.</t>
  </si>
  <si>
    <t>Con bọ xít có mùi hôi quá.</t>
  </si>
  <si>
    <t>Mabaho ang amoy ng sangga .</t>
  </si>
  <si>
    <t>Con tằm nhả tơ để làm lụa.</t>
  </si>
  <si>
    <t>Naglalabas ng sutla ang silkworm .</t>
  </si>
  <si>
    <t>Wǒ fēicháng hàipà máoróngróng de máomao chóng.</t>
  </si>
  <si>
    <t>Côn trùng có xương không ạ?</t>
  </si>
  <si>
    <t>Chúng có lớp vỏ cứng bên ngoài.</t>
  </si>
  <si>
    <t>May matigas silang balat sa labas .</t>
  </si>
  <si>
    <t>Yī zhǐ zhàměng tiào dé hěn gāo.</t>
  </si>
  <si>
    <t>Con bọ gậy sống dưới nước.</t>
  </si>
  <si>
    <t>Phải đổ nước đọng để diệt muỗi.</t>
  </si>
  <si>
    <t>Xīshuài míngjiào.</t>
  </si>
  <si>
    <t>Cháu dùng kính lúp để soi kiến.</t>
  </si>
  <si>
    <t>Tổ kiến ở dưới đất.</t>
  </si>
  <si>
    <t>Nasa ilalim ng lupa ang bahay ng langgam .</t>
  </si>
  <si>
    <t>Wōniú zài qiáng shàng màn man páxíng.</t>
  </si>
  <si>
    <t>Con ong mật làm mật rất ngọt.</t>
  </si>
  <si>
    <t>Gumagawa ng matamis na honey ang bubuyog .</t>
  </si>
  <si>
    <t>Cháu thích màu sắc của bướm.</t>
  </si>
  <si>
    <t>Gusto ko ang kulay ng paru-paro .</t>
  </si>
  <si>
    <t>Qiānzú chóng quánsuōzhe.</t>
  </si>
  <si>
    <t>Con côn trùng này tên là gì?</t>
  </si>
  <si>
    <t>Ano pangalan ng insektong ito ?</t>
  </si>
  <si>
    <t>Nangangagat ba ito ?</t>
  </si>
  <si>
    <t>Wúgōng yǒu hěnduō tuǐ.</t>
  </si>
  <si>
    <t>Cháu sẽ thả nó ra vườn.</t>
  </si>
  <si>
    <t>Pakakawalan ko siya sa garden .</t>
  </si>
  <si>
    <t>Hãy để chúng sống tự do.</t>
  </si>
  <si>
    <t>Hayaan natin silang maging malaya .</t>
  </si>
  <si>
    <t xml:space="preserve">Xiǎoxīn, wúgōng yǒudú. </t>
  </si>
  <si>
    <t>Thiên nhiên quanh ta thật đa dạng.</t>
  </si>
  <si>
    <t>Makulay ang kalikasan sa paligid natin .</t>
  </si>
  <si>
    <t>Chán zài xiàtiān míngjiào dé hěn xiǎngliàng.</t>
  </si>
  <si>
    <t>Jiǎchóng zhèngzài gǔndòng yī tuán nítǔ.</t>
  </si>
  <si>
    <t>Wǒ xǐhuān guānchá xiǎo kūnchóng.</t>
  </si>
  <si>
    <t>Kūnchóng duì zìránjiè yě hěn yǒuyòng.</t>
  </si>
  <si>
    <t>Bùyào cǎi dào tāmen.</t>
  </si>
  <si>
    <t>Zhù mù chóng zhèngzài chī mùtou.</t>
  </si>
  <si>
    <t>Wǒmen jiā yǒu báiyǐ ma?</t>
  </si>
  <si>
    <t>Gǒu bèi shàng de tiàozǎo.</t>
  </si>
  <si>
    <t>Yīng'ér tóu shàng de shīzǐ.</t>
  </si>
  <si>
    <t>Nǐ bìxū chèdǐ xǐ tóu.</t>
  </si>
  <si>
    <t>Chòuchóng wén qǐlái hěn chòu.</t>
  </si>
  <si>
    <t>Cán tǔ sī zhì sī.</t>
  </si>
  <si>
    <t>Kūnchóng yǒu gǔtou ma?</t>
  </si>
  <si>
    <t>Tāmen yǒu jiānyìng de wàiké.</t>
  </si>
  <si>
    <t>Wénzǐ de yòuchóng shēnghuó zài shuǐ xià.</t>
  </si>
  <si>
    <t>Wǒmen bìxū pái gàn jī shuǐ cáinéng shā sǐ wénzǐ.</t>
  </si>
  <si>
    <t>Wǒ yòng fàngdàjìng guānchá mǎyǐ.</t>
  </si>
  <si>
    <t>Yǐ cháo zài dìxià.</t>
  </si>
  <si>
    <t>Mìfēng niàngzào de fēngmì fēicháng tián.</t>
  </si>
  <si>
    <t>Wǒ xǐhuān húdié de yánsè.</t>
  </si>
  <si>
    <t>Zhè zhǒng kūnchóng jiào shénme míngzì?</t>
  </si>
  <si>
    <t>Wǒ yào bǎ tā fàngshēng dào huāyuán lǐ.</t>
  </si>
  <si>
    <t>Ràng tāmen zìyóu zìzài dì shēnghuó ba.</t>
  </si>
  <si>
    <t>Wǒmen zhōuwéi de zìránjiè rúcǐ fēngfù duōcǎi.</t>
  </si>
  <si>
    <t>Chủ đề 39: Thể thao và Hoạt động ngoài trời</t>
  </si>
  <si>
    <t>Gusto ko mag-ehersisyo tuwing umaga .</t>
  </si>
  <si>
    <t>Wǒ xǐhuān zǎoshang duànliàn.</t>
  </si>
  <si>
    <t>Chúng mình cùng đi chạy bộ nhé.</t>
  </si>
  <si>
    <t>Mag-jogging tayo .</t>
  </si>
  <si>
    <t>Bạn có thích chơi bóng rổ không?</t>
  </si>
  <si>
    <t>Mahilig ka bang mag-basketball ?</t>
  </si>
  <si>
    <t>Wǒmen yīqǐ qù mànpǎo ba.</t>
  </si>
  <si>
    <t>Cháu muốn ném bóng vào rổ.</t>
  </si>
  <si>
    <t>Gusto ko i-shoot ang bola .</t>
  </si>
  <si>
    <t>Cháu thích chơi đá bóng.</t>
  </si>
  <si>
    <t>Gusto ko maglaro ng football .</t>
  </si>
  <si>
    <t>Nǐ xǐhuān dǎ lánqiú ma?</t>
  </si>
  <si>
    <t>Hãy cùng nhau đá bóng nào!</t>
  </si>
  <si>
    <t>Maglaro tayo ng football !</t>
  </si>
  <si>
    <t>Cháu muốn làm thủ môn.</t>
  </si>
  <si>
    <t>Gusto ko maging goalkeeper .</t>
  </si>
  <si>
    <t>Wǒ xiǎng bǎ qiú tóu jìn lán kuāng.</t>
  </si>
  <si>
    <t>Bạn chạy nhanh thật đấy!</t>
  </si>
  <si>
    <t>Ang bilis mo tumakbo !</t>
  </si>
  <si>
    <t>Cháu thích đi bơi.</t>
  </si>
  <si>
    <t>Gusto ko lumangoy .</t>
  </si>
  <si>
    <t>Đừng quên mang theo kính bơi nhé.</t>
  </si>
  <si>
    <t>Huwag kalimutan ang swimming goggles .</t>
  </si>
  <si>
    <t>Nước ở hồ bơi mát quá!</t>
  </si>
  <si>
    <t>Ang presko ng tubig sa pool !</t>
  </si>
  <si>
    <t>Wǒmen yīqǐ tī zúqiú ba!</t>
  </si>
  <si>
    <t>Cháu biết bơi ếch rồi.</t>
  </si>
  <si>
    <t>Marunong na akong mag-breaststroke .</t>
  </si>
  <si>
    <t>Cháu muốn học chơi cầu lông.</t>
  </si>
  <si>
    <t>Gusto ko matutong mag-badminton .</t>
  </si>
  <si>
    <t>Wǒ xiǎng dāng shǒuményuán.</t>
  </si>
  <si>
    <t>Cho cháu mượn cái vợt nhé.</t>
  </si>
  <si>
    <t>Pahiram ng raket .</t>
  </si>
  <si>
    <t>Quả cầu lông bay cao quá!</t>
  </si>
  <si>
    <t>Ang taas ng lipad ng shuttlecock !</t>
  </si>
  <si>
    <t>Nǐ pǎo dé zhēn kuài!</t>
  </si>
  <si>
    <t>Cháu thích đi xe đạp trong công viên.</t>
  </si>
  <si>
    <t>Gusto ko mag-bike sa park .</t>
  </si>
  <si>
    <t>Đội mũ bảo hiểm vào nhé cháu.</t>
  </si>
  <si>
    <t>Magsuot ng helmet .</t>
  </si>
  <si>
    <t>Cháu muốn chơi bập bênh.</t>
  </si>
  <si>
    <t>Gusto ko mag-seesaw .</t>
  </si>
  <si>
    <t>Cháu thích ngồi xích đu.</t>
  </si>
  <si>
    <t>Gusto ko mag-swing .</t>
  </si>
  <si>
    <t>Bié wàngle dài yǒng jìng.</t>
  </si>
  <si>
    <t>Đẩy xích đu giúp cháu với ạ.</t>
  </si>
  <si>
    <t>Paki-tulak ng swing .</t>
  </si>
  <si>
    <t>Cháu đang chơi cầu trượt.</t>
  </si>
  <si>
    <t>Nag-i-slide ako .</t>
  </si>
  <si>
    <t>Yǒngchí lǐ de shuǐ zhēn liángshuǎng!</t>
  </si>
  <si>
    <t>Vui quá đi mất!</t>
  </si>
  <si>
    <t>Ang saya-saya !</t>
  </si>
  <si>
    <t>Cháu muốn chơi trốn tìm.</t>
  </si>
  <si>
    <t>Gusto ko maglaro ng taguan .</t>
  </si>
  <si>
    <t>Wǒ huì wāyǒng.</t>
  </si>
  <si>
    <t>Cháu đi trốn đây, bác tìm nhé.</t>
  </si>
  <si>
    <t>Magtatago ako , hanapin niyo ko ha .</t>
  </si>
  <si>
    <t>Cháu tìm thấy bạn rồi!</t>
  </si>
  <si>
    <t>Nahanap na kita !</t>
  </si>
  <si>
    <t>Wǒ xiǎng xué dǎ yǔmáoqiú.</t>
  </si>
  <si>
    <t>Cháu muốn chơi đuổi bắt.</t>
  </si>
  <si>
    <t>Gusto ko maglaro ng habulan .</t>
  </si>
  <si>
    <t>Đừng chạy nhanh quá kẻo ngã nhé.</t>
  </si>
  <si>
    <t>Huwag masyadong mabilis baka madapa .</t>
  </si>
  <si>
    <t>Wǒ kěyǐ jiè nǐ de qiúpāi ma?</t>
  </si>
  <si>
    <t>Cháu thích đi leo núi.</t>
  </si>
  <si>
    <t>Gusto ko mag-hiking .</t>
  </si>
  <si>
    <t>Cảnh vật trên cao đẹp tuyệt!</t>
  </si>
  <si>
    <t>Ang ganda ng view sa taas !</t>
  </si>
  <si>
    <t>Yǔmáoqiú fēi dé hào gāo a!</t>
  </si>
  <si>
    <t>Cháu muốn đi cắm trại.</t>
  </si>
  <si>
    <t>Chúng mình sẽ ngủ trong lều ạ?</t>
  </si>
  <si>
    <t>Matutulog ba tayo sa tent ?</t>
  </si>
  <si>
    <t>Wǒ xǐhuān zài gōngyuán qí zìxíngchē.</t>
  </si>
  <si>
    <t>Cháu thích nướng xúc xích.</t>
  </si>
  <si>
    <t>Gusto ko mag-ihaw ng hotdog .</t>
  </si>
  <si>
    <t>Cháu muốn chơi thả diều.</t>
  </si>
  <si>
    <t>Gusto ko magpalipad ng saranggola .</t>
  </si>
  <si>
    <t>Dài shàng tou kuī, hǎo ma?</t>
  </si>
  <si>
    <t>Gió thổi mạnh cho diều bay cao.</t>
  </si>
  <si>
    <t>Malakas ang hangin para lumipad ang saranggola .</t>
  </si>
  <si>
    <t>Cháu thích chơi bóng bàn.</t>
  </si>
  <si>
    <t>Gusto ko mag-ping .</t>
  </si>
  <si>
    <t>Wǒ xiǎng wán qiāoqiāobǎn.</t>
  </si>
  <si>
    <t>Cháu muốn tập võ Taekwondo.</t>
  </si>
  <si>
    <t>Gusto ko mag-aral ng Taekwondo .</t>
  </si>
  <si>
    <t>Cháu sẽ trở nên mạnh mẽ.</t>
  </si>
  <si>
    <t>Maging malakas ako .</t>
  </si>
  <si>
    <t>Wǒ xǐhuān zuò zài qiūqiān shàng.</t>
  </si>
  <si>
    <t>Bạn có thích nhảy dây không?</t>
  </si>
  <si>
    <t>Gusto mo bang mag-jumping rope ?</t>
  </si>
  <si>
    <t>Cháu nhảy được 10 cái rồi.</t>
  </si>
  <si>
    <t>Nakasampu na akong talon .</t>
  </si>
  <si>
    <t>Qǐng bāng wǒ tuī yīxià qiūqiān.</t>
  </si>
  <si>
    <t>Cháu thích trượt patin.</t>
  </si>
  <si>
    <t>Gusto ko mag-skating .</t>
  </si>
  <si>
    <t>Hãy giữ thăng bằng nhé.</t>
  </si>
  <si>
    <t>Mag-balance tayo .</t>
  </si>
  <si>
    <t>Wǒ zài wán huátī.</t>
  </si>
  <si>
    <t>Cháu muốn tham gia đại hội thể thao.</t>
  </si>
  <si>
    <t>Gusto ko sumali sa sports fest .</t>
  </si>
  <si>
    <t>Cháu muốn giành huy chương vàng.</t>
  </si>
  <si>
    <t>Gusto ko manalo ng gold medal .</t>
  </si>
  <si>
    <t>Zhēn hǎowán!</t>
  </si>
  <si>
    <t>Cố lên! Bạn làm được mà!</t>
  </si>
  <si>
    <t>Kaya mo yan ! Laban lang !</t>
  </si>
  <si>
    <t>Cháu hơi mệt, cho cháu nghỉ tí ạ.</t>
  </si>
  <si>
    <t>Wǒ xiǎng wán zhuōmícáng.</t>
  </si>
  <si>
    <t>Uống nước để lấy lại sức nhé.</t>
  </si>
  <si>
    <t>Uminom ng tubig para lumakas .</t>
  </si>
  <si>
    <t>Thể thao giúp chúng ta khỏe mạnh.</t>
  </si>
  <si>
    <t>Healthy ang mag-sports .</t>
  </si>
  <si>
    <t>Wǒ yào duǒ qǐlái, nǐ lái zhǎo wǒ!</t>
  </si>
  <si>
    <t>Cháu thích vận động mỗi ngày.</t>
  </si>
  <si>
    <t>Gusto ko gumalaw-galaw araw-araw .</t>
  </si>
  <si>
    <t xml:space="preserve"> Wǒ zhǎodào wǒ de péngyǒule!</t>
  </si>
  <si>
    <t>Cảm ơn bác đã chơi cùng cháu.</t>
  </si>
  <si>
    <t>Salamat sa paglaro kasama ko .</t>
  </si>
  <si>
    <t>Ngày mai mình lại chơi tiếp nhé!</t>
  </si>
  <si>
    <t>Ulitin natin bukas !</t>
  </si>
  <si>
    <t>Bié pǎo tài kuài, bùrán nǐ huì shuāi dǎo de!</t>
  </si>
  <si>
    <t>Wǒ xǐhuān dēngshān.</t>
  </si>
  <si>
    <t>Shāndǐng de jǐngsè zhēnshi tàiměile!</t>
  </si>
  <si>
    <t>Wǒ xiǎng qù lùyíng.</t>
  </si>
  <si>
    <t>Wǒmen huì shuì zài zhàngpéng lǐ ma?</t>
  </si>
  <si>
    <t>Wǒ xǐhuān kǎo xiāngcháng.</t>
  </si>
  <si>
    <t>Wǒ xiǎng fàng fēngzhēng.</t>
  </si>
  <si>
    <t>Fēng huì hěn dà, bǎ fēngzhēng chuī dé hěn gāo.</t>
  </si>
  <si>
    <t>Wǒ xǐhuān dǎ pīngpāng qiú.</t>
  </si>
  <si>
    <t>Wǒ xiǎng liànxí táiquándào.</t>
  </si>
  <si>
    <t>Wǒ huì biàn dé gèng qiángzhuàng.</t>
  </si>
  <si>
    <t>Nǐ xǐhuān tiàoshéng ma?</t>
  </si>
  <si>
    <t>Wǒ yǐjīng kěyǐ tiào 10 cìle.</t>
  </si>
  <si>
    <t>Wǒ xǐhuān lúnhuá.</t>
  </si>
  <si>
    <t>Bǎochí pínghéng!</t>
  </si>
  <si>
    <t>Wǒ xiǎng cānjiā yùndònghuì.</t>
  </si>
  <si>
    <t>Wǒ xiǎng yíngdé jīnpái.</t>
  </si>
  <si>
    <t>Jiāyóu! Nǐ néng xíng de!</t>
  </si>
  <si>
    <t>Wǒ yǒudiǎn lèile, kěyǐ xiūxí yīhuǐ'er ma?</t>
  </si>
  <si>
    <t>Hē diǎn shuǐ huīfù tǐlì.</t>
  </si>
  <si>
    <t>Yùndòng yǒu zhù yú wǒmen bǎochí jiànkāng.</t>
  </si>
  <si>
    <t>Wǒ xǐhuān měitiān duànliàn.</t>
  </si>
  <si>
    <t>Xièxiè nǐ péi wǒ wán.</t>
  </si>
  <si>
    <t>Míngtiān zài wán ba!</t>
  </si>
  <si>
    <t>1. Chủ đề 40: Nghệ thuật và Sáng tạo</t>
  </si>
  <si>
    <t>Cháu yêu nghệ thuật.</t>
  </si>
  <si>
    <t>Mahal ko ang sining (art).</t>
  </si>
  <si>
    <t>Wǒ xǐhuān yìshù.</t>
  </si>
  <si>
    <t>Cháu muốn vẽ một bức tranh.</t>
  </si>
  <si>
    <t>Cho cháu xin hộp màu nước ạ.</t>
  </si>
  <si>
    <t>Pahingi của water color .</t>
  </si>
  <si>
    <t>Wǒ xiǎng huà yī fú huà.</t>
  </si>
  <si>
    <t>Cháu đang vẽ hình gia đình mình.</t>
  </si>
  <si>
    <t>Idino-drawing ko ang pamilya natin .</t>
  </si>
  <si>
    <t>Bức tranh này màu sắc rực rỡ quá.</t>
  </si>
  <si>
    <t>Ang makulay ng drawing na ito .</t>
  </si>
  <si>
    <t>Qǐng gěi wǒ yī hé shuǐcǎi yánliào hǎo ma?</t>
  </si>
  <si>
    <t>Cháu thích tô màu bằng bút sáp.</t>
  </si>
  <si>
    <t>Gusto ko magkulay gamit ang crayons .</t>
  </si>
  <si>
    <t>Cháu muốn nặn đất sét.</t>
  </si>
  <si>
    <t>Gusto ko maglaro ng clay .</t>
  </si>
  <si>
    <t>Wǒ zhèngzài huà yī fú quánjiāfú.</t>
  </si>
  <si>
    <t>Cháu nặn được một con mèo nhỏ.</t>
  </si>
  <si>
    <t>Gumawa ako ng maliit na pusa sa clay .</t>
  </si>
  <si>
    <t>Zhè fú huà sècǎi zhēn xiānyàn.</t>
  </si>
  <si>
    <t>Cháu vừa gấp xong một con thiên nga.</t>
  </si>
  <si>
    <t>Nakagawa ako ng swan sa papel .</t>
  </si>
  <si>
    <t>Cháu muốn làm đồ thủ công.</t>
  </si>
  <si>
    <t>Wǒ xǐhuān yòng làbǐ tú sè.</t>
  </si>
  <si>
    <t>Cháu dùng hạt cườm để làm vòng tay.</t>
  </si>
  <si>
    <t>Gagamit ako ng beads para sa bracelet .</t>
  </si>
  <si>
    <t>Cháu tặng bác cái vòng này nhé.</t>
  </si>
  <si>
    <t>Para sa inyo itong bracelet .</t>
  </si>
  <si>
    <t>Wǒ xiǎng yòng niántǔ niē diāosù.</t>
  </si>
  <si>
    <t>Cháu thích nghe nhạc cổ điển.</t>
  </si>
  <si>
    <t>Gusto ko ng classical music .</t>
  </si>
  <si>
    <t>Cháu muốn học chơi đàn Ukulele.</t>
  </si>
  <si>
    <t>Gusto ko matutong mag-ukulele .</t>
  </si>
  <si>
    <t>Wǒ niēle yī zhǐ xiǎo māo.</t>
  </si>
  <si>
    <t>Tiếng đàn nghe thật êm tai.</t>
  </si>
  <si>
    <t>Ang sarap pakinggan ng tugtog .</t>
  </si>
  <si>
    <t>Cháu thích hát những bài tiếng Tagalog.</t>
  </si>
  <si>
    <t>Gusto ko kumanta ng Tagalog songs .</t>
  </si>
  <si>
    <t>Bạn hát hay như ca sĩ vậy!</t>
  </si>
  <si>
    <t>Para kang singer kung kumanta !</t>
  </si>
  <si>
    <t>Cháu thích đi xem triển lãm tranh.</t>
  </si>
  <si>
    <t>Gusto ko pumunta sa art gallery .</t>
  </si>
  <si>
    <t>Wǒ gānggāng zhé hǎole yī zhǐ tiān'é.</t>
  </si>
  <si>
    <t>Họa sĩ vẽ bức này tài quá.</t>
  </si>
  <si>
    <t>Ang galing ng artist na nagpinta nito .</t>
  </si>
  <si>
    <t>Cháu muốn tự làm bưu thiếp.</t>
  </si>
  <si>
    <t>Gusto ko gumawa ng sariling card .</t>
  </si>
  <si>
    <t>Wǒ xiǎng zuò shǒugōng.</t>
  </si>
  <si>
    <t>Cháu sẽ dán thêm kim tuyến cho đẹp.</t>
  </si>
  <si>
    <t>Maglalagay ako ng glitters para maganda .</t>
  </si>
  <si>
    <t>Cháu thích chụp ảnh phong cảnh.</t>
  </si>
  <si>
    <t>Gusto ko kumuha ng litrato ng tanawin .</t>
  </si>
  <si>
    <t>Wǒ yòng zhūzǐ zuòle yīgè shǒuliàn.</t>
  </si>
  <si>
    <t>Bức ảnh này trông thật nghệ thuật.</t>
  </si>
  <si>
    <t>Mukhang artistic ang photo na ito .</t>
  </si>
  <si>
    <t>Cháu muốn học nhảy hiện đại.</t>
  </si>
  <si>
    <t>Gusto ko mag-aral ng modern dance .</t>
  </si>
  <si>
    <t>Nǎinai, wǒ bǎ zhège shǒuliàn sòng gěi nín.</t>
  </si>
  <si>
    <t>Hãy cùng nhảy theo nhạc nào!</t>
  </si>
  <si>
    <t>Sumayaw tayo sa tugtog !</t>
  </si>
  <si>
    <t>Cháu thích đóng kịch.</t>
  </si>
  <si>
    <t>Gusto ko mag-acting .</t>
  </si>
  <si>
    <t>Wǒ xǐhuān tīng gǔdiǎn yīnyuè.</t>
  </si>
  <si>
    <t>Cháu sẽ đóng vai hoàng tử/công chúa.</t>
  </si>
  <si>
    <t>Ako ang prince/princess .</t>
  </si>
  <si>
    <t>Cháu đang viết một bài thơ ngắn.</t>
  </si>
  <si>
    <t>Nagsusulat ako ng maikling tula .</t>
  </si>
  <si>
    <t>Wǒ xiǎng xué dàn yóu kè lǐ lǐ.</t>
  </si>
  <si>
    <t>Bài thơ nói về tình yêu thương.</t>
  </si>
  <si>
    <t>Tungkol sa pagmamahal ang tula .</t>
  </si>
  <si>
    <t>Cháu thích đọc truyện cổ tích.</t>
  </si>
  <si>
    <t>Gusto ko magbasa ng fairy tales .</t>
  </si>
  <si>
    <t>Yóu kè lǐ lǐ de shēngyīn zhēn shūhuǎn.</t>
  </si>
  <si>
    <t>Thế giới tưởng tượng thật thú vị.</t>
  </si>
  <si>
    <t>Masaya sa mundo ng imahinasyon .</t>
  </si>
  <si>
    <t>Cháu muốn làm một ngôi nhà bằng bìa các-tông.</t>
  </si>
  <si>
    <t>Gawa ako ng bahay sa cardboard .</t>
  </si>
  <si>
    <t>Wǒ xǐhuān chàng tā jiā lù yǔ gēqǔ.</t>
  </si>
  <si>
    <t>Cần dùng súng bắn keo phải không ạ?</t>
  </si>
  <si>
    <t>Gagamit ba ng glue gun ?</t>
  </si>
  <si>
    <t>Bác giúp cháu cắt chỗ này nhé.</t>
  </si>
  <si>
    <t>Paki-tulong sa paggupit nito .</t>
  </si>
  <si>
    <t>Nǐ chàng dé zhēn hǎo, xiàng zhuānyè gēshǒu yīyàng!</t>
  </si>
  <si>
    <t>Cháu muốn trang trí phòng của mình.</t>
  </si>
  <si>
    <t>Gusto ko mag-decorate ng kwarto ko .</t>
  </si>
  <si>
    <t>Cháu treo tranh lên tường nhé.</t>
  </si>
  <si>
    <t>Isasabit ko ang drawing sa pader .</t>
  </si>
  <si>
    <t>Wǒ xǐhuān qù yìshù zhǎnlǎn.</t>
  </si>
  <si>
    <t>Cháu thích thêu thùa cùng bà.</t>
  </si>
  <si>
    <t>Gusto ko magburda kasama si Lola .</t>
  </si>
  <si>
    <t>Đường kim mũi chỉ thật khéo léo.</t>
  </si>
  <si>
    <t>Ang galing ng pagkakatahi .</t>
  </si>
  <si>
    <t>Huà zhè fú huà de yìshùjiā zhēnyǒu cáihuá.</t>
  </si>
  <si>
    <t>Cháu muốn làm một cuốn sổ lưu niệm.</t>
  </si>
  <si>
    <t>Gusto ko gumawa ng scrapbook .</t>
  </si>
  <si>
    <t>Cháu sẽ dán những kỷ niệm vào đây.</t>
  </si>
  <si>
    <t>Ididikit ko rito ang mga alaala .</t>
  </si>
  <si>
    <t>Wǒ xiǎng zìjǐ zhìzuò míngxìnpiàn.</t>
  </si>
  <si>
    <t>Nghệ thuật giúp cháu thấy hạnh phúc.</t>
  </si>
  <si>
    <t>Masaya ako dahil sa art .</t>
  </si>
  <si>
    <t>Ai cũng có thể sáng tạo.</t>
  </si>
  <si>
    <t>Lahat tayo ay pwedeng maging creative .</t>
  </si>
  <si>
    <t>Wǒ huì jiā xiē liàngpiàn ràng tāmen kàn qǐlái gèng piàoliang.</t>
  </si>
  <si>
    <t>Cháu muốn tham gia cuộc thi vẽ.</t>
  </si>
  <si>
    <t>Gusto ko sumali sa poster making contest .</t>
  </si>
  <si>
    <t>Chúc cháu đạt giải cao nhé!</t>
  </si>
  <si>
    <t>Sana ay manalo ka !</t>
  </si>
  <si>
    <t>Wǒ xǐhuān pāi fēngjǐng zhào.</t>
  </si>
  <si>
    <t>Cháu sẽ cố gắng hết sức.</t>
  </si>
  <si>
    <t>Gagawin ko ang best ko .</t>
  </si>
  <si>
    <t>Nghệ thuật không có giới hạn.</t>
  </si>
  <si>
    <t>Walang limitasyon ang sining .</t>
  </si>
  <si>
    <t>Zhè zhāng zhàopiàn kàn qǐlái zhēnyǒu yìshù gǎn.</t>
  </si>
  <si>
    <t>Cháu thích kết hợp nhiều màu sắc.</t>
  </si>
  <si>
    <t>Gusto ko ng maraming kulay .</t>
  </si>
  <si>
    <t>Cảm ơn bác đã ủng hộ đam mê của cháu.</t>
  </si>
  <si>
    <t>Salamat sa pag-suporta sa hobby ko .</t>
  </si>
  <si>
    <t>Wǒ xiǎng xué xiàndài wǔ.</t>
  </si>
  <si>
    <t>Cuộc sống thật đẹp khi có nghệ thuật!</t>
  </si>
  <si>
    <t>Ang ganda ng buhay dahil sa art !</t>
  </si>
  <si>
    <t xml:space="preserve"> Wǒmen yīqǐ tiàowǔ ba!</t>
  </si>
  <si>
    <t>Wǒ xǐhuān biǎoyǎn.</t>
  </si>
  <si>
    <t>Wǒ yào bànyǎn wángzǐ/gōngzhǔ.</t>
  </si>
  <si>
    <t>Wǒ zhèngzài xiě yī shǒu duǎn shī.</t>
  </si>
  <si>
    <t>Zhè shǒu shī shì guānyú àiqíng de.</t>
  </si>
  <si>
    <t>Wǒ xǐhuān dú tónghuà gùshì.</t>
  </si>
  <si>
    <t>Xiǎngxiàng de shìjiè zhēn yǒuqù.</t>
  </si>
  <si>
    <t>Wǒ xiǎng yòng zhǐbǎn zuò yīgè fángzǐ.</t>
  </si>
  <si>
    <t>Wǒ xūyào rè róng jiāo qiāng ma?</t>
  </si>
  <si>
    <t>Nǐ néng bāng wǒ bǎ zhè bùfèn cái hǎo ma?</t>
  </si>
  <si>
    <t>Wǒ xiǎng zhuāngshì wǒ de fángjiān.</t>
  </si>
  <si>
    <t>Wǒ yào bǎ zhàopiàn guà zài qiáng shàng.</t>
  </si>
  <si>
    <t>Wǒ xǐhuān hé nǎinai yīqǐ zuò cìxiù.</t>
  </si>
  <si>
    <t>Tā de zhēnjiǎo zhēn piàoliang.</t>
  </si>
  <si>
    <t>Wǒ xiǎng zuò yīgè jiǎntiē bù.</t>
  </si>
  <si>
    <t>Wǒ yào bǎ wǒ de huíyì tiē jìnqù.</t>
  </si>
  <si>
    <t>Yìshù ràng wǒ kuàilè.</t>
  </si>
  <si>
    <t>Měi gèrén dōu kěyǐ yǒu chuàngzào lì.</t>
  </si>
  <si>
    <t>Wǒ xiǎng cānjiā huìhuà bǐsài.</t>
  </si>
  <si>
    <t>Zhù nǐ qǔdé hǎo chéngjì!</t>
  </si>
  <si>
    <t>Wǒ huì jǐn wǒ suǒ néng.</t>
  </si>
  <si>
    <t>Yìshù méiyǒu jièxiàn.</t>
  </si>
  <si>
    <t>Wǒ xǐhuān jiāng duō zhǒng sècǎi rónghé zài yīqǐ.</t>
  </si>
  <si>
    <t>Gǎnxiè nín zhīchí wǒ de àihào.</t>
  </si>
  <si>
    <t>Yǒule yìshù, shēnghuó cái měihǎo!</t>
  </si>
  <si>
    <t>Chủ đề 41: Thế giới Đại dương</t>
  </si>
  <si>
    <t>Đại dương thật là rộng lớn!</t>
  </si>
  <si>
    <t>Napakalawak ng karagatan !</t>
  </si>
  <si>
    <t>Hǎiyáng zhēn guǎngkuò!</t>
  </si>
  <si>
    <t>Nước biển có màu xanh biếc.</t>
  </si>
  <si>
    <t>Kulay asul ang dagat .</t>
  </si>
  <si>
    <t>Cháu muốn đi ngắm san hô.</t>
  </si>
  <si>
    <t>Gusto ko makita ang mga coral .</t>
  </si>
  <si>
    <t>Hǎishuǐ shì měilì de lán sè.</t>
  </si>
  <si>
    <t>San hô có nhiều hình dáng lạ mắt.</t>
  </si>
  <si>
    <t>Maraming hugis ang mga coral .</t>
  </si>
  <si>
    <t>Con cá hề trốn trong đám hải quỳ.</t>
  </si>
  <si>
    <t>Nagtatago ang clownfish sa anemone .</t>
  </si>
  <si>
    <t>Wǒ xiǎng qù kàn shānhú.</t>
  </si>
  <si>
    <t>Nhìn kìa, một chú rùa biển đang bơi!</t>
  </si>
  <si>
    <t>Tingnan niyo , may lumalangoy na pawikan !</t>
  </si>
  <si>
    <t>Rùa biển bơi rất thư thả.</t>
  </si>
  <si>
    <t>Dahan-dahan lumalangoy ang pawikan .</t>
  </si>
  <si>
    <t>Shānhú yǒu hěnduō qíxíngguàizhuàng de dōngxī.</t>
  </si>
  <si>
    <t>Con sao biển có hình ngôi sao.</t>
  </si>
  <si>
    <t>Hugis bituin ang starfish .</t>
  </si>
  <si>
    <t>Cháu thấy một con hải sâm.</t>
  </si>
  <si>
    <t>Nakakita ako ng sea cucumber .</t>
  </si>
  <si>
    <t>Xiǎochǒu yú cáng zài hǎi kuí cóng zhōng.</t>
  </si>
  <si>
    <t>Con cá ngựa bám vào rêu biển.</t>
  </si>
  <si>
    <t>Nakakapit ang seahorse sa seaweeds .</t>
  </si>
  <si>
    <t>Đừng chạm vào con sứa nhé, sẽ bị ngứa đấy.</t>
  </si>
  <si>
    <t>Huwag hahawakan ang jellyfish , nakakati yan .</t>
  </si>
  <si>
    <t>Kàn, yī zhǐ hǎiguī zài yóuyǒng!</t>
  </si>
  <si>
    <t>Con sứa trông như một cái ô trong suốt.</t>
  </si>
  <si>
    <t>Parang transparent na payong ang jellyfish .</t>
  </si>
  <si>
    <t>Con mực phun mực đen để trốn chạy.</t>
  </si>
  <si>
    <t>Naglalabas ng tinta ang pusit para tumakas .</t>
  </si>
  <si>
    <t>Hǎiguī yóu dé hěn yōuxián.</t>
  </si>
  <si>
    <t>Cá mập có vây nhọn trên lưng.</t>
  </si>
  <si>
    <t>May matulis na palikpik ang pating .</t>
  </si>
  <si>
    <t>Cháu rất sợ cá mập.</t>
  </si>
  <si>
    <t>Takot ako sa pating .</t>
  </si>
  <si>
    <t>Hǎixīng de xíngzhuàng xiàng yī kē xīngxīng.</t>
  </si>
  <si>
    <t>Cá voi là động vật lớn nhất đại dương.</t>
  </si>
  <si>
    <t>Ang balyena ang pinakamalaking hayop sa dagat .</t>
  </si>
  <si>
    <t>Nhìn kìa, cá voi đang phun nước!</t>
  </si>
  <si>
    <t>Tingnan niyo , bumubuga ng tubig ang balyena !</t>
  </si>
  <si>
    <t>Wǒ kàn dàole yī zhǐ hǎishēn.</t>
  </si>
  <si>
    <t>Cá heo là bạn của con người.</t>
  </si>
  <si>
    <t>Kaibigan ng tao ang dolphin .</t>
  </si>
  <si>
    <t>Cá heo nhảy lên khỏi mặt nước.</t>
  </si>
  <si>
    <t>Tumatalon ang dolphin sa tubig .</t>
  </si>
  <si>
    <t>Hǎimǎ jǐn jǐn de yīfù zài hǎizǎo shàng.</t>
  </si>
  <si>
    <t>Cháu muốn được bơi cùng cá heo.</t>
  </si>
  <si>
    <t>Gusto ko makasama sa paglangoy ang dolphin .</t>
  </si>
  <si>
    <t>Con cua bò ngang trên bãi cát.</t>
  </si>
  <si>
    <t>Gumagapang nang pahalang ang alimango .</t>
  </si>
  <si>
    <t>Bùyào pèng shuǐmǔ, tā huì yǎng de.</t>
  </si>
  <si>
    <t>Vỏ sò này đẹp quá, cháu sẽ mang về nhà.</t>
  </si>
  <si>
    <t>Ang ganda ng shell na ito , iuuwi ko .</t>
  </si>
  <si>
    <t>Áp vỏ ốc vào tai sẽ nghe tiếng sóng.</t>
  </si>
  <si>
    <t>May tunog ng alon sa loob ng shell .</t>
  </si>
  <si>
    <t>Shuǐmǔ kàn qǐlái xiàng yī bǎ tòumíng de sǎn.</t>
  </si>
  <si>
    <t>Dưới đáy biển có rất nhiều kho báu.</t>
  </si>
  <si>
    <t>Maraming treasure sa ilalim ng dagat .</t>
  </si>
  <si>
    <t>Cháu muốn làm thợ lặn.</t>
  </si>
  <si>
    <t>Gusto ko maging diver .</t>
  </si>
  <si>
    <t>Yóuyú pēn chū hēisè de mòzhī táoshēng.</t>
  </si>
  <si>
    <t>Cháu cần bình dưỡng khí để thở dưới nước.</t>
  </si>
  <si>
    <t>Kailangan ko ng oxygen tank sa ilalim ng tubig .</t>
  </si>
  <si>
    <t>Sóng biển vỗ rì rào.</t>
  </si>
  <si>
    <t>Naririnig ko ang hampas ng alon .</t>
  </si>
  <si>
    <t>Shāyú bèi shàng yǒu fēnglì de qí.</t>
  </si>
  <si>
    <t>Thủy triều đang lên rồi.</t>
  </si>
  <si>
    <t>Lumalaki na ang tubig (high tide).</t>
  </si>
  <si>
    <t>Thủy triều rút để lộ ra bãi cát dài.</t>
  </si>
  <si>
    <t>Low tide na .</t>
  </si>
  <si>
    <t>Wǒ hěn hàipà shāyú.</t>
  </si>
  <si>
    <t>Cháu thích đi dạo dọc bờ biển.</t>
  </si>
  <si>
    <t>Gusto ko maglakad-lakad sa dalampasigan .</t>
  </si>
  <si>
    <t>Biển giúp chúng ta có hải sản ngon.</t>
  </si>
  <si>
    <t>Nagbibigay ang dagat ng masarap na seafood .</t>
  </si>
  <si>
    <t>Jīngyú shì hǎiyáng zhōng zuìdà de dòngwù.</t>
  </si>
  <si>
    <t>Đừng vứt rác xuống biển nhé.</t>
  </si>
  <si>
    <t>Huwag tayong magtatapon ng basura sa dagat .</t>
  </si>
  <si>
    <t>Hãy bảo vệ đại dương xanh.</t>
  </si>
  <si>
    <t>Protektahan natin ang asul na karagatan .</t>
  </si>
  <si>
    <t>Kàn, jīngyú zài pēn shuǐ!</t>
  </si>
  <si>
    <t>Con cá ngừ rất to và khỏe.</t>
  </si>
  <si>
    <t>Malaki at malakas ang tuna .</t>
  </si>
  <si>
    <t>Cháu thích ăn cá hồi.</t>
  </si>
  <si>
    <t>Gusto ko ng salmon .</t>
  </si>
  <si>
    <t>Hǎitún shì rénlèi de péngyǒu.</t>
  </si>
  <si>
    <t>Ngư dân đi đánh cá bằng lưới.</t>
  </si>
  <si>
    <t>Nanghiisda ang mga mangingisda gamit ang lambat .</t>
  </si>
  <si>
    <t>Con thuyền nhỏ dập dềnh trên sóng.</t>
  </si>
  <si>
    <t>Suma-sumayaw ang bangka sa alon .</t>
  </si>
  <si>
    <t>Hǎitún yuè chū shuǐmiàn.</t>
  </si>
  <si>
    <t>Ngọn hải đăng chỉ đường cho tàu thuyền.</t>
  </si>
  <si>
    <t>Tumatulong ang lighthouse sa mga barko .</t>
  </si>
  <si>
    <t>Cháu thấy một hòn đảo nhỏ đằng xa.</t>
  </si>
  <si>
    <t>May nakikita akong maliit na isla sa malayo .</t>
  </si>
  <si>
    <t>Wǒ xiǎng hé hǎitún yīqǐ yóuyǒng.</t>
  </si>
  <si>
    <t>Cháu muốn đi tàu ngầm.</t>
  </si>
  <si>
    <t>Gusto ko sumakay sa submarine .</t>
  </si>
  <si>
    <t>Tàu ngầm có thể xuống rất sâu.</t>
  </si>
  <si>
    <t>Kayang lumubog nang malalim ng submarine .</t>
  </si>
  <si>
    <t>Pángxiè zài shātān shàng páxíng.</t>
  </si>
  <si>
    <t>Ánh sáng không tới được đáy đại dương.</t>
  </si>
  <si>
    <t>Walang sikat ng araw sa kailalim-iliman .</t>
  </si>
  <si>
    <t>Ở đó có những loài cá phát sáng.</t>
  </si>
  <si>
    <t>May mga isdang umiilaw doon .</t>
  </si>
  <si>
    <t>Zhè méi bèiké zhēn piàoliang, wǒ yào bǎ tā dài huí jiā.</t>
  </si>
  <si>
    <t>Thiên nhiên dưới nước thật kỳ ảo.</t>
  </si>
  <si>
    <t>Napakahiwaga ng mundo sa ilalim ng tubig .</t>
  </si>
  <si>
    <t>Cháu thích xem phim hoạt hình về biển.</t>
  </si>
  <si>
    <t>Gusto ko manood ng cartoons tungkol sa dagat .</t>
  </si>
  <si>
    <t>Bǎ bèiké tiē zài ěrduǒ shàng, jiù néng tīng dào hǎilàng de shēngyīn.</t>
  </si>
  <si>
    <t>Cháu muốn cứu những con rùa bị mắc lưới.</t>
  </si>
  <si>
    <t>Gusto ko iligtas ang mga pawikan .</t>
  </si>
  <si>
    <t>Biển cho chúng ta muối ăn.</t>
  </si>
  <si>
    <t>Nakakakuha ng asin sa dagat .</t>
  </si>
  <si>
    <t>Hǎidǐ yǒu hěnduō bǎozàng.</t>
  </si>
  <si>
    <t>Cháu thích ngắm hoàng hôn trên biển.</t>
  </si>
  <si>
    <t>Gusto ko panoorin ang sunset sa dagat .</t>
  </si>
  <si>
    <t>Gió biển thổi rất mát.</t>
  </si>
  <si>
    <t>Ang presko ng hangin galing sa dagat .</t>
  </si>
  <si>
    <t>Wǒ xiǎng chéngwéi yī míng qiánshuǐyuán.</t>
  </si>
  <si>
    <t>Cháu yêu biển vô cùng!</t>
  </si>
  <si>
    <t>Mahal na mahal ko ang dagat !</t>
  </si>
  <si>
    <t>Wǒ xūyào yǎngqì píng cáinéng zài shuǐ xià hūxī.</t>
  </si>
  <si>
    <t>Hǎilàng qīng qīng de pāidǎzhe hǎi'àn.</t>
  </si>
  <si>
    <t>Cháoshuǐ zhèngzài shàngzhǎng.</t>
  </si>
  <si>
    <t>Cháoshuǐ zhèngzài tuìqù, lùchū yīpiàn miáncháng de shātān.</t>
  </si>
  <si>
    <t>Wǒ xǐhuān yánzhe shātān sànbù.</t>
  </si>
  <si>
    <t>Dàhǎi wéi wǒmen tígōng měiwèi dì hǎixiān.</t>
  </si>
  <si>
    <t>Bùyào bǎ lèsè rēng jìn hǎilǐ.</t>
  </si>
  <si>
    <t>Ràng wǒmen bǎohù wèilán dì hǎiyáng.</t>
  </si>
  <si>
    <t>Jīnqiāngyú yòu dà yòu zhuàng.</t>
  </si>
  <si>
    <t>Wǒ xǐhuān chī guīyú.</t>
  </si>
  <si>
    <t>Yúmínmen zhèngzài yòng yúwǎng bǔ yú.</t>
  </si>
  <si>
    <t>Yī sōu xiǎochuán zài bōlàng shàng yáoyè.</t>
  </si>
  <si>
    <t>Dēngtǎ wèi chuánzhī zhǐyǐn fāngxiàng.</t>
  </si>
  <si>
    <t>Wǒ kàn dào yuǎn chù yǒu yīzuò xiǎo dǎo.</t>
  </si>
  <si>
    <t>Wǒ xiǎng chéngzuò qiántǐng.</t>
  </si>
  <si>
    <t>Qiántǐng kěyǐ xià qián dào hěn shēn dì dìfāng.</t>
  </si>
  <si>
    <t>Guāngxiàn wúfǎ dàodá hǎidǐ.</t>
  </si>
  <si>
    <t>Nà li yǒu huì fāguāng de yú.</t>
  </si>
  <si>
    <t>Shuǐ xià shìjiè zhēnshi shénqí.</t>
  </si>
  <si>
    <t>Wǒ xǐhuān kàn guānyú hǎiyáng de dònghuà piàn.</t>
  </si>
  <si>
    <t>Wǒ xiǎng jiùchū bèi yúwǎng chán zhù dì hǎiguī.</t>
  </si>
  <si>
    <t>Dàhǎi gěi wǒmen tígōng shíwù suǒ xū de yán.</t>
  </si>
  <si>
    <t>Wǒ xǐhuān kàn hǎishàng de rìluò.</t>
  </si>
  <si>
    <t>Hǎifēng zhēn lìng rén shén qīng qì shuǎng.</t>
  </si>
  <si>
    <t>Wǒ tài ài dàhǎile!</t>
  </si>
  <si>
    <t>Chủ đề 42: Bầu trời và Vũ trụ</t>
  </si>
  <si>
    <t>Nhìn lên bầu trời kìa!</t>
  </si>
  <si>
    <t>Tingin tayo sa langit !</t>
  </si>
  <si>
    <t>Bầu trời hôm nay rất trong xanh.</t>
  </si>
  <si>
    <t>Napakalinaw ng langit ngayon .</t>
  </si>
  <si>
    <t>Có những đám mây trắng như bông.</t>
  </si>
  <si>
    <t>May mga ulap na parang bulak .</t>
  </si>
  <si>
    <t>Jīntiān de tiānkōng zhēn lán a!</t>
  </si>
  <si>
    <t>Đám mây kia giống hình con thỏ.</t>
  </si>
  <si>
    <t>Mukhang kuneho yung ulap na yun .</t>
  </si>
  <si>
    <t>Mặt trời chiếu sáng vào ban ngày.</t>
  </si>
  <si>
    <t>Nagbibigay ng liwanag ang araw tuwing umaga .</t>
  </si>
  <si>
    <t>Yǒu péngsōng de báiyún.</t>
  </si>
  <si>
    <t>Đừng nhìn trực tiếp vào mặt trời nhé.</t>
  </si>
  <si>
    <t>Huwag titingin nang diretso sa araw .</t>
  </si>
  <si>
    <t>Mặt trời rất nóng và khổng lồ.</t>
  </si>
  <si>
    <t>Napakainit at napakalaki ng araw .</t>
  </si>
  <si>
    <t>Nà duǒ yún kàn qǐlái xiàng yī zhǐ tùzǐ.</t>
  </si>
  <si>
    <t>Buổi tối thì có mặt trăng.</t>
  </si>
  <si>
    <t>May buwan tuwing gabi .</t>
  </si>
  <si>
    <t>Đêm nay trăng tròn quá!</t>
  </si>
  <si>
    <t>Ang bilog ng buwan ngayong gabi !</t>
  </si>
  <si>
    <t>Báitiān tàiyáng gāo zhàoyàozhe dàdì.</t>
  </si>
  <si>
    <t>Trăng khuyết trông như một chiếc thuyền.</t>
  </si>
  <si>
    <t>Mukhang bangka ang buwan .</t>
  </si>
  <si>
    <t>Cháu thấy rất nhiều vì sao lấp lánh.</t>
  </si>
  <si>
    <t>Ang dami kumukuti-kutitap na bituin .</t>
  </si>
  <si>
    <t>Bùyào zhí shì tàiyáng.</t>
  </si>
  <si>
    <t>Cháu muốn hái một ngôi sao trên trời.</t>
  </si>
  <si>
    <t>Gusto ko kumuha ng bituin sa langit .</t>
  </si>
  <si>
    <t>Cháu đang tìm chòm sao Đại Hùng.</t>
  </si>
  <si>
    <t>Hinahanap ko ang constellation na Big Dipper .</t>
  </si>
  <si>
    <t>Tàiyáng yòu rè yòu dà.</t>
  </si>
  <si>
    <t>Có một ngôi sao băng vừa bay qua!</t>
  </si>
  <si>
    <t>May bulalakaw (shooting star) dumaan !</t>
  </si>
  <si>
    <t>Cháu sẽ nhắm mắt và ước một điều.</t>
  </si>
  <si>
    <t>Pipikit ako at magwi-wish .</t>
  </si>
  <si>
    <t>Wǎnshàng yǒu yuèliàng.</t>
  </si>
  <si>
    <t>Cháu muốn đi vào vũ trụ.</t>
  </si>
  <si>
    <t>Gusto ko pumunta sa space .</t>
  </si>
  <si>
    <t>Cháu sẽ mặc bộ đồ phi hành gia.</t>
  </si>
  <si>
    <t>Mag-a-astronaut suit ako .</t>
  </si>
  <si>
    <t>Jīn wǎn de yuèliàng hǎo yuán a!</t>
  </si>
  <si>
    <t>Cháu sẽ đi bằng tàu vũ trụ.</t>
  </si>
  <si>
    <t>Sasakay ako sa spaceship .</t>
  </si>
  <si>
    <t>Trái đất của chúng ta hình cầu.</t>
  </si>
  <si>
    <t>Hugis bilog ang ating mundo .</t>
  </si>
  <si>
    <t>Wān yuè kàn qǐlái xiàng yī sōu xiǎochuán.</t>
  </si>
  <si>
    <t>Từ vũ trụ, trái đất có màu xanh lục.</t>
  </si>
  <si>
    <t>Kulay asul ang mundo mula sa space .</t>
  </si>
  <si>
    <t>Có bao nhiêu hành tinh trong hệ mặt trời ạ?</t>
  </si>
  <si>
    <t>Ilang planeta ang nasa solar system ?</t>
  </si>
  <si>
    <t>Wǒ kàn dào hǎoduō shǎnshuò de xīngxīng.</t>
  </si>
  <si>
    <t>Sao Hỏa được gọi là hành tinh đỏ.</t>
  </si>
  <si>
    <t>Ang Mars ay tinatawag na red planet .</t>
  </si>
  <si>
    <t>Sao Thổ có những chiếc vòng xung quanh.</t>
  </si>
  <si>
    <t>May mga rings ang Saturn .</t>
  </si>
  <si>
    <t>Wǒ xiǎng cóng tiānshàng zhāi yī kē xīngxīng.</t>
  </si>
  <si>
    <t>Sao Mộc là hành tinh lớn nhất.</t>
  </si>
  <si>
    <t>Ang Jupiter ang pinakamalaking planeta .</t>
  </si>
  <si>
    <t>Cháu muốn dùng kính thiên văn.</t>
  </si>
  <si>
    <t>Gusto ko gumamit ng telescope .</t>
  </si>
  <si>
    <t>Wǒ zài xúnzhǎo běidǒu qīxīng.</t>
  </si>
  <si>
    <t>Qua kính thiên văn, các vì sao gần hơn.</t>
  </si>
  <si>
    <t>Mas malapit ang mga bituin sa telescope .</t>
  </si>
  <si>
    <t>Có người ngoài hành tinh không ạ?</t>
  </si>
  <si>
    <t>May mga alien ba ?</t>
  </si>
  <si>
    <t>Yī kē liúxīng gānggāng huàguò tiānjì!</t>
  </si>
  <si>
    <t>Cháu muốn kết bạn với người ngoài hành tinh.</t>
  </si>
  <si>
    <t>Gusto ko makipagkaibigan sa mga alien .</t>
  </si>
  <si>
    <t>Vũ trụ thật bao la và bí ẩn.</t>
  </si>
  <si>
    <t>Napakalawak at mahiwaga ng universe .</t>
  </si>
  <si>
    <t>Wǒ yào bì shàng yǎnjīng xǔ gè yuàn.</t>
  </si>
  <si>
    <t>Cầu vồng xuất hiện sau cơn mưa.</t>
  </si>
  <si>
    <t>Lumilitaw ang bahaghari pagkatapos ng ulan .</t>
  </si>
  <si>
    <t>Cầu vồng có bảy màu rực rỡ.</t>
  </si>
  <si>
    <t>May pitong kulay ang bahaghari .</t>
  </si>
  <si>
    <t>Wǒ xiǎng qù tàikōng.</t>
  </si>
  <si>
    <t>Cháu thích màu tím của cầu vồng.</t>
  </si>
  <si>
    <t>Gusto ko ang kulay violet sa bahaghari .</t>
  </si>
  <si>
    <t>Sét đánh trông thật đáng sợ.</t>
  </si>
  <si>
    <t>Nakakatakot ang kidlat .</t>
  </si>
  <si>
    <t>Wǒ yào chuān shàng yǔháng fú.</t>
  </si>
  <si>
    <t>Tiếng sấm kêu đùng đoàng.</t>
  </si>
  <si>
    <t>Ang lakas ng kulog .</t>
  </si>
  <si>
    <t>Cháu sẽ trùm chăn khi có sấm sét.</t>
  </si>
  <si>
    <t>Magkumot tayo kapag may kulog .</t>
  </si>
  <si>
    <t>Wǒ yào zuò yǔzhòu fēichuán.</t>
  </si>
  <si>
    <t>Đêm nay trời nhiều mây quá, không thấy sao.</t>
  </si>
  <si>
    <t>Maulap ngayon , walang bituin .</t>
  </si>
  <si>
    <t>Bình minh là lúc mặt trời mọc.</t>
  </si>
  <si>
    <t>Sunrise ang paglipas ng gabi .</t>
  </si>
  <si>
    <t>Wǒmen dì dìqiú shì qiúxíng de.</t>
  </si>
  <si>
    <t>Cháu thích ngắm bình minh trên núi.</t>
  </si>
  <si>
    <t>Gusto ko makita ang sunrise sa bundok .</t>
  </si>
  <si>
    <t>Không gian ở vũ trụ không có không khí.</t>
  </si>
  <si>
    <t>Walang hangin sa outer space .</t>
  </si>
  <si>
    <t>Cóng tàikōng kàn, dìqiú shì lǜsè de.</t>
  </si>
  <si>
    <t>Các phi hành gia phải mang theo bình dưỡng khí.</t>
  </si>
  <si>
    <t>Kailangang magdala ng oxygen ang mga astronaut .</t>
  </si>
  <si>
    <t>Cháu muốn chạm tay vào mặt trăng.</t>
  </si>
  <si>
    <t>Gusto ko hawakan ang buwan .</t>
  </si>
  <si>
    <t>Tàiyángxì li yǒu duōshǎo kē xíngxīng?</t>
  </si>
  <si>
    <t>Trên mặt trăng có rất nhiều hố.</t>
  </si>
  <si>
    <t>Maraming craters sa buwan .</t>
  </si>
  <si>
    <t>Trọng lực ở mặt trăng rất yếu.</t>
  </si>
  <si>
    <t>Mahina ang gravity sa buwan .</t>
  </si>
  <si>
    <t>Huǒxīng bèi chēng wèi hóngsè xīngqiú.</t>
  </si>
  <si>
    <t>Cháu có thể nhảy rất cao trên đó.</t>
  </si>
  <si>
    <t>Kaya ko tumalon nang mataas doon .</t>
  </si>
  <si>
    <t>Cháu muốn học về thiên văn học.</t>
  </si>
  <si>
    <t>Gusto ko mag-aral ng astronomy .</t>
  </si>
  <si>
    <t>Tǔxīng zhōuwéi yǒu guānghuán.</t>
  </si>
  <si>
    <t>Sau này cháu sẽ chế tạo tên lửa.</t>
  </si>
  <si>
    <t>Gagawa ako ng rocket balang araw .</t>
  </si>
  <si>
    <t>Tên lửa sẽ bay nhanh hơn ánh sáng.</t>
  </si>
  <si>
    <t>Mas mabilis pa sa liwanag ang rocket ko .</t>
  </si>
  <si>
    <t xml:space="preserve">Mùxīng shì zuìdà de xíngxīng. </t>
  </si>
  <si>
    <t>Bầu trời đêm thật yên bình.</t>
  </si>
  <si>
    <t>Napakatahimik ng langit tuwing gabi .</t>
  </si>
  <si>
    <t>Wǒ xiǎng yòng wàngyuǎnjìng.</t>
  </si>
  <si>
    <t>Cháu sẽ ngủ ngon dưới ánh sao.</t>
  </si>
  <si>
    <t>Matutulog ako nang mahimbing sa ilalim ng mga bituin .</t>
  </si>
  <si>
    <t>Tòuguò wàngyuǎnjìng, xīngxīng kàn qǐlái gèng jìnle.</t>
  </si>
  <si>
    <t>Chúc cả vũ trụ ngủ ngon!</t>
  </si>
  <si>
    <t>Good night sa buong universe !</t>
  </si>
  <si>
    <t>Yǒu wài xīng rén ma?</t>
  </si>
  <si>
    <t>Wǒ xiǎng hé wài xīng rén jiāo péngyǒu.</t>
  </si>
  <si>
    <t>Yǔzhòu rúcǐ hàohàn shénmì.</t>
  </si>
  <si>
    <t>Yǔ hòu huì chūxiàn cǎihóng.</t>
  </si>
  <si>
    <t>Cǎihóng yǒu qī zhǒng xiānyàn de yánsè.</t>
  </si>
  <si>
    <t>Wǒ xǐhuān cǎihóng zhōng de zǐsè.</t>
  </si>
  <si>
    <t>Shǎndiàn kàn qǐlái hěn kěpà.</t>
  </si>
  <si>
    <t>Léi shēng lónglóng zuò xiǎng.</t>
  </si>
  <si>
    <t>Dǎléi shǎndiàn de shíhòu, wǒ huì yòng tǎnzǐ bǎ zìjǐ gài qǐlái.</t>
  </si>
  <si>
    <t>Jīn wǎn yúncéng tài hòu, wǒ kàn bù dào xīngxīng.</t>
  </si>
  <si>
    <t>Rì chū jiùshì tàiyáng shēng qǐ de shíhòu.</t>
  </si>
  <si>
    <t>Wǒ xǐhuān zài shānshàng kàn rì chū.</t>
  </si>
  <si>
    <t>Tàikōng zhōng méiyǒu kòng qì.</t>
  </si>
  <si>
    <t>Yǔháng yuán bìxū xiédài yǎngqì guàn.</t>
  </si>
  <si>
    <t>Wǒ xiǎng chùmō yuèqiú.</t>
  </si>
  <si>
    <t>Yuèqiú shàng yǒu hěnduō yǔnshí kēng.</t>
  </si>
  <si>
    <t>Yuèqiú shàng de zhònglì hěn ruò.</t>
  </si>
  <si>
    <t>Wǒ kěyǐ zài yuèqiú shàng tiào dé hěn gāo.</t>
  </si>
  <si>
    <t>Wǒ xiǎng xuéxí tiānwénxué.</t>
  </si>
  <si>
    <t>Yǐhòu wǒ yào zào huǒjiàn.</t>
  </si>
  <si>
    <t>Huǒjiàn jiāng yǐ chāo guāngsù fēixíng.</t>
  </si>
  <si>
    <t>Yèkōng rúcǐ níngjìng.</t>
  </si>
  <si>
    <t>Wǒ jiàng zài xīngkōng xià ānrán rùshuì.</t>
  </si>
  <si>
    <t>Zhù zhěnggè yǔzhòu wǎn'ān!</t>
  </si>
  <si>
    <t>Chủ đề 43: Thời gian và Lịch trình</t>
  </si>
  <si>
    <t>Bây giờ là 7 giờ sáng.</t>
  </si>
  <si>
    <t>Alas-siyete na ng umaga .</t>
  </si>
  <si>
    <t>Cháu cần phải đi ngay bây giờ.</t>
  </si>
  <si>
    <t>Kailangan ko na umalis ngayon .</t>
  </si>
  <si>
    <t>Cháu sẽ đến đúng giờ.</t>
  </si>
  <si>
    <t>Darating ako sa tamang oras .</t>
  </si>
  <si>
    <t>Đừng đến muộn nhé.</t>
  </si>
  <si>
    <t>Huwag tayong mahuhuli .</t>
  </si>
  <si>
    <t>Wǒ xiànzài bìxū chūfā.</t>
  </si>
  <si>
    <t>Cháu đang đợi xe buýt.</t>
  </si>
  <si>
    <t>Naghihintay ako ng bus .</t>
  </si>
  <si>
    <t>Chờ cháu một chút nhé.</t>
  </si>
  <si>
    <t>Wǒ huì zhǔnshí dàodá.</t>
  </si>
  <si>
    <t>Cháu sẽ quay lại sau 5 phút.</t>
  </si>
  <si>
    <t>Babalik ako pagkaraan ng limang minuto .</t>
  </si>
  <si>
    <t>Bié chídào.</t>
  </si>
  <si>
    <t>Hôm nay là thứ Hai.</t>
  </si>
  <si>
    <t>Ngày mai là sinh nhật cháu.</t>
  </si>
  <si>
    <t>Birthday ko bukas .</t>
  </si>
  <si>
    <t>Wǒ zài děng gōngjiāo chē.</t>
  </si>
  <si>
    <t>Hôm qua cháu đã đi chơi công viên.</t>
  </si>
  <si>
    <t>Pumunta ako sa park kahapon .</t>
  </si>
  <si>
    <t>Tuần sau chúng mình đi biển nhé.</t>
  </si>
  <si>
    <t>Punta tayo sa dagat sa susunod na linggo .</t>
  </si>
  <si>
    <t>Děng wǒ yīhuǐ'er.</t>
  </si>
  <si>
    <t>Cháu có lịch học lúc 8 giờ.</t>
  </si>
  <si>
    <t>May klase ako ng alas-otso .</t>
  </si>
  <si>
    <t>Cháu thường ngủ trưa lúc 1 giờ.</t>
  </si>
  <si>
    <t>Natutulog ako ng tanghali ng ala-una .</t>
  </si>
  <si>
    <t>Wǒ 5 fēnzhōng hòu huílái.</t>
  </si>
  <si>
    <t>Buổi sáng cháu ăn bánh mì.</t>
  </si>
  <si>
    <t>Kumakain ako ng tinapay tuwing umaga .</t>
  </si>
  <si>
    <t>Buổi chiều cháu đi đá bóng.</t>
  </si>
  <si>
    <t>Naglalaro ako ng football tuwing hapon .</t>
  </si>
  <si>
    <t>Buổi tối cháu làm bài tập.</t>
  </si>
  <si>
    <t>Gumagawa ako ng assignment tuwing gabi .</t>
  </si>
  <si>
    <t>Cháu thích ngày cuối tuần.</t>
  </si>
  <si>
    <t>Gusto ko ng weekend .</t>
  </si>
  <si>
    <t>Một tháng có bao nhiêu ngày ạ?</t>
  </si>
  <si>
    <t>Ilang araw sa isang buwan ?</t>
  </si>
  <si>
    <t>Năm nay là năm 2026.</t>
  </si>
  <si>
    <t>Taong dalawang libo dalawampu't anim ngayon .</t>
  </si>
  <si>
    <t>Míngtiān shì wǒ de shēngrì.</t>
  </si>
  <si>
    <t>Cháu cần đặt báo thức.</t>
  </si>
  <si>
    <t>Kailangan ko mag-alarm .</t>
  </si>
  <si>
    <t>Đồng hồ của cháu bị nhanh.</t>
  </si>
  <si>
    <t>Mabilis ang oras sa relo ko .</t>
  </si>
  <si>
    <t>Zuótiān wǒ qù gōngyuánle.</t>
  </si>
  <si>
    <t>Đồng hồ này bị chạy chậm rồi.</t>
  </si>
  <si>
    <t>Mabagal ang oras dito .</t>
  </si>
  <si>
    <t>Cháu đã chờ bác rất lâu.</t>
  </si>
  <si>
    <t>Matagal ko kayong hinintay .</t>
  </si>
  <si>
    <t>Wǒmen xià zhōu qù hǎitān ba.</t>
  </si>
  <si>
    <t>Thời gian trôi nhanh quá!</t>
  </si>
  <si>
    <t>Ang bilis ng oras !</t>
  </si>
  <si>
    <t>Đừng lãng phí thời gian nhé.</t>
  </si>
  <si>
    <t>Huwag nating sayangin ang oras .</t>
  </si>
  <si>
    <t>Wǒ zǎoshang 8 diǎn yǒu kè.</t>
  </si>
  <si>
    <t>Cháu muốn lập thời gian biểu.</t>
  </si>
  <si>
    <t>Gusto ko gumawa ng schedule .</t>
  </si>
  <si>
    <t>Mấy giờ thì cửa hàng mở cửa ạ?</t>
  </si>
  <si>
    <t>Anong oras nagbubukas ang tindahan ?</t>
  </si>
  <si>
    <t>Wǒ tōngcháng xiàwǔ 1 diǎn wǔshuì.</t>
  </si>
  <si>
    <t>Cửa hàng đóng cửa lúc 9 giờ tối.</t>
  </si>
  <si>
    <t>Sinasara ang tindahan ng alas-nuwebe ng gabi .</t>
  </si>
  <si>
    <t>Cháu sẽ gặp bạn vào ngày mai.</t>
  </si>
  <si>
    <t>Magkikita tayo bukas .</t>
  </si>
  <si>
    <t>Wǒ zǎoshang chī miànbāo.</t>
  </si>
  <si>
    <t>Hẹn gặp lại bác sau nhé.</t>
  </si>
  <si>
    <t>Wǒ xiàwǔ tī zúqiú.</t>
  </si>
  <si>
    <t>Cháu bận một chút rồi.</t>
  </si>
  <si>
    <t>Medyo busy ako .</t>
  </si>
  <si>
    <t>Cháu đang rảnh, mình chơi nhé.</t>
  </si>
  <si>
    <t>Libre ako , laro tayo .</t>
  </si>
  <si>
    <t>Wǒ wǎnshàng zuò zuo yè.</t>
  </si>
  <si>
    <t>Cháu đã làm việc này cả ngày.</t>
  </si>
  <si>
    <t>Buong araw ko ginawa ito .</t>
  </si>
  <si>
    <t>Cháu chỉ cần một lát thôi.</t>
  </si>
  <si>
    <t>Kailangan ko lang ng sandali .</t>
  </si>
  <si>
    <t>Wǒ xǐhuān zhōumò.</t>
  </si>
  <si>
    <t>Sắp đến giờ ăn cơm rồi.</t>
  </si>
  <si>
    <t>Malapit na mag-kainan .</t>
  </si>
  <si>
    <t>Cháu đi tắm mất 15 phút.</t>
  </si>
  <si>
    <t>Naliligo ako ng labinlimang minuto .</t>
  </si>
  <si>
    <t>Yīgè yuè yǒu jǐ tiān?</t>
  </si>
  <si>
    <t>Cháu học tiếng Tagalog mỗi ngày.</t>
  </si>
  <si>
    <t>Nag-aaral ako ng Tagalog araw-araw .</t>
  </si>
  <si>
    <t>Cháu sẽ kiên trì đến cùng.</t>
  </si>
  <si>
    <t>Magtitiyaga ako hanggang huli .</t>
  </si>
  <si>
    <t>Jīnnián shì 2026 nián.</t>
  </si>
  <si>
    <t>Bạn có đồng hồ đeo tay không?</t>
  </si>
  <si>
    <t>May relo ka ba ?</t>
  </si>
  <si>
    <t>Cho cháu xem giờ với ạ.</t>
  </si>
  <si>
    <t>Wǒ xūyào shèzhì nàozhōng.</t>
  </si>
  <si>
    <t>Trời đã tối rồi.</t>
  </si>
  <si>
    <t>Gabi na .</t>
  </si>
  <si>
    <t>Trời sắp sáng rồi kìa.</t>
  </si>
  <si>
    <t>Mag-uumaga na .</t>
  </si>
  <si>
    <t>Wǒ de zhōng zǒu kuàile.</t>
  </si>
  <si>
    <t>Cháu thức dậy sớm để tập thể dục.</t>
  </si>
  <si>
    <t>Gigising ako nang maaga para mag-exercise .</t>
  </si>
  <si>
    <t>Cháu luôn đi ngủ đúng giờ.</t>
  </si>
  <si>
    <t>Lagi akong natutulog sa tamang oras .</t>
  </si>
  <si>
    <t>Zhège zhōng zǒu mànle.</t>
  </si>
  <si>
    <t>Thời gian là vàng bạc.</t>
  </si>
  <si>
    <t>Ang oras ay ginto .</t>
  </si>
  <si>
    <t>Cháu sẽ trân trọng từng phút giây.</t>
  </si>
  <si>
    <t>Pahahalagahan ko ang bawat minuto .</t>
  </si>
  <si>
    <t>Wǒ děng nǐ hěnjiǔle.</t>
  </si>
  <si>
    <t>Cảm ơn bác đã dành thời gian cho cháu.</t>
  </si>
  <si>
    <t>Salamat sa oras niyo .</t>
  </si>
  <si>
    <t>Shíjiānguò dé zhēn kuài!</t>
  </si>
  <si>
    <t>Wǒ xiǎng zhìdìng yīgè jìhuà biǎo.</t>
  </si>
  <si>
    <t>Shāngdiàn wǎnshàng 9 diǎn guānmén.</t>
  </si>
  <si>
    <t>Huítóu jiàn.</t>
  </si>
  <si>
    <t>Wǒ yǒudiǎn máng.</t>
  </si>
  <si>
    <t>Wǒ xiànzài yǒu kòng le, wǒmen yīqǐ wán ba.</t>
  </si>
  <si>
    <t>Wǒ yī zhěng tiān dū zài máng zhège.</t>
  </si>
  <si>
    <t>Wǒ xūyào yīdiǎn shíjiān.</t>
  </si>
  <si>
    <t>Kuài dào wǎnfànshíjiānle.</t>
  </si>
  <si>
    <t>Wǒ xǐ gè 15 fēnzhōng de zǎo.</t>
  </si>
  <si>
    <t>Wǒ měitiān dū xuéxí tā jiā lù yǔ.</t>
  </si>
  <si>
    <t>Wǒ huì jiānchí xiàqù.</t>
  </si>
  <si>
    <t>Nǐ yǒu shǒubiǎo ma?</t>
  </si>
  <si>
    <t>Wǒ kěyǐ kàn kàn shíjiān ma?</t>
  </si>
  <si>
    <t>Kuài dào zǎoshangle.</t>
  </si>
  <si>
    <t>Wǒ zǎoqǐ duànliàn.</t>
  </si>
  <si>
    <t>Wǒ zǒng shì àn shí shuìjiào.</t>
  </si>
  <si>
    <t>Shíjiān jiùshì jīnqián.</t>
  </si>
  <si>
    <t>Wǒ huì zhēnxī měi yī fēnzhōng.</t>
  </si>
  <si>
    <t>Chủ đề 44: Hình dạng và Màu sắc nâng cao</t>
  </si>
  <si>
    <t>Cái này có màu đỏ thẫm.</t>
  </si>
  <si>
    <t>Kulay maroon ito .</t>
  </si>
  <si>
    <t>Zhège shì shēn hóngsè.</t>
  </si>
  <si>
    <t>Bầu trời có màu xanh da trời nhạt.</t>
  </si>
  <si>
    <t>Light blue ang langit .</t>
  </si>
  <si>
    <t>Cháu thích màu xanh lá cây đậm.</t>
  </si>
  <si>
    <t>Gusto ko ng dark green .</t>
  </si>
  <si>
    <t>Tiānkōng shì qiǎn lán sè.</t>
  </si>
  <si>
    <t>Màu này gọi là màu hồng phấn.</t>
  </si>
  <si>
    <t>Baby pink ang tawag sa kulay na ito .</t>
  </si>
  <si>
    <t>Chiếc váy này có màu tím than.</t>
  </si>
  <si>
    <t>Kulay navy blue ang damit na ito .</t>
  </si>
  <si>
    <t>Wǒ xǐhuān shēn lǜsè.</t>
  </si>
  <si>
    <t>Màu vàng chanh trông thật tươi mát.</t>
  </si>
  <si>
    <t>Mukhang presko ang kulay lemon yellow .</t>
  </si>
  <si>
    <t>Cháu muốn mua màu xám bạc.</t>
  </si>
  <si>
    <t>Gusto ko bumili ng kulay silver grey .</t>
  </si>
  <si>
    <t>Zhè zhǒng yánsè jiàozuò fěn cǎisè.</t>
  </si>
  <si>
    <t>Màu vàng đồng này sang trọng quá.</t>
  </si>
  <si>
    <t>Ang ganda ng kulay bronze .</t>
  </si>
  <si>
    <t>Nó có hình lục giác.</t>
  </si>
  <si>
    <t>Hugis hexagon ito .</t>
  </si>
  <si>
    <t>Zhè tiáo qúnzǐ shì tàn zǐsè.</t>
  </si>
  <si>
    <t>Hình này có tám cạnh (bát giác).</t>
  </si>
  <si>
    <t>May walong tabi ito (octagon).</t>
  </si>
  <si>
    <t>Hình nón này giống cái mũ sinh nhật.</t>
  </si>
  <si>
    <t>Mukhang birthday hat itong cone .</t>
  </si>
  <si>
    <t>Níngméng huáng kàn qǐlái hěn qīngxīn.</t>
  </si>
  <si>
    <t>Quả bóng có hình cầu.</t>
  </si>
  <si>
    <t>Hugis sphere ang bola .</t>
  </si>
  <si>
    <t>Cái hộp này có hình lập phương.</t>
  </si>
  <si>
    <t>Cube ang hugis ng kahon na ito .</t>
  </si>
  <si>
    <t>Wǒ xiǎng mǎi yín huīsè.</t>
  </si>
  <si>
    <t>Cái lon nước có hình trụ.</t>
  </si>
  <si>
    <t>Cylinder ang hugis ng lata .</t>
  </si>
  <si>
    <t>Cháu thích những họa tiết chấm bi.</t>
  </si>
  <si>
    <t>Gusto ko ng polka dots .</t>
  </si>
  <si>
    <t>Zhè zhǒng gǔtóngsè zhēn yōuyǎ.</t>
  </si>
  <si>
    <t>Chiếc áo này có kẻ sọc ngang.</t>
  </si>
  <si>
    <t>May stripes ang damit na ito .</t>
  </si>
  <si>
    <t>Họa tiết kẻ ca-rô trông rất cá tính.</t>
  </si>
  <si>
    <t>Maganda ang checkered na design .</t>
  </si>
  <si>
    <t>Tā shì liù biān xíng de.</t>
  </si>
  <si>
    <t>Màu sắc này trông rất hài hòa.</t>
  </si>
  <si>
    <t>Bagay na bagay ang mga kulay .</t>
  </si>
  <si>
    <t>Màu này quá chói mắt ạ.</t>
  </si>
  <si>
    <t>Masyadong matingkad ang kulay na ito .</t>
  </si>
  <si>
    <t>Zhège xíngzhuàng yǒu bātiáo biān (bā biān xíng).</t>
  </si>
  <si>
    <t>Màu sắc này hơi mờ nhạt.</t>
  </si>
  <si>
    <t>Medyo maputla ang kulay .</t>
  </si>
  <si>
    <t>Cháu thích sự kết hợp giữa đen và trắng.</t>
  </si>
  <si>
    <t>Gusto ko ng combination ng black and white .</t>
  </si>
  <si>
    <t>Zhège yuánzhuī tǐ kàn qǐlái xiàng yī dǐng shēngrì mào.</t>
  </si>
  <si>
    <t>Màu cầu vồng luôn làm cháu vui.</t>
  </si>
  <si>
    <t>Lagi akong sumasaya sa rainbow colors .</t>
  </si>
  <si>
    <t>Hình xoắn ốc này nhìn hoa mắt quá.</t>
  </si>
  <si>
    <t>Nakakahilo ang spiral na ito .</t>
  </si>
  <si>
    <t>Zhège qiú shì qiúxíng de.</t>
  </si>
  <si>
    <t>Những hình khối này rất vững chãi.</t>
  </si>
  <si>
    <t>Matatag ang mga shapes na ito .</t>
  </si>
  <si>
    <t>Cháu đang vẽ một hình ngôi sao 5 cánh.</t>
  </si>
  <si>
    <t>Gumagawa ako ng five-pointed star .</t>
  </si>
  <si>
    <t>Zhège hézǐ shì lìfāngtǐ de.</t>
  </si>
  <si>
    <t>Hình trái tim tượng trưng cho tình yêu.</t>
  </si>
  <si>
    <t>Simbolo ng pag-ibig ang puso .</t>
  </si>
  <si>
    <t>Cháu muốn tô màu ombre (chuyển màu).</t>
  </si>
  <si>
    <t>Gusto ko mag-kulay ng ombre .</t>
  </si>
  <si>
    <t>Zhège qìshuǐ guàn shì yuánzhù xíng de.</t>
  </si>
  <si>
    <t>Màu sắc của thiên nhiên là đẹp nhất.</t>
  </si>
  <si>
    <t>Pinakamaganda ang kulay ng kalikasan .</t>
  </si>
  <si>
    <t>Con bướm này có màu sắc đối xứng.</t>
  </si>
  <si>
    <t>Symmetrical ang kulay ng paru-paro .</t>
  </si>
  <si>
    <t>Wǒ xǐhuān bō diǎn tú'àn.</t>
  </si>
  <si>
    <t>Cháu thích màu vàng kim óng ánh.</t>
  </si>
  <si>
    <t>Gusto ko ng kumikinang na gold .</t>
  </si>
  <si>
    <t>Màu da cam này rất nổi bật.</t>
  </si>
  <si>
    <t>Agaw-pansin ang kulay orange .</t>
  </si>
  <si>
    <t>Zhè jiàn chènshān yǒu héng tiáowén.</t>
  </si>
  <si>
    <t>Màu nâu của gỗ tạo cảm giác ấm áp.</t>
  </si>
  <si>
    <t>Mainit sa pakiramdam ang kulay ng kahoy .</t>
  </si>
  <si>
    <t>Cháu muốn vẽ hình viên kim cương.</t>
  </si>
  <si>
    <t>Gusto ko gumuhit ng diamond .</t>
  </si>
  <si>
    <t>Gézǐ tú'àn kàn qǐlái hěn shíshàng.</t>
  </si>
  <si>
    <t>Hình bầu dục này giống quả trứng quá.</t>
  </si>
  <si>
    <t>Mukhang itlog itong oval .</t>
  </si>
  <si>
    <t>Cháu thích màu xanh ngọc bích.</t>
  </si>
  <si>
    <t>Gusto ko ng kulay emerald green .</t>
  </si>
  <si>
    <t>Zhè zhǒng yánsè kàn qǐlái hěn héxié.</t>
  </si>
  <si>
    <t>Màu tím hoa oải hương thật nhẹ nhàng.</t>
  </si>
  <si>
    <t>Ang lambot ng kulay lavender .</t>
  </si>
  <si>
    <t>Cháu đang trộn màu đỏ và vàng để ra màu cam.</t>
  </si>
  <si>
    <t>Pinaghahalo ko ang pula at dilaw para maging orange .</t>
  </si>
  <si>
    <t>Zhè zhǒng yánsè tàiliàngle.</t>
  </si>
  <si>
    <t>Màu sắc làm cho cuộc sống tươi đẹp hơn.</t>
  </si>
  <si>
    <t>Pinapaganda ng kulay ang buhay .</t>
  </si>
  <si>
    <t>Cháu thích những màu sắc rực rỡ buổi lễ hội.</t>
  </si>
  <si>
    <t>Gusto ko ng makukulay na piyesta .</t>
  </si>
  <si>
    <t>Zhè zhǒng yánsè yǒudiǎn àndàn.</t>
  </si>
  <si>
    <t>Hình tam giác này có ba góc bằng nhau.</t>
  </si>
  <si>
    <t>Pantay-pantay ang mga kanto ng triangle na ito .</t>
  </si>
  <si>
    <t>Cháu dùng compa để vẽ hình tròn hoàn hảo.</t>
  </si>
  <si>
    <t>Gumagamit ako ng compass para sa perfect na bilog .</t>
  </si>
  <si>
    <t>Wǒ xǐhuān hēibái dāpèi.</t>
  </si>
  <si>
    <t>Cháu thích sự trừu tượng trong nghệ thuật.</t>
  </si>
  <si>
    <t>Gusto ko ng abstract sa art .</t>
  </si>
  <si>
    <t>Màu sắc có thể nói lên cảm xúc.</t>
  </si>
  <si>
    <t>Nagpapakita ng emosyon ang mga kulay .</t>
  </si>
  <si>
    <t>Cǎihóngsè zǒng shì ràng wǒ kāixīn.</t>
  </si>
  <si>
    <t>Màu xanh dương làm cháu thấy bình yên.</t>
  </si>
  <si>
    <t>Kalmado ako sa kulay asul .</t>
  </si>
  <si>
    <t>Màu đỏ làm cháu thấy năng động.</t>
  </si>
  <si>
    <t>Masigla ako sa kulay pula .</t>
  </si>
  <si>
    <t>Zhège luóxuán tài yàoyǎnle.</t>
  </si>
  <si>
    <t>Cháu muốn học cách phối màu thật giỏi.</t>
  </si>
  <si>
    <t>Gusto ko matutong mag-match ng mga kulay .</t>
  </si>
  <si>
    <t>Hình dáng này rất hiện đại.</t>
  </si>
  <si>
    <t>Napakabago ng hugis na ito .</t>
  </si>
  <si>
    <t>Zhèxiē xíngzhuàng hěn jiēshi.</t>
  </si>
  <si>
    <t>Cháu thích những khối hình 3D.</t>
  </si>
  <si>
    <t>Gusto ko ng mga 3D shape .</t>
  </si>
  <si>
    <t>Mọi thứ xung quanh đều có hình dáng riêng.</t>
  </si>
  <si>
    <t>Lahat ng bagay ay may sariling hugis .</t>
  </si>
  <si>
    <t>Wǒ zài huà yīgè wǔjiǎo xīng.</t>
  </si>
  <si>
    <t>Thế giới này thật muôn màu muôn vẻ!</t>
  </si>
  <si>
    <t>Napakulay ng mundo !</t>
  </si>
  <si>
    <t>Xīn xíngxiàng zhēngzhe ài.</t>
  </si>
  <si>
    <t>Wǒ xiǎng yòng jiànbiàn sè.</t>
  </si>
  <si>
    <t>Dà zìrán de sècǎi zuìměi.</t>
  </si>
  <si>
    <t>Zhè zhǐ húdié de yánsè hěn duìchèn.</t>
  </si>
  <si>
    <t>Wǒ xǐhuān shǎnshǎn fāguāng de jīnsè.</t>
  </si>
  <si>
    <t>Zhè zhǒng chéngsè fēicháng xǐngmù.</t>
  </si>
  <si>
    <t>Mùtou de zōngsè jǐ rén yī zhǒng wēnnuǎn de gǎnjué.</t>
  </si>
  <si>
    <t>Wǒ xiǎng huà yīgè língxíng.</t>
  </si>
  <si>
    <t>Zhège tuǒyuán xíng kàn qǐlái tài xiàng jīdànle.</t>
  </si>
  <si>
    <t>Wǒ xǐhuān fěicuì lǜ.</t>
  </si>
  <si>
    <t>Xūnyīcǎo zǐ hěn róuhé.</t>
  </si>
  <si>
    <t>Wǒ zhèngzài hùnhé hóngsè hé huángsè lái diào chū chéngsè.</t>
  </si>
  <si>
    <t>Sècǎi ràng shēnghuó gèng měihǎo.</t>
  </si>
  <si>
    <t>Wǒ xǐhuān jiérì lǐ xiānyàn de sècǎi.</t>
  </si>
  <si>
    <t>Zhège sānjiǎoxíng yǒusān gè xiāngděng de jiǎo.</t>
  </si>
  <si>
    <t>Wǒ zhèngzài yòng yuánguī huà yīgè wánměi de yuán.</t>
  </si>
  <si>
    <t>Wǒ xǐhuān chōuxiàng yìshù.</t>
  </si>
  <si>
    <t>Sècǎi kěyǐ biǎodá qínggǎn.</t>
  </si>
  <si>
    <t>Lán sè ràng wǒ gǎndào píngjìng.</t>
  </si>
  <si>
    <t>Hóng sè ràng wǒ gǎndào chōngmǎn huólì.</t>
  </si>
  <si>
    <t>Wǒ xiǎng xuéxí rúhé zhēnzhèng de dāpèi sècǎi.</t>
  </si>
  <si>
    <t>Zhège xíngzhuàng hěn xiàndài.</t>
  </si>
  <si>
    <t>Wǒ xǐhuān lìtǐ xíngzhuàng.</t>
  </si>
  <si>
    <t>Wǒ zhōuwéi de yīqiè dōu yǒuzhe zìjǐ dútè de xíngzhuàng.</t>
  </si>
  <si>
    <t>Zhège shìjiè zhēn duōcǎi!</t>
  </si>
  <si>
    <t>Chủ đề 45: Nghề nghiệp và Công việc</t>
  </si>
  <si>
    <t>Bác làm nghề gì thế ạ?</t>
  </si>
  <si>
    <t>Ano trabaho niyo ?</t>
  </si>
  <si>
    <t>Xiānshēng/nǚshì, nín shì zuò shénme gōngzuò de?</t>
  </si>
  <si>
    <t>Cháu muốn trở thành một bác sĩ giỏi.</t>
  </si>
  <si>
    <t>Gusto ko maging mahusay na doctor .</t>
  </si>
  <si>
    <t>Cô ấy là một giáo viên tận tâm.</t>
  </si>
  <si>
    <t>Mabait siyang teacher .</t>
  </si>
  <si>
    <t>Wǒ xiǎng chéngwéi yī míng yōuxiù de yīshēng.</t>
  </si>
  <si>
    <t>Chú ấy là một chú cảnh sát dũng cảm.</t>
  </si>
  <si>
    <t>Matapang siyang pulis .</t>
  </si>
  <si>
    <t>Cháu thích làm lính cứu hỏa để cứu người.</t>
  </si>
  <si>
    <t>Gusto ko maging bumbero para tumulong .</t>
  </si>
  <si>
    <t>Tā shì yī wèi jìnzhí jìnzé de lǎoshī.</t>
  </si>
  <si>
    <t>Người đầu bếp nấu ăn rất ngon.</t>
  </si>
  <si>
    <t>Masarap magluto ang chef .</t>
  </si>
  <si>
    <t>Cháu muốn làm phi công để bay khắp thế giới.</t>
  </si>
  <si>
    <t>Gusto ko maging piloto para makalipad .</t>
  </si>
  <si>
    <t>Tā shì yī wèi yǒnggǎn de jǐngchá.</t>
  </si>
  <si>
    <t>Bác nông dân làm việc vất vả trên đồng ruộng.</t>
  </si>
  <si>
    <t>Masipag ang magsasaka sa bukid .</t>
  </si>
  <si>
    <t>Cháu muốn làm một kỹ sư xây nhà cao tầng.</t>
  </si>
  <si>
    <t>Gusto ko maging engineer .</t>
  </si>
  <si>
    <t>Wǒ xǐhuān dāng xiāofáng yuán, qù jiù rén.</t>
  </si>
  <si>
    <t>Anh ấy là một lập trình viên máy tính.</t>
  </si>
  <si>
    <t>Computer programmer siya .</t>
  </si>
  <si>
    <t>Cháu thích vẽ, cháu sẽ làm họa sĩ.</t>
  </si>
  <si>
    <t>Zhè wèi chúshī chú yì jīngzhàn.</t>
  </si>
  <si>
    <t>Chị ấy hát hay như một ca sĩ chuyên nghiệp.</t>
  </si>
  <si>
    <t>Magaling siyang singer .</t>
  </si>
  <si>
    <t>Cháu muốn làm bác sĩ thú y để chữa bệnh cho mèo.</t>
  </si>
  <si>
    <t>Gusto ko maging vet .</t>
  </si>
  <si>
    <t>Wǒ xiǎng chéngwéi yī míng fēixíngyuán, fēi biàn shìjiè gèdì.</t>
  </si>
  <si>
    <t>Bác lái xe thật là cẩn thận.</t>
  </si>
  <si>
    <t>Maingat ang driver .</t>
  </si>
  <si>
    <t>Cháu muốn làm một nhà khoa học tài ba.</t>
  </si>
  <si>
    <t>Gusto ko maging scientist .</t>
  </si>
  <si>
    <t>Zhè wèi nóngmín zài tián lǐ xīnqínláozuò.</t>
  </si>
  <si>
    <t>Cô y tá chăm sóc bệnh nhân rất nhẹ nhàng.</t>
  </si>
  <si>
    <t>Mabait ang nurse .</t>
  </si>
  <si>
    <t>Cháu muốn làm một phi hành gia.</t>
  </si>
  <si>
    <t>Gusto ko maging astronaut .</t>
  </si>
  <si>
    <t>Wǒ xiǎng chéngwéi yī míng gōngchéngshī, qù jiànzào mótiān dàlóu.</t>
  </si>
  <si>
    <t>Công việc của bác có vui không ạ?</t>
  </si>
  <si>
    <t>Masaya ba ang trabaho niyo ?</t>
  </si>
  <si>
    <t>Cháu sẽ học hành chăm chỉ để đạt được ước mơ.</t>
  </si>
  <si>
    <t>Tā shì yī wèi diànnǎo chéngxù yuán.</t>
  </si>
  <si>
    <t>Chú ấy là một thợ mộc khéo tay.</t>
  </si>
  <si>
    <t>Magaling karpintero si Tito .</t>
  </si>
  <si>
    <t>Cháu muốn làm một vận động viên bóng rổ.</t>
  </si>
  <si>
    <t>Gusto ko maging basketball player .</t>
  </si>
  <si>
    <t>Wǒ xǐhuān huà huà, wǒ xiǎng chéngwéi yī míng yìshùjiā.</t>
  </si>
  <si>
    <t>Cô ấy là một nhiếp ảnh gia nổi tiếng.</t>
  </si>
  <si>
    <t>Sikat siyang photographer .</t>
  </si>
  <si>
    <t>Cháu muốn làm hướng dẫn viên du lịch ở Philippines.</t>
  </si>
  <si>
    <t>Gusto ko maging tour guide .</t>
  </si>
  <si>
    <t>Tā chànggē xiàng zhuānyè gēshǒu yīyàng hǎotīng.</t>
  </si>
  <si>
    <t>Bác thợ điện đang sửa đèn kìa.</t>
  </si>
  <si>
    <t>Inaayos ng electrician ang ilaw .</t>
  </si>
  <si>
    <t>Cháu muốn làm một luật sư để bảo vệ công lý.</t>
  </si>
  <si>
    <t>Gusto ko maging lawyer .</t>
  </si>
  <si>
    <t>Wǒ xiǎng chéngwéi yī míng shòuyī, qù zhìliáo shēngbìng de māo.</t>
  </si>
  <si>
    <t>Chú ấy là một thợ sửa xe giỏi.</t>
  </si>
  <si>
    <t>Mahusay siyang mekaniko .</t>
  </si>
  <si>
    <t>Cháu muốn làm chủ một cửa hàng bánh kẹo.</t>
  </si>
  <si>
    <t>Gusto ko magkaroon ng candy shop .</t>
  </si>
  <si>
    <t>Nín kāichē fēicháng xiǎoxīn.</t>
  </si>
  <si>
    <t>Cô ấy là một vũ công xinh đẹp.</t>
  </si>
  <si>
    <t>Magandang dancer siya .</t>
  </si>
  <si>
    <t>Cháu muốn làm một nhà báo đi khắp nơi.</t>
  </si>
  <si>
    <t>Gusto ko maging journalist .</t>
  </si>
  <si>
    <t>Wǒ xiǎng chéngwéi yī míng jiéchū de kēxuéjiā.</t>
  </si>
  <si>
    <t>Bác thợ cắt tóc cho cháu kiểu này nhé.</t>
  </si>
  <si>
    <t>Gupit barber ang gusto ko .</t>
  </si>
  <si>
    <t>Cháu muốn làm một nhân viên ngân hàng.</t>
  </si>
  <si>
    <t>Gusto ko magtrabaho sa bangko .</t>
  </si>
  <si>
    <t>Zhè wèi hùshì duì bìngrén zhàogù dé fēicháng wēnróu.</t>
  </si>
  <si>
    <t>Anh ấy là một người lính yêu nước.</t>
  </si>
  <si>
    <t>Matapang na sundalo siya .</t>
  </si>
  <si>
    <t>Cháu muốn làm một nhà thiết kế thời trang.</t>
  </si>
  <si>
    <t>Gusto ko maging fashion designer .</t>
  </si>
  <si>
    <t>Wǒ xiǎng chéngwéi yī míng yǔháng yuán.</t>
  </si>
  <si>
    <t>Cô ấy là một nhân viên bán hàng niềm nở.</t>
  </si>
  <si>
    <t>Masayahin ang sales lady .</t>
  </si>
  <si>
    <t>Cháu muốn làm một thợ lặn dưới biển sâu.</t>
  </si>
  <si>
    <t>Xiānshēng/nǚshì, nín de gōngzuò yǒuqù ma?</t>
  </si>
  <si>
    <t>Bác bảo vệ luôn thức canh cho chúng cháu.</t>
  </si>
  <si>
    <t>Binabantayan tayo ng guard .</t>
  </si>
  <si>
    <t>Cháu muốn làm một đầu bếp làm bánh ngọt.</t>
  </si>
  <si>
    <t>Gusto ko maging pastry chef .</t>
  </si>
  <si>
    <t>Wǒ huì nǔlì xuéxí, shíxiàn wǒ de mèngxiǎng.</t>
  </si>
  <si>
    <t>Chú ấy là một người thợ xây cần mẫn.</t>
  </si>
  <si>
    <t>Masipag na construction worker siya .</t>
  </si>
  <si>
    <t>Cháu muốn làm một người mẫu nhí.</t>
  </si>
  <si>
    <t>Gusto ko maging child model .</t>
  </si>
  <si>
    <t>Tā shì yī wèi jìyì jīngzhàn de mùjiàng.</t>
  </si>
  <si>
    <t>Cô ấy là một biên tập viên phim.</t>
  </si>
  <si>
    <t>Video editor siya .</t>
  </si>
  <si>
    <t>Cháu muốn làm một nhà khảo cổ học.</t>
  </si>
  <si>
    <t>Gusto ko maging archaeologist .</t>
  </si>
  <si>
    <t>Wǒ xiǎng chéngwéi yī míng lánqiú yùndòngyuán.</t>
  </si>
  <si>
    <t>Bác là một thuyền trưởng vĩ đại.</t>
  </si>
  <si>
    <t>Mahusay siyang kapitan ng barko .</t>
  </si>
  <si>
    <t>Cháu muốn làm một dịch giả tiếng Tagalog.</t>
  </si>
  <si>
    <t>Gusto ko maging Tagalog translator .</t>
  </si>
  <si>
    <t>Tā shì yī wèi zhùmíng de shèyǐng shī.</t>
  </si>
  <si>
    <t>Chú ấy là một người đưa thư đúng giờ.</t>
  </si>
  <si>
    <t>On time ang mailman .</t>
  </si>
  <si>
    <t>Cháu muốn làm một nhà môi trường học.</t>
  </si>
  <si>
    <t>Gusto ko maging environmentalist .</t>
  </si>
  <si>
    <t>Wǒ xiǎng chéngwéi fēilǜbīn de dǎoyóu.</t>
  </si>
  <si>
    <t>Cô ấy là một dược sĩ bán thuốc.</t>
  </si>
  <si>
    <t>Pharmacist siya .</t>
  </si>
  <si>
    <t>Cháu muốn làm một vận động viên bơi lội.</t>
  </si>
  <si>
    <t>Gusto ko maging swimmer .</t>
  </si>
  <si>
    <t>Diàngōng zhèngzài xiūlǐ dēng.</t>
  </si>
  <si>
    <t>Mọi nghề nghiệp đều đáng quý.</t>
  </si>
  <si>
    <t>Lahat ng trabaho ay mahalaga .</t>
  </si>
  <si>
    <t>Cháu sẽ nỗ lực mỗi ngày.</t>
  </si>
  <si>
    <t>Magsisikap ako .</t>
  </si>
  <si>
    <t>Wǒ xiǎng chéngwéi yī míng lǜshī, wéihù zhèngyì.</t>
  </si>
  <si>
    <t>Tā shì yī wèi jìshù xiánshú de jīxiè shī.</t>
  </si>
  <si>
    <t>Wǒ xiǎng yǒngyǒu yījiā tángguǒ diàn.</t>
  </si>
  <si>
    <t>Tā shì yī wèi měilì de wǔ zhě.</t>
  </si>
  <si>
    <t>Wǒ xiǎng chéngwéi yī míng zhōuyóu shìjiè de jìzhě.</t>
  </si>
  <si>
    <t>Lǐfǎ shī huì bǎ wǒ de tóufǎ jiǎn chéng zhèyàng.</t>
  </si>
  <si>
    <t>Wǒ xiǎng chéngwéi yī míng yínháng zhíyuán.</t>
  </si>
  <si>
    <t>Tā shì yī wèi àiguó dí shìbīng.</t>
  </si>
  <si>
    <t>Wǒ xiǎng chéngwéi yī míng shízhuāng shèjì shī.</t>
  </si>
  <si>
    <t>Tā shì yī wèi kāilǎng de shòuhuòyuán.</t>
  </si>
  <si>
    <t>Wǒ xiǎng chéngwéi yī míng shēnhǎi qiánshuǐyuán.</t>
  </si>
  <si>
    <t>Bǎo'ān yīzhí zài shǒuhùzhe wǒmen.</t>
  </si>
  <si>
    <t>Wǒ xiǎng chéngwéi yī míng gāodiǎn shī.</t>
  </si>
  <si>
    <t>Tā shì yī wèi qín láo de jiànzhú gōngrén.</t>
  </si>
  <si>
    <t>Wǒ xiǎng chéngwéi yī míng er tóng mótè.</t>
  </si>
  <si>
    <t>Tā shì yī wèi diànyǐng jiǎnjí shī.</t>
  </si>
  <si>
    <t>Wǒ xiǎng chéngwéi yī míng kǎogǔ xué jiā.</t>
  </si>
  <si>
    <t>Wǒ de shūshu shì yī wèi wěidà de chuánzhǎng.</t>
  </si>
  <si>
    <t>Wǒ xiǎng chéngwéi yī míng tā jiā lù yǔ fānyì.</t>
  </si>
  <si>
    <t xml:space="preserve">Tā shì yī wèi zhǔnshí de yóudìyuán. </t>
  </si>
  <si>
    <t>Wǒ xiǎng chéngwéi yī míng huánbǎo zhǔyì zhě.</t>
  </si>
  <si>
    <t>Tā shì yī míng yàojì shī.</t>
  </si>
  <si>
    <t>Wǒ xiǎng chéngwéi yī míng yóuyǒng yùndòngyuán.</t>
  </si>
  <si>
    <t>Měi gè zhíyè dōu hěn yǒu jiàzhí.</t>
  </si>
  <si>
    <t>Wǒ huì měitiān nǔlì fèndòu.</t>
  </si>
  <si>
    <t>Chủ đề 46: Giao thông và Sân bay</t>
  </si>
  <si>
    <t>Cháu cần ra sân bay ngay bây giờ.</t>
  </si>
  <si>
    <t>Kailangan ko na pumunta sa airport .</t>
  </si>
  <si>
    <t>Wǒ xiànzài bìxū qù jīchǎng.</t>
  </si>
  <si>
    <t>Hộ chiếu của cháu ở trong túi này.</t>
  </si>
  <si>
    <t>Nasa bag ko ang passport .</t>
  </si>
  <si>
    <t>Cháu đã có vé máy bay rồi ạ.</t>
  </si>
  <si>
    <t>May ticket na ako .</t>
  </si>
  <si>
    <t>Wǒ de hùzhào zài zhège bāo lǐ.</t>
  </si>
  <si>
    <t>Chuyến bay của cháu khởi hành lúc mấy giờ?</t>
  </si>
  <si>
    <t>Anong oras ang flight ko ?</t>
  </si>
  <si>
    <t>Cháu muốn ngồi gần cửa sổ máy bay.</t>
  </si>
  <si>
    <t>Wǒ yǐjīng yǒu jīpiàole.</t>
  </si>
  <si>
    <t>Vali của cháu hơi nặng một chút.</t>
  </si>
  <si>
    <t>Medyo mabigat ang maleta ko .</t>
  </si>
  <si>
    <t>Cháu cần gửi hành lý ạ.</t>
  </si>
  <si>
    <t>Mag-che-check-in ako ng baggage .</t>
  </si>
  <si>
    <t>Wǒ de hángbān jǐ diǎn qǐfēi?</t>
  </si>
  <si>
    <t>Cửa ra máy bay số mấy ạ?</t>
  </si>
  <si>
    <t>Anong gate kami pupunta ?</t>
  </si>
  <si>
    <t>Máy bay sắp cất cánh rồi.</t>
  </si>
  <si>
    <t>Lilipad na ang eroplano .</t>
  </si>
  <si>
    <t>Wǒ xiǎng yào kào chuāng de zuòwèi.</t>
  </si>
  <si>
    <t>Thắt dây an toàn vào nhé cháu.</t>
  </si>
  <si>
    <t>Mag-seatbelt tayo .</t>
  </si>
  <si>
    <t>Cháu muốn uống nước cam trên máy bay.</t>
  </si>
  <si>
    <t>Hihingi ako ng orange juice .</t>
  </si>
  <si>
    <t>Wǒ de xínglǐ xiāng yǒudiǎn zhòng.</t>
  </si>
  <si>
    <t>Máy bay đang hạ cánh xuống Manila.</t>
  </si>
  <si>
    <t>Lalanding na sa Manila .</t>
  </si>
  <si>
    <t>Cháu cần đi lấy hành lý ở băng chuyền.</t>
  </si>
  <si>
    <t>Kukunin ko ang gamit sa carousel .</t>
  </si>
  <si>
    <t>Wǒ xūyào tuōyùn xínglǐ.</t>
  </si>
  <si>
    <t>Gọi cho cháu một chiếc taxi nhé.</t>
  </si>
  <si>
    <t>Paki-tawag ng taxi .</t>
  </si>
  <si>
    <t>Cháu muốn đi bằng xe Jeepney cho vui.</t>
  </si>
  <si>
    <t>Gusto ko sumakay ng Jeepney .</t>
  </si>
  <si>
    <t>Dēng jī kǒuhào shì duōshǎo?</t>
  </si>
  <si>
    <t>Đi đến trung tâm thành phố hết bao nhiêu ạ?</t>
  </si>
  <si>
    <t>Magkano hanggang city center ?</t>
  </si>
  <si>
    <t>Bác lái xe chậm thôi cho an toàn nhé.</t>
  </si>
  <si>
    <t>Dahan-dahan lang sa pagmamaneho .</t>
  </si>
  <si>
    <t>Fēijī jíjiāng qǐfēi.</t>
  </si>
  <si>
    <t>Cháu muốn ngồi xe Tricycle để vào ngõ.</t>
  </si>
  <si>
    <t>Mag-tri-tricycle tayo .</t>
  </si>
  <si>
    <t>Ở đây có hay bị tắc đường không ạ?</t>
  </si>
  <si>
    <t>Qǐng xì hǎo ānquán dài.</t>
  </si>
  <si>
    <t>Cháu đang đợi xe buýt ở trạm.</t>
  </si>
  <si>
    <t>Cháu muốn đi tàu điện trên cao (LRT).</t>
  </si>
  <si>
    <t>Gusto ko sumakay ng LRT .</t>
  </si>
  <si>
    <t>Wǒ xiǎng zài fēijī shàng hē chéngzhī.</t>
  </si>
  <si>
    <t>Mua vé tàu ở đâu ạ?</t>
  </si>
  <si>
    <t>Saan bumibili ng ticket ?</t>
  </si>
  <si>
    <t>Cháu bị say xe, cho cháu ngồi ghế đầu nhé.</t>
  </si>
  <si>
    <t>Nalulula ako , sa harap ako .</t>
  </si>
  <si>
    <t>Fēijī zhèngzài mǎnílā jiàngluò.</t>
  </si>
  <si>
    <t>Đi bộ qua đường phải nhìn đèn tín hiệu.</t>
  </si>
  <si>
    <t>Tingin sa traffic light bago tumawid .</t>
  </si>
  <si>
    <t>Cháu cần tìm trạm xăng gần nhất.</t>
  </si>
  <si>
    <t>Nasaan ang gas station ?</t>
  </si>
  <si>
    <t>Wǒ xūyào qù xínglǐ chuánsòngdài qǔ xínglǐ.</t>
  </si>
  <si>
    <t>Bác cho cháu xuống ở góc phố kia nhé.</t>
  </si>
  <si>
    <t>Para sa kanto .</t>
  </si>
  <si>
    <t>Cháu muốn thuê một chiếc xe đạp.</t>
  </si>
  <si>
    <t>Gusto ko manghiram ng bike .</t>
  </si>
  <si>
    <t>Qǐng bāng wǒ jiào liàng chūzū chē.</t>
  </si>
  <si>
    <t>Đường này dẫn đi đâu thế ạ?</t>
  </si>
  <si>
    <t>Saan papunta ang daan na ito ?</t>
  </si>
  <si>
    <t>Cháu thích đi tàu thủy qua các hòn đảo.</t>
  </si>
  <si>
    <t>Gusto ko sumakay ng barko sa mga isla .</t>
  </si>
  <si>
    <t>Wǒ xiǎng zuò jípǔ ní wán wán.</t>
  </si>
  <si>
    <t>Biển báo này có nghĩa là gì ạ?</t>
  </si>
  <si>
    <t>Ano ibig sabihin ng sign na ito ?</t>
  </si>
  <si>
    <t>Đừng quên mang theo bản đồ du lịch.</t>
  </si>
  <si>
    <t>Dala natin ang mapa .</t>
  </si>
  <si>
    <t>Qù shì zhōngxīn yào duōshǎo qián?</t>
  </si>
  <si>
    <t>Cháu thấy rất nhiều xe máy trên đường.</t>
  </si>
  <si>
    <t>Marami motor sa daan .</t>
  </si>
  <si>
    <t>Cháu muốn đi xem cảng biển.</t>
  </si>
  <si>
    <t>Gusto ko pumunta sa port .</t>
  </si>
  <si>
    <t>Wèile ānquán qǐjiàn, qǐng màn xíng.</t>
  </si>
  <si>
    <t>Chuyến đi này thật là thú vị!</t>
  </si>
  <si>
    <t>Napakasaya ng biyahe !</t>
  </si>
  <si>
    <t>Cháu hơi mệt vì đi đường dài.</t>
  </si>
  <si>
    <t>Pagod ako sa mahabang biyahe .</t>
  </si>
  <si>
    <t>Wǒ xiǎng zuò sānlúnchē qù xiǎo xiàng.</t>
  </si>
  <si>
    <t>Chúng mình sắp đến nơi chưa ạ?</t>
  </si>
  <si>
    <t>Malapit na ba tayo ?</t>
  </si>
  <si>
    <t>Còn 10 cây số nữa là đến nơi.</t>
  </si>
  <si>
    <t>Sampung kilometro na lang .</t>
  </si>
  <si>
    <t>Zhèlǐ jīngcháng dǔchē ma?</t>
  </si>
  <si>
    <t>Cháu thích ngắm cảnh qua cửa sổ xe.</t>
  </si>
  <si>
    <t>Gusto ko tumingin sa labas ng bintana .</t>
  </si>
  <si>
    <t>Cháu sẽ chụp ảnh các loại xe ở đây.</t>
  </si>
  <si>
    <t>Wǒ zài chēzhàn děng gōngjiāo chē.</t>
  </si>
  <si>
    <t>Xe Jeepney trang trí đẹp quá!</t>
  </si>
  <si>
    <t>Ang ganda ng decor ng Jeepney !</t>
  </si>
  <si>
    <t>Cháu muốn mua một chiếc mũ bảo hiểm mới.</t>
  </si>
  <si>
    <t>Gusto ko bumili ng bagong helmet .</t>
  </si>
  <si>
    <t>Wǒ xiǎng chéngzuò qīngguǐ (LRT).</t>
  </si>
  <si>
    <t>Cẩn thận khi đi vào giờ cao điểm nhé.</t>
  </si>
  <si>
    <t>Ingat sa rush hour .</t>
  </si>
  <si>
    <t>Cháu cần hỏi đường về khách sạn.</t>
  </si>
  <si>
    <t>Itatanong ko ang daan pabalik sa hotel .</t>
  </si>
  <si>
    <t xml:space="preserve">Nǎlǐ kěyǐ mǎi dào qīngguǐ piào? </t>
  </si>
  <si>
    <t>Bác chỉ đường cho cháu rất nhiệt tình.</t>
  </si>
  <si>
    <t>Wǒ yùnchē, wǒ kěyǐ zuò qián pái ma?</t>
  </si>
  <si>
    <t>Cháu muốn đi bằng xe ngựa (Calesa).</t>
  </si>
  <si>
    <t>Gusto ko sumakay sa Calesa .</t>
  </si>
  <si>
    <t>Guò mǎlù shí, yīdìng yào kàn jiāotōng xìnhàodēng.</t>
  </si>
  <si>
    <t>Cảm giác thật là cổ kính.</t>
  </si>
  <si>
    <t>Parang nasa lumang panahon .</t>
  </si>
  <si>
    <t>Cháu rất thích hệ thống giao thông ở đây.</t>
  </si>
  <si>
    <t>Nagugustuhan ko ang transportasyon dito .</t>
  </si>
  <si>
    <t>Wǒ xūyào zhǎodào zuìjìn de jiāyóu zhàn.</t>
  </si>
  <si>
    <t>Chúc bác thượng lộ bình an!</t>
  </si>
  <si>
    <t>Ingat sa biyahe !</t>
  </si>
  <si>
    <t>Cháu sẽ kể cho bạn bè về những chuyến đi.</t>
  </si>
  <si>
    <t>Nǐ néng bǎ wǒ sòng dào nàgè lùkǒu ma?</t>
  </si>
  <si>
    <t>Du lịch thật là tuyệt vời!</t>
  </si>
  <si>
    <t>The best ang mag-travel !</t>
  </si>
  <si>
    <t>Wǒ xiǎng zū yī liàng zìxíngchē.</t>
  </si>
  <si>
    <t>Zhè tiáo lù tōng wǎng nǎlǐ?</t>
  </si>
  <si>
    <t>Wǒ xǐhuān zuò dùlún qù dǎo shàng.</t>
  </si>
  <si>
    <t>Zhège biāozhì shì shénme yìsi?</t>
  </si>
  <si>
    <t>Bié wàngle dài lǚyóu dìtú.</t>
  </si>
  <si>
    <t>Wǒ kàn dào lùshàng yǒu hěnduō mótuō chē.</t>
  </si>
  <si>
    <t>Wǒ xiǎng qù kàn kàn hǎigǎng.</t>
  </si>
  <si>
    <t>Zhè cì lǚxíng zhēn yǒuqù!</t>
  </si>
  <si>
    <t>Chángtú lǚxíng ràng wǒ yǒudiǎn lèile.</t>
  </si>
  <si>
    <t>Wǒmen kuài dàole ma?</t>
  </si>
  <si>
    <t>Hái yǒu 10 gōnglǐ.</t>
  </si>
  <si>
    <t>Wǒ xǐhuān tòuguò chē chuāng xīnshǎng fēngjǐng.</t>
  </si>
  <si>
    <t>Wǒ yào pāi yīxiē zhèlǐ de chēliàng zhàopiàn.</t>
  </si>
  <si>
    <t>Jípǔ ní zhuāngshì dé zhēn piàoliang!</t>
  </si>
  <si>
    <t>Wǒ xiǎng mǎi gè xīn tóukuī.</t>
  </si>
  <si>
    <t>Gāofēng shíduàn yào xiǎoxīn.</t>
  </si>
  <si>
    <t>Wǒ xūyào wèn lù qù jiǔdiàn.</t>
  </si>
  <si>
    <t>Nǐ zhēnshi bāngle wǒ dàmáng, gěi wǒ zhǐ lù.</t>
  </si>
  <si>
    <t>Wǒ xiǎng zuò mǎchē (Calesa) lǚxíng.</t>
  </si>
  <si>
    <t>Gǎnjué hǎo gǔlǎo a.</t>
  </si>
  <si>
    <t>Wǒ zhēn de hěn xǐhuān zhèlǐ de jiāotōng xìtǒng.</t>
  </si>
  <si>
    <t>Zhù nǐ lǚtú píng'ān!</t>
  </si>
  <si>
    <t>Wǒ huì bǎ wǒ de lǚxíng jīnglì gàosù péngyǒumen.</t>
  </si>
  <si>
    <t>Lǚxíng zhēn bàng!</t>
  </si>
  <si>
    <t>Chủ đề 47: Cảm xúc và Tâm trạng</t>
  </si>
  <si>
    <t>Hôm nay cháu thấy rất vui!</t>
  </si>
  <si>
    <t>Masaya ako ngayon !</t>
  </si>
  <si>
    <t>Wǒ jīntiān hǎo kāixīn!</t>
  </si>
  <si>
    <t>Cháu đang cảm thấy rất hạnh phúc.</t>
  </si>
  <si>
    <t>Napakasaya ko .</t>
  </si>
  <si>
    <t>Tại sao bạn lại buồn thế?</t>
  </si>
  <si>
    <t>Bakit ka malungkot ?</t>
  </si>
  <si>
    <t>Wǒ gǎnjué fēicháng kāixīn.</t>
  </si>
  <si>
    <t>Cháu hơi buồn một chút.</t>
  </si>
  <si>
    <t>Medyo malungkot ako .</t>
  </si>
  <si>
    <t>Cháu đang rất giận đấy!</t>
  </si>
  <si>
    <t>Galit ako !</t>
  </si>
  <si>
    <t>Nǐ wèishéme nánguò?</t>
  </si>
  <si>
    <t>Đừng giận cháu nhé.</t>
  </si>
  <si>
    <t>Huwag kayong magagalit sa akin .</t>
  </si>
  <si>
    <t>Cháu thấy rất ngạc nhiên!</t>
  </si>
  <si>
    <t>Tin tốt này làm cháu bất ngờ quá.</t>
  </si>
  <si>
    <t>Surpresa ito para sa akin .</t>
  </si>
  <si>
    <t>Cháu thấy hơi lo lắng.</t>
  </si>
  <si>
    <t>Medyo kinakabahan ako .</t>
  </si>
  <si>
    <t>Wǒ hěn shēngqì!</t>
  </si>
  <si>
    <t>Đừng lo, mọi chuyện sẽ ổn thôi.</t>
  </si>
  <si>
    <t>Huwag kang mag-alala , magiging okay din .</t>
  </si>
  <si>
    <t>Cháu thấy rất tự hào về bản thân.</t>
  </si>
  <si>
    <t>Proud ako sa sarili ko .</t>
  </si>
  <si>
    <t>Qǐng bùyào shēng wǒ de qì.</t>
  </si>
  <si>
    <t>Bác làm cháu thấy rất hãnh diện.</t>
  </si>
  <si>
    <t>Ipinagmamalaki ko kayo .</t>
  </si>
  <si>
    <t>Cháu thấy hơi ngại ngùng.</t>
  </si>
  <si>
    <t>Nahihiya ako .</t>
  </si>
  <si>
    <t>Wǒ hěn jīngyà!</t>
  </si>
  <si>
    <t>Cháu thấy rất hào hứng với chuyến đi!</t>
  </si>
  <si>
    <t>Excited ako sa biyahe !</t>
  </si>
  <si>
    <t>Cháu thấy hơi sợ hãi bóng tối.</t>
  </si>
  <si>
    <t>Takot ako sa dilim .</t>
  </si>
  <si>
    <t>Zhège hǎo xiāoxī ràng wǒ fēicháng jīngxǐ.</t>
  </si>
  <si>
    <t>Cháu thấy rất cô đơn.</t>
  </si>
  <si>
    <t>Nangungulila ako .</t>
  </si>
  <si>
    <t>Cháu nhớ bố mẹ quá.</t>
  </si>
  <si>
    <t>Miss ko na ang parents ko .</t>
  </si>
  <si>
    <t>Cháu thấy rất biết ơn bác.</t>
  </si>
  <si>
    <t>Nagpapasalamat ako sa inyo .</t>
  </si>
  <si>
    <t>Cháu cảm thấy rất mệt mỏi.</t>
  </si>
  <si>
    <t>Pagod na pagod ako .</t>
  </si>
  <si>
    <t>Bié dānxīn, yīqiè dūhuì hǎo qǐlái de.</t>
  </si>
  <si>
    <t>Cháu thấy rất buồn ngủ.</t>
  </si>
  <si>
    <t>Inaantok ako .</t>
  </si>
  <si>
    <t>Cháu đang thấy chán quá.</t>
  </si>
  <si>
    <t>Nababagot ako .</t>
  </si>
  <si>
    <t>Wǒ wèi zìjǐ gǎndào fēicháng jiāo'ào.</t>
  </si>
  <si>
    <t>Cháu thấy rất bối rối, không biết làm sao.</t>
  </si>
  <si>
    <t>Nalilito ako .</t>
  </si>
  <si>
    <t>Cháu thấy rất bình yên ở đây.</t>
  </si>
  <si>
    <t>Payapa ang pakiramdam ko rito .</t>
  </si>
  <si>
    <t>Nǐ ràng wǒ gǎndào fēicháng jiāo'ào.</t>
  </si>
  <si>
    <t>Cháu thấy rất tự tin!</t>
  </si>
  <si>
    <t>May tiwala ako sa sarili ko !</t>
  </si>
  <si>
    <t>Cháu thấy hơi thất vọng một chút.</t>
  </si>
  <si>
    <t>Medyo disappointed ako .</t>
  </si>
  <si>
    <t>Wǒ yǒudiǎn hàixiū.</t>
  </si>
  <si>
    <t>Hãy luôn giữ nụ cười trên môi nhé.</t>
  </si>
  <si>
    <t>Lagi tayong ngumiti .</t>
  </si>
  <si>
    <t>Cháu thích sự hài hước của bác.</t>
  </si>
  <si>
    <t>Gusto ko ang joke niyo .</t>
  </si>
  <si>
    <t>Wǒ duì zhè cì lǚxíng gǎndào fēicháng xīngfèn!</t>
  </si>
  <si>
    <t>Cháu thấy rất ấm áp khi ở bên gia đình.</t>
  </si>
  <si>
    <t>Mainit sa pakiramdam kasama ang pamilya .</t>
  </si>
  <si>
    <t>Cháu thấy rất hối hận vì lỗi sai của mình.</t>
  </si>
  <si>
    <t>Nagsisisi ako sa mali ko .</t>
  </si>
  <si>
    <t>Wǒ yǒudiǎn pà hēi.</t>
  </si>
  <si>
    <t>Cháu muốn xin lỗi bác.</t>
  </si>
  <si>
    <t>Patawad .</t>
  </si>
  <si>
    <t>Cháu thấy rất thoải mái.</t>
  </si>
  <si>
    <t>Komportable ako .</t>
  </si>
  <si>
    <t>Wǒ gǎnjué hěn gūdú.</t>
  </si>
  <si>
    <t>Cháu thấy hơi khó chịu vì tiếng ồn.</t>
  </si>
  <si>
    <t>Naiirita ako sa ingay .</t>
  </si>
  <si>
    <t>Cháu thấy rất ngưỡng mộ bạn.</t>
  </si>
  <si>
    <t>Bilib ako sa inyo .</t>
  </si>
  <si>
    <t>Wǒ fēicháng xiǎngniàn wǒ de fùmǔ.</t>
  </si>
  <si>
    <t>Cháu thấy rất may mắn.</t>
  </si>
  <si>
    <t>Napakasuwerte ko .</t>
  </si>
  <si>
    <t>Cháu thấy trái tim mình tràn đầy tình yêu.</t>
  </si>
  <si>
    <t>Puno ng pagmamahal ang puso ko .</t>
  </si>
  <si>
    <t>Wǒ fēicháng gǎnxiè nǐ.</t>
  </si>
  <si>
    <t>Cháu thấy rất kiên định với mục tiêu.</t>
  </si>
  <si>
    <t>Desidido ako .</t>
  </si>
  <si>
    <t>Cháu thấy rất vui sướng khi được nhận quà.</t>
  </si>
  <si>
    <t>Tuwang-tuwa ako sa regalo .</t>
  </si>
  <si>
    <t>Wǒ gǎnjué hěn lèi.</t>
  </si>
  <si>
    <t>Cháu thấy hơi lúng túng.</t>
  </si>
  <si>
    <t>Nailang ako .</t>
  </si>
  <si>
    <t>Cháu thấy rất tràn đầy năng lượng!</t>
  </si>
  <si>
    <t>Ang sigla-sigla ko !</t>
  </si>
  <si>
    <t>Wǒ gǎnjué hěn kùn.</t>
  </si>
  <si>
    <t>Cháu thấy rất cảm động.</t>
  </si>
  <si>
    <t>Nantouch ako .</t>
  </si>
  <si>
    <t>Cháu thấy hơi ghen tị một chút.</t>
  </si>
  <si>
    <t>Medyo naiinggit ako .</t>
  </si>
  <si>
    <t>Wǒ hǎo wúliáo.</t>
  </si>
  <si>
    <t>Đừng ích kỷ nhé, hãy chia sẻ cùng nhau.</t>
  </si>
  <si>
    <t>Huwag tayong madamot , mag-share tayo .</t>
  </si>
  <si>
    <t>Cháu thấy rất an tâm khi có bác ở đây.</t>
  </si>
  <si>
    <t>Panatag ang loob ko kapag nandiyan kayo .</t>
  </si>
  <si>
    <t>Wǒ gǎnjué hěn kùnhuò, bù zhīdào gāi zěnme bàn.</t>
  </si>
  <si>
    <t>Cháu thấy rất phấn khích vì được đi chơi.</t>
  </si>
  <si>
    <t>Tuwang-tuwa akong mamasyal .</t>
  </si>
  <si>
    <t>Cháu thấy hơi đau lòng.</t>
  </si>
  <si>
    <t>Masakit sa damdamin .</t>
  </si>
  <si>
    <t>Wǒ zài zhèlǐ gǎnjué hěn píngjìng.</t>
  </si>
  <si>
    <t>Hãy luôn suy nghĩ tích cực nhé.</t>
  </si>
  <si>
    <t>Maging positibo tayo lagi .</t>
  </si>
  <si>
    <t>Cháu thấy rất yêu đời!</t>
  </si>
  <si>
    <t>Mahal ko ang buhay !</t>
  </si>
  <si>
    <t>Wǒ gǎnjué hěn zìxìn!</t>
  </si>
  <si>
    <t>Cảm xúc của cháu rất quan trọng.</t>
  </si>
  <si>
    <t>Mahalaga ang nararamdaman ko .</t>
  </si>
  <si>
    <t>Cháu sẽ học cách kiểm soát cảm xúc.</t>
  </si>
  <si>
    <t>Mag-aaral akong mag-control ng emosyon .</t>
  </si>
  <si>
    <t>Wǒ gǎnjué yǒudiǎn shīwàng.</t>
  </si>
  <si>
    <t>Cháu cảm thấy thật tuyệt vời!</t>
  </si>
  <si>
    <t>Ang ganda ng pakiramdam ko !</t>
  </si>
  <si>
    <t>Yǒngyuǎn bǎochí wéixiào.</t>
  </si>
  <si>
    <t>Wǒ xǐhuān nǐ de yōumò gǎn.</t>
  </si>
  <si>
    <t>Hé jiārén zài yīqǐ, wǒ gǎndào hěn wēnnuǎn.</t>
  </si>
  <si>
    <t>Wǒ wèi zìjǐ de guòcuò gǎndào fēicháng hòuhuǐ.</t>
  </si>
  <si>
    <t>Wǒ xiǎng xiàng nǐ dàoqiàn.</t>
  </si>
  <si>
    <t>Wǒ gǎnjué hěn shūfú.</t>
  </si>
  <si>
    <t>Zàoyīn ràng wǒ yǒudiǎn fánzào.</t>
  </si>
  <si>
    <t>Wǒ fēicháng jìngpèi nǐ.</t>
  </si>
  <si>
    <t>Wǒ gǎnjué zìjǐ hěn xìngyùn.</t>
  </si>
  <si>
    <t>Wǒ de xīnzhōng chōngmǎnle ài.</t>
  </si>
  <si>
    <t>Wǒ juéxīn yào shíxiàn wǒ de mùbiāo.</t>
  </si>
  <si>
    <t>Shōu dào lǐwù ràng wǒ fēicháng kāixīn.</t>
  </si>
  <si>
    <t>Wǒ gǎnjué yǒudiǎn gāngà.</t>
  </si>
  <si>
    <t>Wǒ gǎnjué jīnglì chōngpèi!</t>
  </si>
  <si>
    <t>Wǒ fēicháng gǎndòng.</t>
  </si>
  <si>
    <t>Wǒ yǒudiǎn jídù.</t>
  </si>
  <si>
    <t>Bùyào zìsī, yào hùxiāng fēnxiǎng.</t>
  </si>
  <si>
    <t>Yǒu nǐ zài, wǒ gǎnjué hěn ānquán.</t>
  </si>
  <si>
    <t>Wǒ hěn qídài chūmén.</t>
  </si>
  <si>
    <t>Wǒ yǒudiǎn xīn suì.</t>
  </si>
  <si>
    <t>Yǒngyuǎn bǎochí jījí de xīntài.</t>
  </si>
  <si>
    <t>Wǒ gǎnjué hěn kāixīn!</t>
  </si>
  <si>
    <t>Wǒ de gǎnshòu hěn zhòngyào.</t>
  </si>
  <si>
    <t>Wǒ huì xuéhuì kòngzhì zìjǐ de qíngxù.</t>
  </si>
  <si>
    <t>Wǒ gǎnjué bàng jíle!</t>
  </si>
  <si>
    <t>Chủ đề 48: Môi trường và Thiên nhiên</t>
  </si>
  <si>
    <t>Thiên nhiên quanh ta thật tươi đẹp.</t>
  </si>
  <si>
    <t>Napakaganda ng kalikasan .</t>
  </si>
  <si>
    <t>Wǒmen zhōuwéi de zìrán zhēnměi.</t>
  </si>
  <si>
    <t>Cháu thích hít thở không khí trong lành.</t>
  </si>
  <si>
    <t>Gusto ko makalanghap ng sariwang hangin .</t>
  </si>
  <si>
    <t>Hãy trồng thêm thật nhiều cây xanh nhé.</t>
  </si>
  <si>
    <t>Magtanim tayo ng maraming puno .</t>
  </si>
  <si>
    <t>Wǒ xǐhuān hūxī xīnxiān kōngqì.</t>
  </si>
  <si>
    <t>Cây xanh giúp chúng ta có oxy để thở.</t>
  </si>
  <si>
    <t>Nagbibigay ng oxygen ang mga puno .</t>
  </si>
  <si>
    <t>Cháu thích đi dạo trong rừng.</t>
  </si>
  <si>
    <t>Gusto ko maglakad sa gubat .</t>
  </si>
  <si>
    <t>Ràng wǒmen duō zhǒng shù ba!</t>
  </si>
  <si>
    <t>Đừng chặt phá rừng bừa bãi.</t>
  </si>
  <si>
    <t>Huwag magputol ng mga puno .</t>
  </si>
  <si>
    <t>Hãy bảo vệ các loài động vật hoang dã.</t>
  </si>
  <si>
    <t>Protektahan natin ang mga wildlife .</t>
  </si>
  <si>
    <t>Shùmù wéi wǒmen tígōng hūxī suǒ xū de yǎngqì.</t>
  </si>
  <si>
    <t>Cháu thích nhìn những cánh đồng xanh mướt.</t>
  </si>
  <si>
    <t>Gusto ko ang berdeng bukirin .</t>
  </si>
  <si>
    <t>Hãy giữ gìn nguồn nước sạch.</t>
  </si>
  <si>
    <t>Pangalagaan natin ang malinis na tubig .</t>
  </si>
  <si>
    <t>Wǒ xǐhuān zài sēnlín lǐ sànbù.</t>
  </si>
  <si>
    <t>Đừng vứt rác xuống sông hồ.</t>
  </si>
  <si>
    <t>Huwag magtapon ng basura sa ilog .</t>
  </si>
  <si>
    <t>Cháu đang đi nhặt rác ở công viên.</t>
  </si>
  <si>
    <t>Nagpupulot ako ng basura sa park .</t>
  </si>
  <si>
    <t>Bùyào suíyì kǎnfá sēnlín.</t>
  </si>
  <si>
    <t>Hãy phân loại rác thải tại nhà.</t>
  </si>
  <si>
    <t>Mag-segregate tayo ng basura .</t>
  </si>
  <si>
    <t>Ràng wǒmen bǎohù yěshēng dòngwù.</t>
  </si>
  <si>
    <t>Tiết kiệm điện là bảo vệ môi trường.</t>
  </si>
  <si>
    <t>Ang pagtitipid ng kuryente ay pagtulong sa kalikasan .</t>
  </si>
  <si>
    <t>Hãy tắt đèn khi không sử dụng nhé.</t>
  </si>
  <si>
    <t>Wǒ xǐhuān xīnshǎng yùyùcōngcōng de tiányě.</t>
  </si>
  <si>
    <t>Khói bụi làm không khí bị ô nhiễm.</t>
  </si>
  <si>
    <t>Nakakadumi ng hangin ang usok .</t>
  </si>
  <si>
    <t>Cháu thích sử dụng năng lượng mặt trời.</t>
  </si>
  <si>
    <t>Gusto ko ng solar energy .</t>
  </si>
  <si>
    <t>Ràng wǒmen bǎohù qīngjié de shuǐyuán.</t>
  </si>
  <si>
    <t>Biến đổi khí hậu thật đáng lo ngại.</t>
  </si>
  <si>
    <t>Nakakaalarma ang climate change .</t>
  </si>
  <si>
    <t>Trái đất đang nóng dần lên.</t>
  </si>
  <si>
    <t>Umiinit na ang mundo .</t>
  </si>
  <si>
    <t>Bùyào bǎ lèsè rēng jìn héliú hé húbó.</t>
  </si>
  <si>
    <t>Hãy cùng nhau giải cứu Trái đất!</t>
  </si>
  <si>
    <t>Iligtas natin ang mundo !</t>
  </si>
  <si>
    <t>Cháu thích ngắm nhìn những ngọn núi hùng vĩ.</t>
  </si>
  <si>
    <t>Gusto ko tignan ang matatayog na bundok .</t>
  </si>
  <si>
    <t>Wǒ zài gōngyuán lǐ jiǎn lèsè.</t>
  </si>
  <si>
    <t>Thác nước chảy nhìn thật mát mắt.</t>
  </si>
  <si>
    <t>Ang ganda ng talon (waterfall).</t>
  </si>
  <si>
    <t>Hãy bảo vệ các rặng san hô dưới biển.</t>
  </si>
  <si>
    <t>Pangalagaan natin ang mga coral reef .</t>
  </si>
  <si>
    <t>Ràng wǒmen zàijiā jìnxíng lèsè fēnlèi.</t>
  </si>
  <si>
    <t>Cháu không bao giờ ngắt hoa trong vườn.</t>
  </si>
  <si>
    <t>Hindi ako pumipitas ng bulaklak sa garden .</t>
  </si>
  <si>
    <t>Hãy để hoa khoe sắc trên cành.</t>
  </si>
  <si>
    <t>Hayaan nating mamukadkad ang mga bulaklak .</t>
  </si>
  <si>
    <t>Cháu thích nghe tiếng chim hót líu lo.</t>
  </si>
  <si>
    <t>Gusto ko marinig ang kanta ng mga ibon .</t>
  </si>
  <si>
    <t>Đất đai ở đây rất màu mỡ.</t>
  </si>
  <si>
    <t>Mataba ang lupa rito .</t>
  </si>
  <si>
    <t>Jiéyuē yòng diàn jiùshì bǎohù huánjìng.</t>
  </si>
  <si>
    <t>Hãy hạn chế sử dụng đồ nhựa một lần.</t>
  </si>
  <si>
    <t>Iwasan ang paggamit ng single-use plastic .</t>
  </si>
  <si>
    <t>Cháu thích tái chế các chai nhựa cũ.</t>
  </si>
  <si>
    <t>Gusto ko mag-recycle ng mga bote .</t>
  </si>
  <si>
    <t>Bùyòng dēng de shíhòu qǐng suíshǒu guān dēng.</t>
  </si>
  <si>
    <t>Cháu dùng chai nhựa làm chậu trồng cây.</t>
  </si>
  <si>
    <t>Ginagawa kong paso ang mga plastic bottle .</t>
  </si>
  <si>
    <t>Môi trường sạch thì chúng ta mới khỏe.</t>
  </si>
  <si>
    <t>Kapag malinis ang paligid , healthy tayo .</t>
  </si>
  <si>
    <t>Yānwù hé huīchén huì wūrǎn kōngqì.</t>
  </si>
  <si>
    <t>Hãy cùng nhau tham gia Ngày Trái Đất.</t>
  </si>
  <si>
    <t>Sumali tayo sa Earth Day .</t>
  </si>
  <si>
    <t>Cháu yêu những bãi cỏ xanh mướt.</t>
  </si>
  <si>
    <t>Mahal ko ang mga berdeng damuhan .</t>
  </si>
  <si>
    <t>Wǒ xǐhuān shǐyòng tàiyángnéng.</t>
  </si>
  <si>
    <t>Ánh nắng mặt trời rất tốt cho sức khỏe.</t>
  </si>
  <si>
    <t>Mabuti ang sikat ng araw .</t>
  </si>
  <si>
    <t>Cháu thích ngắm sao vào đêm thanh vắng.</t>
  </si>
  <si>
    <t>Gusto ko tumingin sa mga bituin tuwing gabi .</t>
  </si>
  <si>
    <t>Qìhòu biànhuà zhēn lìng rén dānyōu.</t>
  </si>
  <si>
    <t>Đừng lãng phí giấy nhé cháu.</t>
  </si>
  <si>
    <t>Huwag mag-aksaya ng papel .</t>
  </si>
  <si>
    <t>Giấy được làm từ gỗ của cây đấy.</t>
  </si>
  <si>
    <t>Galing sa puno ang papel .</t>
  </si>
  <si>
    <t>Dìqiú zhèngzài biàn nuǎn.</t>
  </si>
  <si>
    <t>Hãy sử dụng cả hai mặt của tờ giấy.</t>
  </si>
  <si>
    <t>Gamitin ang dalawang panig ng papel .</t>
  </si>
  <si>
    <t>Cháu muốn tham gia câu lạc bộ môi trường.</t>
  </si>
  <si>
    <t>Gusto ko sumali sa environment club .</t>
  </si>
  <si>
    <t>Ràng wǒmen yīqǐ zhěngjiù dìqiú!</t>
  </si>
  <si>
    <t>Cháu sẽ tuyên truyền cho các bạn về môi trường.</t>
  </si>
  <si>
    <t>Magtuturo ako sa mga kaibigan ko tungkol sa kalikasan .</t>
  </si>
  <si>
    <t>Chúng ta là một phần của thiên nhiên.</t>
  </si>
  <si>
    <t>Bahagi tayo ng kalikasan .</t>
  </si>
  <si>
    <t>Wǒ xǐhuān xīnshǎng xióngwěi de shānmài.</t>
  </si>
  <si>
    <t>Hãy sống hài hòa với thiên nhiên.</t>
  </si>
  <si>
    <t>Mamuhay tayo nang may pagkakaisa sa kalikasan .</t>
  </si>
  <si>
    <t>Cháu thích hái quả chín trên cây.</t>
  </si>
  <si>
    <t>Gusto ko mamitas ng hinog na bunga .</t>
  </si>
  <si>
    <t>Pùbù de jǐngsè lìng rén xīnkuàngshényí.</t>
  </si>
  <si>
    <t>Mùa xuân cây cối đâm chồi nảy lộc.</t>
  </si>
  <si>
    <t>Tumutubo ang mga dahon tuwing spring .</t>
  </si>
  <si>
    <t>Mùa thu lá vàng rơi thật đẹp.</t>
  </si>
  <si>
    <t>Ang ganda ng mga tuyong dahon tuwing autumn .</t>
  </si>
  <si>
    <t>Ràng wǒmen bǎohù hǎiyáng zhōng de shānhújiāo.</t>
  </si>
  <si>
    <t>Hãy trân trọng từng hạt mưa.</t>
  </si>
  <si>
    <t>Pahalagahan natin ang bawat patak ng ulan .</t>
  </si>
  <si>
    <t>Nước là nguồn sống của muôn loài.</t>
  </si>
  <si>
    <t>Ang tubig ay buhay .</t>
  </si>
  <si>
    <t>Wǒ cóng bùzài huāyuán lǐ zhāihuā.</t>
  </si>
  <si>
    <t>Cháu sẽ luôn bảo vệ môi trường.</t>
  </si>
  <si>
    <t>Lagi ko poprotektahan ang paligid .</t>
  </si>
  <si>
    <t>Cháu muốn thấy một thế giới xanh và sạch.</t>
  </si>
  <si>
    <t>Gusto ko makakita ng malinis at berdeng mundo .</t>
  </si>
  <si>
    <t>Ràng huāduǒ zài zhī tóu zhànfàng ba.</t>
  </si>
  <si>
    <t>Cảm ơn thiên nhiên đã ban tặng sự sống!</t>
  </si>
  <si>
    <t>Salamat sa kalikasan sa biyayang buhay !</t>
  </si>
  <si>
    <t>Wǒ xǐhuān tīng niǎo er míngjiào.</t>
  </si>
  <si>
    <t>Zhèlǐ de tǔdì fēicháng féiwò.</t>
  </si>
  <si>
    <t>Ràng wǒmen jiǎnshǎo yīcì xìng sùliào de shǐyòng.</t>
  </si>
  <si>
    <t>Wǒ xǐhuān huíshōu jiù sùliào píng.</t>
  </si>
  <si>
    <t>Wǒ yòng sùliào píng zuò huā pén.</t>
  </si>
  <si>
    <t>Qīngjié de huánjìng yìwèizhe wǒmen jiànkāng.</t>
  </si>
  <si>
    <t>Ràng wǒmen yīqǐ cānyù dìqiú rì ba.</t>
  </si>
  <si>
    <t>Wǒ xǐhuān yùyùcōngcōng de cǎopíng.</t>
  </si>
  <si>
    <t>Yángguāng duì jiànkāng fēicháng yǒuyì.</t>
  </si>
  <si>
    <t>Wǒ xǐhuān zài níngjìng de yèwǎn guān xīng.</t>
  </si>
  <si>
    <t>Háizǐ, bùyào làngfèi zhǐzhāng.</t>
  </si>
  <si>
    <t>Zhǐzhāng shì yòng shùmù zhì chéng de.</t>
  </si>
  <si>
    <t>Zhǐzhāng yào shuāng miàn shǐyòng.</t>
  </si>
  <si>
    <t>Wǒ xiǎng jiārù huánbǎo jùlèbù.</t>
  </si>
  <si>
    <t>Wǒ huì xiàng wǒ de péngyǒumen xuānchuán huánbǎo yìshí.</t>
  </si>
  <si>
    <t>Wǒmen shì dà zìrán de yībùfèn.</t>
  </si>
  <si>
    <t>Ràng wǒmen yǔ zìrán héxié gòngchǔ.</t>
  </si>
  <si>
    <t>Wǒ xǐhuān cóng shù shàng zhāi chéngshú de guǒshí.</t>
  </si>
  <si>
    <t>Chūntiān, shùmù zhǎng chū xīn yè.</t>
  </si>
  <si>
    <t>Qiūtiān, jīnsè de shùyè piāoluò, měibùshèngshōu.</t>
  </si>
  <si>
    <t>Ràng wǒmen zhēnxī měi yīdī yǔshuǐ.</t>
  </si>
  <si>
    <t>Shuǐ shì suǒyǒu shēngwù de shēngmìng zhī yuán.</t>
  </si>
  <si>
    <t>Wǒ jiāng yǒngyuǎn bǎohù huánjìng.</t>
  </si>
  <si>
    <t>Wǒ kěwàng kàn dào yīgè lǜsè jiéjìng de shìjiè.</t>
  </si>
  <si>
    <t>Gǎnxiè dà zìrán cìyǔ wǒmen shēngmìng!</t>
  </si>
  <si>
    <t>Chủ đề 49: Khoa học và Khám phá</t>
  </si>
  <si>
    <t>Cháu rất thích môn khoa học.</t>
  </si>
  <si>
    <t>Gusto ko ng science .</t>
  </si>
  <si>
    <t>Wǒ zhēn de hěn xǐhuān kēxué.</t>
  </si>
  <si>
    <t>Khoa học giúp chúng ta hiểu về thế giới.</t>
  </si>
  <si>
    <t>Tinutulungan tayo ng science na intindihin ang mundo .</t>
  </si>
  <si>
    <t>Tại sao quả táo lại rơi xuống đất ạ?</t>
  </si>
  <si>
    <t>Bakit nahuhulog ang mansanas sa lupa ?</t>
  </si>
  <si>
    <t>Kēxué bāngzhù wǒmen liǎojiě shìjiè.</t>
  </si>
  <si>
    <t>Đó là nhờ lực hấp dẫn của Trái Đất.</t>
  </si>
  <si>
    <t>Dahil iyon sa gravity .</t>
  </si>
  <si>
    <t>Cháu muốn làm một thí nghiệm nhỏ.</t>
  </si>
  <si>
    <t>Gusto ko gumawa ng experiment .</t>
  </si>
  <si>
    <t>Wèishéme píngguǒ huì diào dào dìshàng?</t>
  </si>
  <si>
    <t>Cháu cần một cái ống nghiệm.</t>
  </si>
  <si>
    <t>Kailangan ko ng test tube .</t>
  </si>
  <si>
    <t>Cháu đang quan sát qua kính hiển vi.</t>
  </si>
  <si>
    <t>Tumitingin ako sa microscope .</t>
  </si>
  <si>
    <t>Zhè shì yīnwèi dìqiú yǐnlì de zuòyòng.</t>
  </si>
  <si>
    <t>Những con vi khuẩn nhỏ xíu xiu.</t>
  </si>
  <si>
    <t>Napakaliliit ng mga bacteria .</t>
  </si>
  <si>
    <t>Cháu muốn biết cách nam cham hoạt động.</t>
  </si>
  <si>
    <t>Gusto ko malaman kung paano gumagana ang magnet .</t>
  </si>
  <si>
    <t>Wǒ xiǎng zuò yīgè xiǎo shíyàn.</t>
  </si>
  <si>
    <t>Hai cực cùng tên thì đẩy nhau.</t>
  </si>
  <si>
    <t>Naglalayo ang parehong poles .</t>
  </si>
  <si>
    <t>Hai cực khác tên thì hút nhau.</t>
  </si>
  <si>
    <t>Naghahatak-loob ang magkaibang poles .</t>
  </si>
  <si>
    <t>Wǒ xūyào yīgè shìguǎn.</t>
  </si>
  <si>
    <t>Cháu đang nghiên cứu về các loài thực vật.</t>
  </si>
  <si>
    <t>Nag-aaral ako tungkol sa mga halaman .</t>
  </si>
  <si>
    <t>Cây cần ánh sáng mặt trời để quang hợp.</t>
  </si>
  <si>
    <t>Kailangan ng halaman ng araw para sa photosynthesis .</t>
  </si>
  <si>
    <t>Wǒ zhèngzài yòng xiǎnwéijìng guānchá.</t>
  </si>
  <si>
    <t>Nước sôi ở 100 độ C ạ.</t>
  </si>
  <si>
    <t>Kumukulo ang tubig sa 100 degrees Celsius .</t>
  </si>
  <si>
    <t>Cháu muốn làm núi lửa bằng baking soda.</t>
  </si>
  <si>
    <t>Gagawa ako ng volcano gamit ang baking soda .</t>
  </si>
  <si>
    <t>Wéixiǎo de xìjùn.</t>
  </si>
  <si>
    <t>Nhìn kìa, "dung nham" đang trào ra!</t>
  </si>
  <si>
    <t>Tingnan niyo , lumalabas ang lava !</t>
  </si>
  <si>
    <t>Ánh sáng đi nhanh hơn âm thanh.</t>
  </si>
  <si>
    <t>Mas mabilis ang liwanag kaysa sa tunog .</t>
  </si>
  <si>
    <t>Wǒ xiǎng zhīdào cítiě shì rúhé gōngzuò de.</t>
  </si>
  <si>
    <t>Đó là lý do ta thấy chớp trước khi nghe sấm.</t>
  </si>
  <si>
    <t>Kaya nauuna ang kidlat kaysa sa kulog .</t>
  </si>
  <si>
    <t>Cháu muốn tìm hiểu về hệ xương người.</t>
  </si>
  <si>
    <t>Gusto ko mag-aral tungkol sa bones natin .</t>
  </si>
  <si>
    <t>Tóng jí xiāng chì.</t>
  </si>
  <si>
    <t>Cơ thể chúng ta có bao nhiêu cái xương ạ?</t>
  </si>
  <si>
    <t>Ilang buto ang mayroon tayo ?</t>
  </si>
  <si>
    <t>Trái tim giống như một chiếc máy bơm.</t>
  </si>
  <si>
    <t>Ang puso ay parang pump .</t>
  </si>
  <si>
    <t>Yì jí xiāng xī.</t>
  </si>
  <si>
    <t>Nó bơm máu đi khắp cơ thể.</t>
  </si>
  <si>
    <t>Nagpapadala ito ng dugo sa buong katawan .</t>
  </si>
  <si>
    <t>Cháu muốn chế tạo một con robot.</t>
  </si>
  <si>
    <t>Gusto ko gumawa ng robot .</t>
  </si>
  <si>
    <t>Wǒ zhèngzài yánjiū zhíwù.</t>
  </si>
  <si>
    <t>Robot sẽ giúp cháu làm việc nhà.</t>
  </si>
  <si>
    <t>Cháu thích học về các nguyên tố hóa học.</t>
  </si>
  <si>
    <t>Gusto ko mag-aral ng chemistry .</t>
  </si>
  <si>
    <t>Zhíwù xūyào yángguāng jìnxíng guānghé zuòyòng.</t>
  </si>
  <si>
    <t>Oxy cần thiết cho sự cháy.</t>
  </si>
  <si>
    <t>Kailangan ng oxygen para sa apoy .</t>
  </si>
  <si>
    <t>Đừng nghịch lửa nhé, nguy hiểm lắm.</t>
  </si>
  <si>
    <t>Huwag maglaro ng apoy , delikado .</t>
  </si>
  <si>
    <t>Shuǐ zài 100 shèshìdù fèiténg.</t>
  </si>
  <si>
    <t>Cháu muốn khám phá vùng đất mới.</t>
  </si>
  <si>
    <t>Gusto ko mag-explore ng mga bagong lugar .</t>
  </si>
  <si>
    <t>Cháu sẽ dùng la bàn để tìm đường.</t>
  </si>
  <si>
    <t>Gagamit ako ng compass para hindi maligaw .</t>
  </si>
  <si>
    <t>Wǒ xiǎng yòng xiǎo sūdǎ zuò yīgè huǒshān móxíng.</t>
  </si>
  <si>
    <t>Kim la bàn luôn chỉ về hướng Bắc.</t>
  </si>
  <si>
    <t>Laging nakaturo sa North ang compass .</t>
  </si>
  <si>
    <t>Cháu muốn biết tại sao biển lại mặn.</t>
  </si>
  <si>
    <t>Bakit maalat ang dagat ?</t>
  </si>
  <si>
    <t>Kàn,“róngyán” pēnfāle!</t>
  </si>
  <si>
    <t>Vì trong nước biển có nhiều muối ạ.</t>
  </si>
  <si>
    <t>Kasi maraming asin sa dagat .</t>
  </si>
  <si>
    <t>Cháu đang làm một cái kính vạn hoa.</t>
  </si>
  <si>
    <t>Gumagawa ako ng kaleidoscope .</t>
  </si>
  <si>
    <t>Guāngsù bǐ yīnsù kuài.</t>
  </si>
  <si>
    <t>Màu sắc bên trong thật kỳ diệu.</t>
  </si>
  <si>
    <t>Ang ganda ng mga kulay sa loob .</t>
  </si>
  <si>
    <t>Cháu muốn bay lên mặt trăng.</t>
  </si>
  <si>
    <t>Gusto ko lumipad papuntang buwan .</t>
  </si>
  <si>
    <t>Zhè jiùshì wèishéme wǒmen xiān kàn dào shǎndiàn, ránhòu cái tīng dào léi shēng.</t>
  </si>
  <si>
    <t>Trọng lực trên mặt trăng rất yếu.</t>
  </si>
  <si>
    <t>Cháu có thể nhảy rất cao ở đó.</t>
  </si>
  <si>
    <t>Wǒ xiǎng liǎojiě réntǐ gǔgé xìtǒng.</t>
  </si>
  <si>
    <t>Cháu thích xem phim về vũ trụ.</t>
  </si>
  <si>
    <t>Gusto ko manood ng space movies .</t>
  </si>
  <si>
    <t>Khoa học thật là thú vị!</t>
  </si>
  <si>
    <t>Napakasaya ng science !</t>
  </si>
  <si>
    <t>Wǒmen shēntǐ yǒu duōshǎo kuài gǔtou?</t>
  </si>
  <si>
    <t>Cháu sẽ là một nhà khoa học tương lai.</t>
  </si>
  <si>
    <t>Maging scientist ako balang araw .</t>
  </si>
  <si>
    <t>Cháu muốn giải mã các bí ẩn.</t>
  </si>
  <si>
    <t>Gusto ko malutas ang mga misteryo .</t>
  </si>
  <si>
    <t>Xīnzàng jiù xiàng yīgè bèng.</t>
  </si>
  <si>
    <t>Sự tò mò dẫn đến khám phá.</t>
  </si>
  <si>
    <t>Ang pagiging mausisa ay nagdadala sa discovery .</t>
  </si>
  <si>
    <t>Cháu luôn đặt câu hỏi "Tại sao?".</t>
  </si>
  <si>
    <t>Lagi akong nagtatanong ng "Bakit ?".</t>
  </si>
  <si>
    <t>Tā bǎ xiěyè bèng sòng dào quánshēn.</t>
  </si>
  <si>
    <t>Cháu thích đọc sách bách khoa toàn thư.</t>
  </si>
  <si>
    <t>Gusto ko magbasa ng encyclopedia .</t>
  </si>
  <si>
    <t>Kiến thức là vô tận.</t>
  </si>
  <si>
    <t>Walang katapusan ang kaalaman .</t>
  </si>
  <si>
    <t>Wǒ xiǎng zào yīgè jīqìrén.</t>
  </si>
  <si>
    <t>Cháu sẽ không ngừng học hỏi.</t>
  </si>
  <si>
    <t>Hindi ako titigil sa pag-aaral .</t>
  </si>
  <si>
    <t>Thế giới này có quá nhiều điều hay.</t>
  </si>
  <si>
    <t>Maraming magagandang bagay sa mundo .</t>
  </si>
  <si>
    <t>Jīqìrén kěyǐ bāng wǒ zuò jiāwù.</t>
  </si>
  <si>
    <t>Cháu muốn phát minh ra thuốc chữa bệnh.</t>
  </si>
  <si>
    <t>Gusto ko makatuklas ng gamot .</t>
  </si>
  <si>
    <t>Khoa học giúp cuộc sống tốt đẹp hơn.</t>
  </si>
  <si>
    <t>Pinapaganda ng science ang buhay natin .</t>
  </si>
  <si>
    <t>Wǒ xǐhuān xuéxí huàxué yuánsù.</t>
  </si>
  <si>
    <t>Cháu yêu khoa học vô cùng!</t>
  </si>
  <si>
    <t>Mahal na mahal ko ang science !</t>
  </si>
  <si>
    <t>Yǎngqì shì ránshāo de bìyào tiáojiàn.</t>
  </si>
  <si>
    <t>Bùyào wán huǒ, tā hěn wéixiǎn.</t>
  </si>
  <si>
    <t>Wǒ xiǎng tànsuǒ xīn de tǔdì.</t>
  </si>
  <si>
    <t>Wǒ huì yòng zhǐnánzhēn lái biànbié fāngxiàng.</t>
  </si>
  <si>
    <t>Zhǐnánzhēn de zhǐzhēn zǒng shì zhǐxiàng běifāng.</t>
  </si>
  <si>
    <t>Wǒ xiǎng zhīdào wèishéme hǎishuǐ shì xián de.</t>
  </si>
  <si>
    <t>Yīnwèi hǎishuǐ zhōng hányǒu dàliàng de yán.</t>
  </si>
  <si>
    <t>Wǒ zhèngzài zhìzuò wànhuātǒng.</t>
  </si>
  <si>
    <t>Lǐmiàn de yánsè zhēn shénqí.</t>
  </si>
  <si>
    <t>Wǒ xiǎng fēi dào yuèqiú shàng.</t>
  </si>
  <si>
    <t>Zài nàlǐ wǒ kěyǐ tiào dé hěn gāo.</t>
  </si>
  <si>
    <t>Wǒ xǐhuān kàn tàikōng diànyǐng.</t>
  </si>
  <si>
    <t>Kēxué zhēn yǒuqù!</t>
  </si>
  <si>
    <t>Wǒ jiānglái xiǎng chéngwéi yī míng kēxuéjiā.</t>
  </si>
  <si>
    <t>Wǒ xiǎng jiě kāi mítuán.</t>
  </si>
  <si>
    <t>Hàoqí xīn yǐnlǐng wǒmen fāxiàn.</t>
  </si>
  <si>
    <t>Wǒ zǒng shì wèn “wèishéme?”.</t>
  </si>
  <si>
    <t>Wǒ xǐhuān yuèdú bǎikē quánshū.</t>
  </si>
  <si>
    <t>Zhīshì shì wúqióng wújìn de.</t>
  </si>
  <si>
    <t>Wǒ yǒngyuǎn bù huì tíngzhǐ xuéxí.</t>
  </si>
  <si>
    <t>Zhège shìjiè chōngmǎnle měihǎo de shìwù.</t>
  </si>
  <si>
    <t>Wǒ xiǎng fāmíng yī zhǒng zhìliáo jíbìng de fāngfǎ.</t>
  </si>
  <si>
    <t>Kēxué ràng shēnghuó gèng měihǎo.</t>
  </si>
  <si>
    <t>Wǒ tài ài kēxuéle!</t>
  </si>
  <si>
    <t>Chủ đề 50: Lời khuyên và Châm ngôn sống</t>
  </si>
  <si>
    <t xml:space="preserve">Mẹo ghi nhớ </t>
  </si>
  <si>
    <t xml:space="preserve">Từ đồng nghĩa </t>
  </si>
  <si>
    <t>Hãy luôn trung thực nhé cháu.</t>
  </si>
  <si>
    <t>Maging matapat tayo lagi .</t>
  </si>
  <si>
    <t>Mẹo ghi nhớ (Mnemonics): * Liên tưởng cụm từ "Mắt ta phát" (sáng): Người trung thực (matapat) thì ánh mắt luôn sáng và thẳng thắn, không có gì phải giấu giếm.
Tách từ: Ma (tính từ hóa) + Tapat (thẳng thắn/đối diện). Người trung thực là người luôn dám đối diện với sự thật.</t>
  </si>
  <si>
    <t>Háizǐ, yào yǒngyuǎn chéngshí.</t>
  </si>
  <si>
    <t xml:space="preserve">
Tunay: Thật lòng, chân thật.
Mapagkakatiwalaan: Đáng tin cậy.
Seryoso: Nghiêm túc, chân thành (mượn từ tiếng Tây Ban Nha).
Wagas: Thuần khiết, chân thành (thường dùng cho tình cảm).</t>
  </si>
  <si>
    <t>Antonyms (Từ Trái Nghĩa)
Madaya: Gian lận, xảo trá.
Sinungaling: Dối trá, hay nói dối.
Taksil: Phản bội, không trung thành.
Mapanlinlang: Lừa lọc.</t>
  </si>
  <si>
    <t>Sự thật luôn là tốt nhất.</t>
  </si>
  <si>
    <t>Ang katotohanan ang pinakamabuti .</t>
  </si>
  <si>
    <t>Vietnamese Phonetic Pronunciation and Mnemonics
Phát âm tương tự tiếng Việt: /ka-tô-tô-ha-nan/
Cách ghi nhớ (Mnemonics):
Gốc từ: Hãy nhớ từ gốc là "Totoo" (nghĩa là đúng, thật). Trong tiếng Tagalog, tiền tố ka- và hậu tố -an thường dùng để tạo thành danh từ chỉ khái niệm trừu tượng.
Liên tưởng: Hãy tưởng tượng một người tên là "Tô Tô" luôn nói "Hẳn hoi" (ha-nan) về mọi chuyện. "Tô Tô nói hẳn hoi" chính là "Sự thật" (Katotohanan).
Âm thanh: Nghe gần giống như "Cả tổ tô hà nàn" – Cả tổ cùng tô điểm cho một sự thật hiển nhiên.</t>
  </si>
  <si>
    <t xml:space="preserve">
Katunayan: Thực tế, bằng chứng.
Realidad: Thực tại (mượn từ tiếng Tây Ban Nha "Realidad").
Tunay: Sự chân thật, sự xác thực.</t>
  </si>
  <si>
    <t xml:space="preserve">
Kasinungalingan: Lời nói dối, sự giả dối.
Mali: Sai trái, sự không đúng đắn.
Haka-haka: Tin đồn, sự phỏng đoán, không có căn cứ.</t>
  </si>
  <si>
    <t>Cháu sẽ không nói dối đâu ạ.</t>
  </si>
  <si>
    <t>Hindi ako magsisinungaling .</t>
  </si>
  <si>
    <t>Phát âm tương tự tiếng Việt: Mác-si-si-nu-ngá-lìng.
Mẹo ghi nhớ (Mnemonics): * Hãy chia nhỏ từ: Mag-si-si (nghe giống "mặc kệ sự thật") + nungaling (nghe giống "nói gian").
Hoặc nhớ cụm "si-nunga" gắn liền với hình ảnh một người đang "nói ngang", nói không đúng sự thật.</t>
  </si>
  <si>
    <t>Zhēnlǐ yǒngyuǎn shì zuì hǎo de.</t>
  </si>
  <si>
    <t xml:space="preserve">
Magbubulaan: Nói dối, nói điêu.
Mandaraya: Gian lận, lừa dối.
Magkakaila: Phủ nhận (một sự thật).</t>
  </si>
  <si>
    <t xml:space="preserve">
Magsasabi ng totoo: Sẽ nói sự thật.
Magtatapat: Sẽ thành thật/thú nhận.
Magiging tapat: Sẽ trở nên trung thực.</t>
  </si>
  <si>
    <t>Hãy biết ơn những gì mình đang có.</t>
  </si>
  <si>
    <t>Maging mapagpasalamat sa mga biyaya .</t>
  </si>
  <si>
    <t>Phát âm tương tự tiếng Việt: Bi-ya-ya.
Mẹo ghi nhớ (Mnemonics): * Hãy nhớ đến âm thanh "Bi" (như viên bi quý giá) và tiếng reo "Ya-ya!" khi bạn nhận được một món quà bất ngờ.
Liên tưởng: Nhận được "Bi" là một niềm vui "Ya-ya" -&gt; đó là một biyaya (phước lành)</t>
  </si>
  <si>
    <t xml:space="preserve">
Pagpapala: Phước lành (thường dùng trong bối cảnh tôn giáo).
Grasya: Ân sủng (vay mượn từ tiếng Tây Ban Nha "Gracia").
Handog: Quà tặng, lễ vật.
Kaloob: Món quà, sự ban cho.</t>
  </si>
  <si>
    <t xml:space="preserve">
Sumpa: Lời nguyền, tai họa.
Kamalasan: Sự xui xẻo, vận hạn.
Parusa: Hình phạt.
Pasakit: Sự đau khổ, gánh nặng.</t>
  </si>
  <si>
    <t>Cảm ơn vì tất cả mọi điều.</t>
  </si>
  <si>
    <t>Salamat sa lahat .</t>
  </si>
  <si>
    <t>Wǒ jué bù shuōhuǎng.</t>
  </si>
  <si>
    <t>Hãy luôn giúp đỡ mọi người.</t>
  </si>
  <si>
    <t>Laging tumulong sa kapwa .</t>
  </si>
  <si>
    <t>Mẹo ghi nhớ (Mnemonics): * Hãy liên tưởng từ "Cáp" trong "dây cáp" – thứ dùng để kết nối. Kapwa chính là sự kết nối giữa "tôi" và "người khác".
Hoặc nhớ đến từ "Cặp" (trong một cặp) – vì kapwa cũng có nghĩa là "cả hai" hoặc thể hiện mối quan hệ giữa hai phía.</t>
  </si>
  <si>
    <t xml:space="preserve">
Kasama: Bạn đồng hành, người đi cùng.
Kauri: Cùng loại, cùng bản chất.
Kalahi: Cùng chủng tộc, cùng dòng giống.
Iba: Người khác (tuy nhiên kapwa mang tính kết nối cộng đồng cao hơn iba).</t>
  </si>
  <si>
    <t xml:space="preserve">
Sarili: Bản thân mình.
Kaaway: Kẻ thù.
Katunggali: Đối thủ, người đối đầu.</t>
  </si>
  <si>
    <t>Giúp đỡ người khác là niềm vui.</t>
  </si>
  <si>
    <t>Ang pagtulong ay nakakasaya .</t>
  </si>
  <si>
    <t>Yào gǎn'ēn nǐ suǒ yǒngyǒu de yīqiè.</t>
  </si>
  <si>
    <t>Cháu sẽ chia sẻ đồ chơi với bạn.</t>
  </si>
  <si>
    <t>Magbabahagi ako ng mga laruan sa aking mga kaibigan .</t>
  </si>
  <si>
    <t>Phát âm tương tự tiếng Việt: /mác-ba-ba-ha-ghi/
Cách ghi nhớ (Mnemonics):
Phân tích cấu tạo: Tiền tố Mag- kết hợp với sự lặp lại âm đầu của gốc từ ba-bahagi tạo thành thì tương lai.
Câu chuyện liên tưởng: Hãy nhớ cụm "Mác Ba Ba Hạ Ghi". "Ba" (bố) có cái "Mác" (nhãn hiệu) rất quý, vào mùa "Hạ" bố quyết định "Ghi" tên mọi người vào danh sách để chia sẻ (magbabahagi) phần quà đó.
Gợi nhớ gốc từ: Bahagi nghe giống "Ba hạ" – Chia ra làm các phần nhỏ cho ba người hạ xuống.</t>
  </si>
  <si>
    <t>Magbibigay: Sẽ cho, sẽ tặng.
Mamamahagi: Sẽ phân phối, sẽ phát (thường dùng trong bối cảnh trang trọng hoặc số lượng lớn).
Maghahati: Sẽ chia phần (chia nhỏ một vật gì đó).
Mag-aabot: Sẽ đưa cho, sẽ trao tận tay.</t>
  </si>
  <si>
    <t>Kukuha: Sẽ lấy, sẽ nhận.
Magkakait: Sẽ từ chối cho, sẽ giữ lại (không muốn chia sẻ).
Magtatago: Sẽ cất giấu.
Mag-iipon: Sẽ thu gom, sẽ tích trữ.</t>
  </si>
  <si>
    <t>Đừng bao giờ bỏ cuộc nhé.</t>
  </si>
  <si>
    <t>Huwag susuko .</t>
  </si>
  <si>
    <t>Phát âm tương tự tiếng Việt: /su-su-kô/
Cách ghi nhớ (Mnemonics):
Liên tưởng hình ảnh: Hãy nhớ đến quả "Su su". Hình dung bạn đang cầm hai quả "Su su" và cảm thấy quá nặng, bạn thốt lên: "Su su... khổ (kô) quá, tôi sẽ đầu hàng thôi!".
Phân tích cấu tạo: Giống như từ trước, việc lặp lại âm đầu su- của gốc từ suko cho thấy hành động này sẽ xảy ra trong tương lai.</t>
  </si>
  <si>
    <t>Xièxiè nǐ de yīqiè.</t>
  </si>
  <si>
    <t>Bibitiw: Sẽ buông tay, sẽ từ bỏ (thường dùng cho tình cảm hoặc mục tiêu).
Aayaw: Sẽ không làm nữa, sẽ thôi.
Tatalikod: Sẽ quay lưng lại (từ bỏ trách nhiệm hoặc lý tưởng).
Pababayaan: Sẽ bỏ mặc, sẽ lờ đi.</t>
  </si>
  <si>
    <t>Lalaban: Sẽ chiến đấu.
Magpapatuloy: Sẽ tiếp tục.
Magtitiyaga: Sẽ kiên trì, sẽ nhẫn nại.
Maninindigan: Sẽ giữ vững lập trường, sẽ đứng vững.</t>
  </si>
  <si>
    <t>Có công mài sắt có ngày nên kim.</t>
  </si>
  <si>
    <t>Pag may tiyaga , may nilaga .</t>
  </si>
  <si>
    <t>Phát âm tương tự tiếng Việt: /ti-gia-ga/ (hoặc /cha-ga/ theo cách đọc nhanh của người bản địa).
Cách ghi nhớ (Mnemonics):
Liên tưởng âm thanh: Hãy nhớ đến cụm "Tỉ giá gà". Một người nuôi gà cần phải cực kỳ kiên trì (tiyaga) để theo dõi "tỉ giá gà" lên xuống mỗi ngày thì mới thành công được.
Câu khẩu hiệu: "Có tiyaga thì mới có gà mà ăn" – Nhắc nhở rằng sự kiên trì luôn mang lại thành quả.
Phát âm tương tự tiếng Việt: /ni-la-ga/
Cách ghi nhớ (Mnemonics):
Liên tưởng âm thanh: Hãy nhớ cụm từ "Ní la gà". "Ní" (cách gọi bạn thân ở miền Nam) "la" lên khi thấy món "gà" luộc (nilaga) nóng hổi trên bàn.
Liên hệ tục ngữ: Nhớ câu "May tiyaga, may nilaga" – Có kiên trì (tiyaga) thì mới có cái để hầm (nilaga) mà ăn. Nó tượng trưng cho thành quả sau khi bỏ công sức lao động.</t>
  </si>
  <si>
    <t>Sipag: Sự chăm chỉ, cần cù.
Pagsisikap: Sự nỗ lực, cố gắng hết mình.
Pasensya: Sự kiên nhẫn (thường dùng trong việc chờ đợi hoặc chịu đựng).
Determinasyon: Sự quyết tâm.</t>
  </si>
  <si>
    <t>Katamaran: Sự lười biếng.
Pagsuko: Sự bỏ cuộc, đầu hàng.
Inip: Sự sốt ruột, thiếu kiên nhẫn.
Pagpapabukas-bukas: Sự trì hoãn (thói quen để việc hôm nay đến ngày mai).</t>
  </si>
  <si>
    <t>Hãy luôn tử tế với mọi người.</t>
  </si>
  <si>
    <t>Maging mabait sa lahat .</t>
  </si>
  <si>
    <t>Yào lèyú zhùrén.</t>
  </si>
  <si>
    <t>Lời nói chẳng mất tiền mua.</t>
  </si>
  <si>
    <t>Mag-ingat sa mga sinasabi .</t>
  </si>
  <si>
    <t>Hãy biết lắng nghe người khác.</t>
  </si>
  <si>
    <t>Matutong makinig sa iba .</t>
  </si>
  <si>
    <t>Bāngzhù biérén shì yī zhǒng kuàilè.</t>
  </si>
  <si>
    <t>Cháu sẽ vâng lời người lớn.</t>
  </si>
  <si>
    <t>Susunod ako sa mga nakatatanda .</t>
  </si>
  <si>
    <t>Cháu sẽ là một người con ngoan.</t>
  </si>
  <si>
    <t>Maging mabuting anak ako .</t>
  </si>
  <si>
    <t>Wǒ huì hé péngyǒumen fēnxiǎng wǒ de wánjù.</t>
  </si>
  <si>
    <t>Hãy luôn đúng giờ nhé.</t>
  </si>
  <si>
    <t>Maging on time tayo lagi .</t>
  </si>
  <si>
    <t>Phát âm tương tự tiếng Việt: /ghin-tô/
Cách ghi nhớ (Mnemonics):
Liên tưởng âm thanh: Hãy nhớ cụm "Gìn Tô". Bạn phải "Gìn" giữ cái "Tô" này thật kỹ vì nó được làm bằng vàng (ginto).
Câu chuyện: Một người thợ kim hoàn đang dùng một cái ghim để chạm khắc lên một cái tô bằng vàng. Ghim + Tô = Ginto.</t>
  </si>
  <si>
    <t>Yǒng bù fàngqì.</t>
  </si>
  <si>
    <t>Oro: Vàng (từ mượn tiếng Tây Ban Nha, thường dùng trong tên gọi hoặc trang sức).
Kulay-ginto: Màu vàng kim.
Mahalaga: Quý giá (nghĩa bóng, vì vàng là vật quý).</t>
  </si>
  <si>
    <t>Tanso: Đồng/Đồng thau (thường dùng để chỉ thứ gì đó rẻ tiền hoặc "giả" so với vàng).
Pilak: Bạc (kim loại đối lập về thứ hạng giá trị).
Basura: Rác rưởi (nghĩa bóng, thứ không có giá trị).</t>
  </si>
  <si>
    <t>Hãy chăm sóc sức khỏe thật tốt.</t>
  </si>
  <si>
    <t>Alagaan ang inyong kalusugan .</t>
  </si>
  <si>
    <t>át âm tương tự tiếng Việt: /a-la-ga-an/
Cách ghi nhớ (Mnemonics):
Liên tưởng âm thanh: Hãy nhớ cụm "A là gà ăn". Bạn thốt lên "A!" khi thấy con "gà" đang "ăn" – việc cho gà ăn chính là một hành động chăm sóc (alagaan) chúng.
Câu chuyện: Hãy tưởng tượng bạn có một chú gà cưng, mỗi ngày bạn đều gọi "A... la... gà ăn" để nhắc nhở bản thân phải chăm sóc nó thật tốt.
---
hát âm tương tự tiếng Việt: /ca-lu-su-gân/
Cách ghi nhớ (Mnemonics):
Liên tưởng "Ca-Lu-Su-Gân": Hãy tưởng tượng bạn vừa "Ca" (hát) vừa bê một cái "Lu" đựng đầy quả "Su" su để bồi bổ cho "Gân" cốt. Hành động này giúp bạn rèn luyện sức khỏe (kalusugan).
Ghi nhớ qua từ gốc "Lusog": Hãy nhớ đến chữ "Lực". Một người có Lusog là người có "Lực" sống dồi dào, cơ thể cường tráng.
Câu thần chú: "Muốn có Sức khỏe, hãy Ca bên Lu Su Gân."</t>
  </si>
  <si>
    <t>Pag-ingatan: Giữ gìn cẩn thận, bảo trọng.
Kalingain: Nuôi nấng, chăm sóc (thường dùng cho trẻ em hoặc người già với sự yêu thương).
Bantayan: Canh chừng, trông nom.
Arugain: Chăm sóc một cách tận tụy.
---
Kalakasan: Sức mạnh, sự khỏe khoắn.
Kagalingan: Sự tốt lành, sự khỏe mạnh (thường dùng cho wellness).
Kabutihan ng katawan: Tình trạng tốt của cơ thể.</t>
  </si>
  <si>
    <t>Pabayaan: Bỏ mặc, lờ đi, không quan tâm.
Saktan: Làm tổn thương, làm đau.
Iwanan: Rời bỏ, bỏ rơi.
Sirain: Phá hủy, làm hỏng.
-----
Karamdaman: Bệnh tật, sự ốm yếu.
Sakit: Sự đau đớn, bệnh hoạn.
Kahinaan: Sự yếu đuối.</t>
  </si>
  <si>
    <t>Ăn nhiều rau xanh để khỏe mạnh.</t>
  </si>
  <si>
    <t>Kumain ng gulay para lumakas .</t>
  </si>
  <si>
    <t>Shúnéngshēngqiǎo.</t>
  </si>
  <si>
    <t>Hãy luôn giữ vệ sinh sạch sẽ.</t>
  </si>
  <si>
    <t>Panatilihing malinis ang paligid .</t>
  </si>
  <si>
    <t>Phát âm tương tự tiếng Việt: /pa-na-ti-li-hing/
Cách ghi nhớ (Mnemonics):
Liên tưởng "Pha-Nà-Tỉ-Lệ-Hịn": Hãy tưởng tượng bạn đang Pha một ấm trà nà (này) với tỉ lệ cực kỳ hịn (xịn). Bạn phải cố gắng duy trì (panatilihing) công thức đó để ấm trà nào cũng ngon như nhau.
Hình ảnh "Phan nắn tỉ lệ hình": Anh Phan đang đứng nắn lại tỉ lệ của cái hình vẽ để duy trì sự cân đối cho tác phẩm của mình.
Câu thần chú: "Pha trà tỉ lệ hịn để duy trì vị ngon."</t>
  </si>
  <si>
    <t>Ipagpatuloy: Tiếp tục duy trì.
Preserbahin: Bảo tồn (mượn gốc từ tiếng Tây Ban Nha "Preservar").
Ingatan: Giữ gìn/Chăm sóc để duy trì trạng thái tốt.
Manatili: Ở lại/Duy trì trạng thái (dạng nội động từ).</t>
  </si>
  <si>
    <t>Itigil: Dừng lại.
Baguhin: Thay đổi (ngược với việc giữ nguyên/duy trì).
Sirain: Phá hủy/Làm hỏng.
Pabayaan: Bỏ mặc/Để mặc cho thay đổi.</t>
  </si>
  <si>
    <t>Cháu sẽ bảo vệ môi trường.</t>
  </si>
  <si>
    <t>Poprotektahan ko ang kalikasan .</t>
  </si>
  <si>
    <t>Phát âm tương tự tiếng Việt: /ca-li-ca-san/
Cách ghi nhớ (Mnemonics):
Liên tưởng "Cả-Ly-Cá-Sân": Hãy tưởng tượng bạn bưng Cả một cái Ly đựng Cá ra ngoài Sân để thả chúng về với thiên nhiên (kalikasan).
Phân tích gốc từ: Likas là "tự nhiên". Thêm tiền tố ka- và hậu tố -an để biến nó thành một danh từ chỉ khái niệm bao quát là "Hệ thống tự nhiên" hay chính là Thiên nhiên.
Câu thần chú: "Mang Cả Ly Cá ra Sân ngắm thiên nhiên."</t>
  </si>
  <si>
    <t>Yào shàndài měi yīgèrén.</t>
  </si>
  <si>
    <t>Kapaligiran: Môi trường xung quanh.
Likas-yaman: Tài nguyên thiên nhiên.
Sandaigdigan: Thế giới, vũ trụ (trong ngữ cảnh rộng lớn hơn).</t>
  </si>
  <si>
    <t>Gawa ng tao: Do con người tạo ra (nhân tạo).
Artipisyal: Giả tạo, không tự nhiên (mượn từ tiếng Tây Ban Nha "Artificial").
Siyudad: Thành phố (ngữ cảnh đối lập giữa thiên nhiên và đô thị).</t>
  </si>
  <si>
    <t>Hãy luôn mỉm cười với mọi người.</t>
  </si>
  <si>
    <t>Laging ngumiti sa lahat .</t>
  </si>
  <si>
    <t>Một nụ cười bằng mười thang thuốc bổ.</t>
  </si>
  <si>
    <t>Ang pagngiti ay gamot .</t>
  </si>
  <si>
    <t>Phát âm tương tự tiếng Việt: /pạc-nghi-ti/
Cách để nhớ từ đó (Mnemonics):
Liên tưởng âm thanh: Hãy nhớ cụm "Phạt nghỉ tí". Tưởng tượng trong một cuộc họp căng thẳng, sếp ra lệnh "Phạt" cả đội phải "nghỉ" một "tí" để thực hiện việc mỉm cười (pagngiti) nhằm giảm bớt áp lực.
Phân tích: Bạn đã biết Ngiti là nụ cười. Chỉ cần nhớ thêm tiền tố Pag- (đọc như "Pạc") để biến nó thành "Việc/Sự...". Hãy nhớ "Pạc" là tiếng vỗ tay mỗi khi thấy sự mỉm cười.
Câu thần chú: "Pạc một cái, bắt đầu việc mỉm cười (ngiti)."</t>
  </si>
  <si>
    <t>Yányǔ wúxū chéngběn.</t>
  </si>
  <si>
    <t>Pagtawa: Việc cười (nói chung).
Pagngisi: Việc cười mỉm, cười nhếch mép.
Masayang ekspresyon: Biểu cảm vui vẻ.</t>
  </si>
  <si>
    <t>Pag-iyak: Việc khóc.
Pagsimangot: Việc cau mày, sự nhăn nhó.
Pagluha: Sự rơi lệ.
Pagkagalit: Sự tức giận.</t>
  </si>
  <si>
    <t>Hãy học cách tha thứ cho người khác.</t>
  </si>
  <si>
    <t>Matutong magpatawad .</t>
  </si>
  <si>
    <t>Phát âm tương tự tiếng Việt: /ma-tu-tong/
Cách để nhớ từ đó (Mnemonics):
Liên tưởng "Má-Tu-Tông": Hãy tưởng tượng "Má" đang "tu" (sửa sang) lại cái "tông" (tông đơ) để học cách cắt tóc cho con.
Hình ảnh "Ma tú tông": Một con "Ma" đang "tú" (túm) lấy cái "tông" (xe) để cố gắng học cách lái xe.
Câu thần chú: "Má tu tông để học điều hay."
----
Phát âm tương tự tiếng Việt: /mác-pa-ta-oát/
Cách để nhớ từ đó (Mnemonics):
Liên tưởng "Mặc-Ba-Ta-Oát": Hãy tưởng tượng bạn đang mặc một đôi giày Ba-ta rất oát (oai/xịn). Ai đó lỡ làm bẩn đôi giày của bạn, nhưng vì đang vui nên bạn quyết định tha thứ (magpatawad) cho họ.
Liên hệ gốc từ "Tawad": Trong tiếng Tagalog, tawad còn có nghĩa là "mặc cả" để được giảm giá. Hãy coi việc tha thứ là một hình thức "giảm bớt" lỗi lầm cho người khác.
Câu thần chú: "Mặc giày ba ta oát, sẵn lòng tha thứ."</t>
  </si>
  <si>
    <t>Mag-aral: Học tập (nghĩa rộng hơn, chỉ quá trình học).
Malaman: Biết được, tìm ra.
Maunawaan: Hiểu được, lĩnh hội được.
---
Paumanhin: Xin lỗi / Tha lỗi (thường dùng trong bối cảnh nhẹ nhàng hơn).
Magparaya: Bao dung / Nhường nhịn.
Pagpalampasin: Bỏ qua (lỗi lầm).</t>
  </si>
  <si>
    <t>Makalimutan: Quên mất.
Mabigo: Thất bại (trong việc học hoặc thực hiện).
Huwag mag-aral: Không học.
----
Maghiganti: Trả thù.
Magtanim ng galit: Nuôi hận / Giữ sự tức giận trong lòng.
Manumbat: Chì chiết / Nhắc lại lỗi lầm cũ để trách móc.</t>
  </si>
  <si>
    <t>Đừng giữ sự tức giận trong lòng.</t>
  </si>
  <si>
    <t>Huwag magtanim ng galit .</t>
  </si>
  <si>
    <t>Xuéhuì qīngtīng tārén.</t>
  </si>
  <si>
    <t>Cháu sẽ cố gắng học tập tốt.</t>
  </si>
  <si>
    <t>Magsisikap ako sa pag-aaral .</t>
  </si>
  <si>
    <t>Kiến thức là sức mạnh.</t>
  </si>
  <si>
    <t>Ang kaalaman ay kapangyarihan .</t>
  </si>
  <si>
    <t>Phát âm tương tự tiếng Việt: /ca-pang-gia-ri-han/
Cách để nhớ từ đó (Mnemonics):
Liên tưởng "Cả-Phòng-Già-Rỉ-Hàn": Hãy tưởng tượng Cả một cái phòng đầy những cụ già đang rỉ tai nhau về cách hàn gắn thế giới bằng quyền lực (kapangyarihan) của họ.
Phân tích hình ảnh: Hãy nghĩ về một người thợ hàn (han) có sức mạnh (yari) có thể sửa chữa mọi thứ. Người có sức mạnh đó là người có kapangyarihan.
Câu thần chú: "Cả phòng già rỉ hàn chuyện quyền lực."</t>
  </si>
  <si>
    <t>Wǒ huì tīng zhǎngbèi dehuà.</t>
  </si>
  <si>
    <t>Lakas: Sức mạnh (thường chỉ sức mạnh thể chất hoặc cường độ).
Otoridad: Quyền hạn, thẩm quyền (mượn từ tiếng Tây Ban Nha "Autoridad").
Bisa: Hiệu lực, tác động hoặc sức mạnh phép thuật.
Karapatan: Quyền lợi, quyền hạn chính đáng.</t>
  </si>
  <si>
    <t>Kahinaan: Sự yếu đuối, sự yếu ớt.
Kawalan: Sự trống rỗng, sự thiếu hụt quyền hành.
Pagpapakumbaba: Sự khiêm nhường (về mặt thái độ, không lạm dụng quyền lực).</t>
  </si>
  <si>
    <t>Hãy luôn tự tin vào bản thân.</t>
  </si>
  <si>
    <t>Magtiwala sa sarili .</t>
  </si>
  <si>
    <t>Cách để nhớ từ đó (Mnemonics):
Liên tưởng "Mác-Ti-Oà-Lạ": Hãy tưởng tượng một anh chàng tên Mác cầm cái Ti vi rồi bỗng nhiên Oà lên vì thấy một cảnh tượng Lạ. Bạn phải cực kỳ tin tưởng (magtiwala) anh ấy thì mới dám để anh ấy giữ cái tivi đó.
Hình ảnh "Mắc-Ti-Hoa-Lạ": Bạn đang Mắc kẹt trong một Tiệm Hoa Lạ, và bạn phải tin tưởng người dẫn đường để thoát ra ngoài.
Câu thần chú: "Anh Mác cầm Ti Oà Lạ, hãy tin tưởng anh ấy."
----
Phát âm tương tự tiếng Việt: /xa-ri-li/
Cách để nhớ từ đó (Mnemonics):
Liên tưởng "Xa-Rì-Lì": Hãy tưởng tượng bạn đứng ở một nơi rất Xa, nói Rì rầm một mình rất Lì lợm. Đó là lúc bạn đang trò chuyện với chính bản thân (sarili) mình.
Hình ảnh chiếc gương: Mỗi khi soi gương, bạn thấy cái Sa (nhan sắc) Ri (riêng) của Li (cái ly/gương) phản chiếu chính bản thân bạn.
Câu thần chú: "Xa rì lì là chính mình."</t>
  </si>
  <si>
    <t>Maniwala: Tin vào (thường dùng cho tin vào một lời nói hoặc sự việc).
Umasa: Hy vọng/Dựa dẫm vào.
Manampalataya: Có đức tin (thường dùng trong bối cảnh tôn giáo).
Mapanaligan: Có thể tin cậy được.
---
Mismo: Chính (mình), đúng là (thường dùng để nhấn mạnh).
Pagkatao: Nhân cách, bản ngã.
Katauhan: Thân phận, con người cá nhân.</t>
  </si>
  <si>
    <t>Magduda: Nghi ngờ.
Maghinala: Nghi hoặc/Đoán già đoán non.
Walang tiwala: Không có niềm tin.
Mangamba: Lo sợ/Lo ngại (thiếu sự tin tưởng vào kết quả tốt).
---
Iba: Người khác, cái khác.
Kapwa: Người đồng loại, tha nhân (những người xung quanh mình).
Lahat: Tất cả mọi người (đối lập với cá nhân riêng lẻ).</t>
  </si>
  <si>
    <t>Cháu có thể làm được mọi thứ!</t>
  </si>
  <si>
    <t>Kaya ko gawin ang lahat !</t>
  </si>
  <si>
    <t>Wǒ huì zuò yīgè hǎo háizǐ.</t>
  </si>
  <si>
    <t>Đừng sợ mắc lỗi sai.</t>
  </si>
  <si>
    <t>Huwag matakot magkamali .</t>
  </si>
  <si>
    <t>Lỗi sai giúp chúng ta lớn lên.</t>
  </si>
  <si>
    <t>Natututo tayo sa ating mga mali .</t>
  </si>
  <si>
    <t>Yǒngyuǎn zhǔnshí.</t>
  </si>
  <si>
    <t>Hãy trân trọng tình bạn.</t>
  </si>
  <si>
    <t>Pahalagahan ang pagkakaibigan .</t>
  </si>
  <si>
    <t>Cháu sẽ là một người bạn tốt.</t>
  </si>
  <si>
    <t>Maging mabuting kaibigan ako .</t>
  </si>
  <si>
    <t>Hãy luôn giữ lời hứa.</t>
  </si>
  <si>
    <t>Tuparin ang inyong pangako .</t>
  </si>
  <si>
    <t>Phát âm tương tự tiếng Việt: /tu-pa-rin/
Cách để nhớ từ đó (Mnemonics):
Liên tưởng "Tu-Ba-Rinh": Hãy tưởng tượng bạn đang cố gắng Tu tâm dưỡng tính để Ba của bạn có thể Rinh phần thưởng về cho bạn sau khi bạn đã thực hiện (tuparin) xong lời hứa học chăm.
Hình ảnh "Tủ-Ba-Rinh": Ba đang Rinh cái Tủ mới về để hoàn thành việc trang trí nhà cửa như đã hứa.
Câu thần chú: "Tu để Ba rinh quà, thực hiện đúng lời hứa."</t>
  </si>
  <si>
    <t>Isakatuparan: Hiện thực hóa, làm cho thành sự thật.
Gawin: Làm, thực hiện.
Sundin: Tuân theo, làm theo (thường dùng cho luật lệ hoặc lời dặn).
Ganapin: Hoàn tất, thi hành.</t>
  </si>
  <si>
    <t>Sirain: Phá vỡ (thường dùng cho sirain ang pangako - thất hứa).
Ibalewala: Phớt lờ, coi thường (không thực hiện).
Ipagpaliban: Trì hoãn.
Kalimutan: Quên đi (không thực hiện trách nhiệm).</t>
  </si>
  <si>
    <t>Cháu nói là cháu sẽ làm.</t>
  </si>
  <si>
    <t>Gagawin ko ang sinabi ko .</t>
  </si>
  <si>
    <t>Hǎohǎo zhàogù zìjǐ de shēntǐ.</t>
  </si>
  <si>
    <t>Hãy sống một cách dũng cảm.</t>
  </si>
  <si>
    <t>Maging matapang sa buhay .</t>
  </si>
  <si>
    <t>Phát âm tương tự tiếng Việt: /ma-ta-pang/
Cách để nhớ từ đó (Mnemonics):
Liên tưởng "Má-Ta-Phang": Hãy tưởng tượng khi thấy kẻ xấu, "Má" (mẹ) của "ta" cầm chổi "phang" (đánh đuổi) chúng một cách cực kỳ dũng cảm (matapang).
Hình ảnh "Mặt ta bang": Dù đối mặt với khó khăn, "Mặt ta" vẫn hiên ngang như một vị anh hùng trong "bang" hội, thể hiện sự can trường.
Câu thần chú: "Má ta phang kẻ xấu vì bà rất dũng cảm."</t>
  </si>
  <si>
    <t>Mapangahas: Táo bạo, liều lĩnh.
Walang-takot: Không sợ hãi (Vô úy).
Malakas ang loob: Có gan làm, bản lĩnh.
Bayani: Anh hùng, có tính anh hùng.</t>
  </si>
  <si>
    <t>Maduwag: Nhát gan, hèn nhát.
Matatakutin: Hay sợ hãi, nhút nhát.
Mahina ang loob: Yếu lòng, thiếu bản lĩnh.</t>
  </si>
  <si>
    <t>Đừng sợ hãi những thử thách.</t>
  </si>
  <si>
    <t>Huwag matakot sa mga pagsubok .</t>
  </si>
  <si>
    <t>Phát âm tương tự tiếng Việt: /pạc-su-bốc/
Cách để nhớ từ đó (Mnemonics):
Liên tưởng "Phạt-Xu-Bốc": Hãy tưởng tượng nếu bạn không vượt qua được thử thách (pagsubok), bạn sẽ bị "Phạt" mất một đồng "Xu" và phải "Bốc" thăm lại từ đầu.
Câu chuyện: Bạn đang đứng trước một cái bốc (hộp) chứa đầy những thử thách. Bạn phải phạt bản thân vượt qua nó để lấy được đồng xu may mắn.
Câu thần chú: "Vượt qua thử thách để không bị phạt xu bốc thăm."</t>
  </si>
  <si>
    <t>Duō chī lǜsè shūcài, bǎochí jiànkāng.</t>
  </si>
  <si>
    <t>Hamon: Thử thách (mang tính kích thích, mời gọi sự đối đầu).
Pagsusulit: Bài kiểm tra, kỳ thi (thường dùng trong giáo dục).
Eksaminasyon: Sự xem xét, kiểm tra kỹ lưỡng (mượn từ tiếng Anh/Tây Ban Nha).
Pagkilatis: Sự đánh giá, thử nghiệm phẩm chất.</t>
  </si>
  <si>
    <t>Tagumpay: Thành công (kết quả sau khi vượt qua thử thách).
Kaginhawaan: Sự thoải mái, sự dễ dàng (trạng thái không có thử thách).
Kasiguraduhan: Sự chắc chắn (ngược với sự không chắc chắn của thử thách).</t>
  </si>
  <si>
    <t>Hãy luôn khiêm tốn nhé.</t>
  </si>
  <si>
    <t>Maging mapagkumbaba tayo .</t>
  </si>
  <si>
    <t>Phát âm tương tự tiếng Việt: /ma-pạc-cum-ba-ba/
Cách để nhớ từ đó (Mnemonics):
Liên tưởng "Má-Phạt-Cụm-Ba-Ba": Hãy tưởng tượng "Má" đang "Phạt" một "Cụm" (nhóm) con "Ba Ba". Thay vì phản kháng, những con ba ba này lại rụt đầu vào mai một cách rất khiêm tốn (mapagkumbaba) và nhẫn nhịn.
Hình ảnh "Ma phát cơm ba ba": Một con "Ma" đang đi "Phát cơm" cho "Ba" người "Ba" (cha) một cách rất khiêm nhường.
Câu thần chú: "Má phạt cụm ba ba vì chúng quá khiêm tốn."</t>
  </si>
  <si>
    <t>Mababa ang loob: (Nghĩa đen: lòng thấp xuống) – Khiêm tốn, không kiêu ngạo.
Simple: Bình dị, giản đơn.
Modesto: Khiêm tốn (từ mượn tiếng Tây Ban Nha).
Marunong lumingon sa pinanggalingan: Biết nhìn lại nơi mình bắt đầu (một cách nói bóng gió về sự khiêm tốn khi đã thành công).</t>
  </si>
  <si>
    <t>Mayabang: Kiêu ngạo, khoe khoang.
Hambog: Khoác lác, tự phụ.
Mataas ang loob: (Nghĩa đen: lòng cao lên) – Kiêu kỳ, coi trọng bản thân quá mức.
Matapobre: Coi thường người nghèo.</t>
  </si>
  <si>
    <t>Cháu sẽ không kiêu ngạo đâu ạ.</t>
  </si>
  <si>
    <t>Hindi ako magiging mayabang .</t>
  </si>
  <si>
    <t>Phát âm tương tự tiếng Việt: /ma-gia-bang/
Cách để nhớ từ đó (Mnemonics):
Liên tưởng "Má-Già-Bán": Hãy tưởng tượng một bà "Má" tuy đã "Già" nhưng vẫn đi "Bán" hàng và luôn miệng khoe khoang (mayabang) về sự giàu có của con cái mình.
Hình ảnh "Ma gia băng": Một con "Ma" có bộ da bằng "Băng" lạnh lùng, nó luôn tỏ ra kiêu ngạo vì nghĩ mình là duy nhất.
Câu thần chú: "Má già bán hàng hay khoe khoang."</t>
  </si>
  <si>
    <t>Bǎochí qīngjié.</t>
  </si>
  <si>
    <t>Hambog: Khoác lác, huênh hoang.
Mahangin: (Nghĩa đen: nhiều gió) – Ám chỉ người hay "chém gió", khoe khoang.
Palalo: Kiêu căng, ngạo mạn.
Mataas ang tingin sa sarili: Coi trọng bản thân quá mức.</t>
  </si>
  <si>
    <t>Mapagkumbaba: Khiêm tốn.
Mababa ang loob: Nhún nhường, khiêm cung.
Tahimik: Điềm đạm, ít nói (nghĩa bóng: không phô trương).
Simple: Giản dị.</t>
  </si>
  <si>
    <t>Hãy trân trọng gia đình của mình.</t>
  </si>
  <si>
    <t>Mahalin ang inyong pamilya .</t>
  </si>
  <si>
    <t>Gia đình là điều tuyệt vời nhất.</t>
  </si>
  <si>
    <t>Ang pamilya ang pinakamahalaga .</t>
  </si>
  <si>
    <t>Wǒ huì bǎohù huánjìng.</t>
  </si>
  <si>
    <t>Hãy luôn lễ phép với mọi người.</t>
  </si>
  <si>
    <t>Laging maging magalang .</t>
  </si>
  <si>
    <t>Phát âm tương tự tiếng Việt: /ma-ga-lang/
Cách để nhớ từ đó (Mnemonics):
Liên tưởng "Má-Gà-Lăng": Hãy tưởng tượng con "Gà" của "Má" tuy rất "Lăng" xăng chạy nhảy nhưng cứ gặp người lớn là nó cúi đầu chào cực kỳ lễ phép (magalang).
Hình ảnh "Má già lăng": Một bà Má già đang lăng xăng giúp đỡ mọi người với thái độ rất lịch sự và tôn trọng.
Câu thần chú: "Má nuôi gà lăng xăng nhưng rất lễ phép."</t>
  </si>
  <si>
    <t>Mapitagan: Kính trọng, lễ độ (thường dùng trong văn phong trang trọng).
May-respeto: Có sự tôn trọng (từ "respeto" mượn từ tiếng Tây Ban Nha).
Maginoo: Lịch thiệp, hào hiệp (thường dùng để chỉ sự lịch sự của nam giới).
Mabait: Tốt bụng (thường là tính chất đi kèm với sự lễ phép).</t>
  </si>
  <si>
    <t>Bastos: Thô lỗ, mất lịch sự, vô giáo dục.
Walang-galang: Không có sự tôn trọng.
Suwail: Ngỗ nghịch, không nghe lời.
Mapusok: Hung hăng, thiếu kiềm chế.</t>
  </si>
  <si>
    <t>Cháu sẽ luôn nói "Mano ".</t>
  </si>
  <si>
    <t>Lagi akong magmamano .</t>
  </si>
  <si>
    <t>Phát âm tương tự tiếng Việt: /mác-ma-ma-nô/
Cách để nhớ từ đó (Mnemonics):
Liên tưởng "Mác-Ma-Ma-Nơ": Hãy tưởng tượng bạn tên Mác, đang cùng Ma ma (mẹ) thắt một chiếc Nơ thật đẹp để đi gặp người lớn và sẽ chào hỏi (magmamano) họ một cách trang trọng.
Phân tích cấu tạo: Tiền tố Mag- + lặp lại âm ma + gốc mano. Hãy nhớ "Mag" là hành động, "Mano" là bàn tay. "Mag-ma-mano" = Sẽ dùng bàn tay (để chào).
Câu thần chú: "Mác và ma ma nơ đi chào ông bà."</t>
  </si>
  <si>
    <t>Yǒngyuǎn duì měi gèrén wéixiào.</t>
  </si>
  <si>
    <t>Magbibigay-pugay: Sẽ tỏ lòng kính trọng / Sẽ chào mừng.
Magpapakita ng galang: Sẽ thể hiện sự tôn trọng.
Mag-aabot ng kamay: Sẽ đưa tay ra (trong ngữ cảnh thực hiện nghi thức).</t>
  </si>
  <si>
    <t>Magbabastos: Sẽ hành xử thô lỗ / vô lễ.
Dideadma: Sẽ phớt lờ / lờ đi (không chào hỏi).
Suwail: Ngỗ nghịch / không tuân thủ lễ nghi.</t>
  </si>
  <si>
    <t>Hãy kiên trì theo đuổi ước mơ.</t>
  </si>
  <si>
    <t>Abutin ang inyong mga pangarap .</t>
  </si>
  <si>
    <t>Phát âm tương tự tiếng Việt: /a-bu-tin/
Cách để nhớ từ đó (Mnemonics):
Liên tưởng "A-Bu-Tin": Hãy tưởng tượng bạn reo lên "A!" khi thấy "Ba" gửi một bức "Tin" nhắn nói rằng bạn đã đạt được (abutin) học bổng.
Hình ảnh "Ăn-Bù-Tin": Bạn phải ăn thật nhiều để bù lại năng lượng nhằm tin rằng mình có thể với tới cành cây cao kia.
Câu thần chú: "A! Ba tin mình sẽ đạt được ước mơ."
---
Phát âm tương tự tiếng Việt: /pa-nga-ráp/
Cách để nhớ từ đó (Mnemonics):
Liên tưởng "Pha-Nga-Ráp": Hãy tưởng tượng bạn đang Pha một ly nước cho cô bạn tên Nga để cô ấy có sức lắp Ráp mô hình thành phố tương lai – đó chính là ước mơ (pangarap) của cô ấy.
Hình ảnh "Ba-Nga-Ráp": Ba và Nga đang cùng nhau lắp ráp những mảnh ghép để hoàn thiện khát vọng lớn lao của gia đình.
Câu thần chú: "Pha cho Nga đồ lắp ráp để thực hiện ước mơ."</t>
  </si>
  <si>
    <t>Makamit: Đạt được, giành được (thành tựu).
Maabot: Với tới được, chạm tới được.
Marating: Đến được, đạt tới (một địa điểm hoặc một cấp độ).
Kunin: Lấy (trong ngữ cảnh với lấy vật gì đó).
---
Layunin: Mục đích, ý định.
Ambisyon: Tham vọng (mượn từ tiếng Anh/Tây Ban Nha "Ambition").
Hangarin: Khát khao, ý nguyện sâu sắc.
Nais: Mong muốn, điều ước.</t>
  </si>
  <si>
    <t>Bitawan: Buông bỏ, thả ra.
Iwanan: Để lại, bỏ lại phía sau.
Mabigo: Thất bại (không đạt được mục tiêu).
Pabayaan: Bỏ mặc, lờ đi.
---
Katotohanan: Sự thật, thực tế (đối lập với mơ mộng).
Realidad: Thực tại (mượn từ "Realidad").
Kawalan ng pag-asa: Sự vô vọng, không có hy vọng.
Bangungot: Ác mộng (nghĩa bóng là sự thất bại thảm hại).</t>
  </si>
  <si>
    <t>Không gì là không thể.</t>
  </si>
  <si>
    <t>Walang imposible .</t>
  </si>
  <si>
    <t>Yīgè wéixiào shèngguò shí jì liángyào.</t>
  </si>
  <si>
    <t>Hãy sống một cuộc đời ý nghĩa.</t>
  </si>
  <si>
    <t>Mamuhay nang may kabuluhan .</t>
  </si>
  <si>
    <t>Phát âm tương tự tiếng Việt: /ca-bu-lu-han/
Cách để nhớ từ đó (Mnemonics):
Liên tưởng "Cả-Bù-Lỗ-Hẳn": Hãy tưởng tượng một dự án kinh doanh bị thất bại, "Cả" đội phải "Bù" một khoản "Lỗ" "Hẳn" hoi thì mới nhận ra ý nghĩa (kabuluhan) của việc chuẩn bị kỹ lưỡng.
Hình ảnh "Ca-Bù-Lu-Hàn": Một người thợ Hàn phải làm thêm Ca Bù và khóc Lu bù vì mệt, nhưng anh ấy hiểu giá trị (kabuluhan) của sức lao động để nuôi gia đình.
Câu thần chú: "Cả đội bù lỗ hẳn để hiểu thấu ý nghĩa dự án."</t>
  </si>
  <si>
    <t>Halaga: Giá trị, tầm quan trọng.
Kahulugan: Ý nghĩa (thường dùng cho nghĩa của từ ngữ hoặc biểu tượng).
Saysay: Giá trị sử dụng, sự hữu ích.
Importansya: Tầm quan trọng (mượn từ tiếng Tây Ban Nha "Importancia").</t>
  </si>
  <si>
    <t>Walang-saysay: Vô nghĩa, không có giá trị.
Walang-kuwenta: Vô giá trị, đồ bỏ đi.
Kawalang-halaga: Sự thiếu giá trị, không quan trọng.</t>
  </si>
  <si>
    <t>Mỗi ngày là một món quà.</t>
  </si>
  <si>
    <t>Ang bawat araw ay isang regalo .</t>
  </si>
  <si>
    <t>Cách để nhớ từ đó (Mnemonics):
Liên tưởng "Rê-Gà-Lô": Hãy tưởng tượng bạn đang Rê (kéo) một con Gà vào một cái Lô đất trống để làm quà tặng (regalo) tân gia cho bạn bè.
Hình ảnh "Rẻ-Ga-Lăng": Bạn mua một món quà tuy Rẻ nhưng lại rất Ga-lăng (lịch thiệp), thể hiện ý nghĩa của một món regalo chân thành.
Câu thần chú: "Rê con gà vào lô làm quà tặng."</t>
  </si>
  <si>
    <t>Xuéhuì kuānshù tārén.</t>
  </si>
  <si>
    <t>Handog: Sự dâng hiến, quà tặng (mang sắc thái trang trọng hơn).
Alaala: Kỷ niệm, vật kỷ niệm (thường dùng làm quà lưu niệm).
Kaloob: Sự ban cho, quà tặng (thường dùng cho các món quà mang tính tinh thần hoặc từ ơn trên).
Pasalubong: Quà mua về sau một chuyến đi (đặc trưng văn hóa Philippines).</t>
  </si>
  <si>
    <t>Bayad: Tiền thanh toán (trái với quà tặng miễn phí).
Utang: Khoản nợ.
Nakaw: Đồ ăn cắp (trái với món quà được tặng hợp pháp).</t>
  </si>
  <si>
    <t>Cháu sẽ tận hưởng từng ngày.</t>
  </si>
  <si>
    <t>Mag-enjoy ako araw-araw .</t>
  </si>
  <si>
    <t>Cháu rất hạnh phúc vì đã học xong!</t>
  </si>
  <si>
    <t>Napakasaya ko dahil tapos na ako !</t>
  </si>
  <si>
    <t>Bùyào gěnggěng yú huái.</t>
  </si>
  <si>
    <t>Cảm ơn bác đã đồng hành cùng cháu!</t>
  </si>
  <si>
    <t>Maraming salamat sa pagsama sa akin !</t>
  </si>
  <si>
    <t>Wǒ huì jǐn wǒ suǒ néng hǎo hào xuéxí.</t>
  </si>
  <si>
    <t>Zhīshì jiùshì lìliàng.</t>
  </si>
  <si>
    <t>Yǒngyuǎn duì zìjǐ chōngmǎn xìnxīn.</t>
  </si>
  <si>
    <t>Wǒ néng zuò dào rènhé shì!</t>
  </si>
  <si>
    <t>Bùyào hàipà fàncuò.</t>
  </si>
  <si>
    <t xml:space="preserve"> Cuòwù néng bāngzhù wǒmen chéngzhǎng.</t>
  </si>
  <si>
    <t>Zhēnxī yǒuyì.</t>
  </si>
  <si>
    <t>Wǒ huì zuò yīgè hǎo péngyǒu.</t>
  </si>
  <si>
    <t>Yǒngyuǎn xìnshǒu chéngnuò.</t>
  </si>
  <si>
    <t>Wǒ shuō dào zuò dào.</t>
  </si>
  <si>
    <t>Yǒnggǎn dì shēnghuó.</t>
  </si>
  <si>
    <t>Bùyào hàipà tiǎozhàn.</t>
  </si>
  <si>
    <t>Yǒngyuǎn bǎochí qiānxùn.</t>
  </si>
  <si>
    <t>Wǒ bù huì àomàn zì dà.</t>
  </si>
  <si>
    <t>Zhēnxī jiārén.</t>
  </si>
  <si>
    <t>Jiārén shì zuì měihǎo de.</t>
  </si>
  <si>
    <t>Yǒngyuǎn duì měi gè rén dōu bīn bīn yǒulǐ.</t>
  </si>
  <si>
    <t>Wǒ huì yīzhí shuō “Mano”(fǎyǔ, yì wèi “nǐ hǎo”).</t>
  </si>
  <si>
    <t>Jiānchí bùxiè de zhuīqiú mèngxiǎng.</t>
  </si>
  <si>
    <t>Méiyǒu shé me shì bù kěnéng de.</t>
  </si>
  <si>
    <t>Huó chū yǒu yìyì de rénshēng.</t>
  </si>
  <si>
    <t>Měi yītiān dū shì yī fèn lǐwù.</t>
  </si>
  <si>
    <t>Wǒ huì xiǎngshòu měi yītiān.</t>
  </si>
  <si>
    <t>Wǒ hěn gāoxìng wánchéngle xuéyè!</t>
  </si>
  <si>
    <t>Xièxiè nǐmen de péibàn!</t>
  </si>
  <si>
    <t>May tulong din ang mga insekto sa kalikasan .</t>
  </si>
  <si>
    <t>May buto ba ang mga insekto ?</t>
  </si>
  <si>
    <t>Nasa tubig ang mga kiti-kiti .</t>
  </si>
  <si>
    <t>Itapon ang mga tubig para walang lamok .</t>
  </si>
  <si>
    <t>Gumagamit ako ng magnifying glass sa mga langgam .</t>
  </si>
  <si>
    <t>Pipi-picture-an ko ang mga sasakyan dito .</t>
  </si>
  <si>
    <t>Ikwento ko ang biyahe ko sa mga friends .</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</si>
</sst>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scheme val="minor"/>
    </font>
    <font>
      <b/>
      <sz val="13"/>
      <color rgb="FF000000"/>
      <name val="Arial"/>
    </font>
    <font>
      <sz val="10"/>
      <color theme="1"/>
      <name val="Arial"/>
    </font>
    <font>
      <b/>
      <sz val="11"/>
      <color theme="1"/>
      <name val="Arial"/>
    </font>
    <font>
      <sz val="11"/>
      <color rgb="FF1F1F1F"/>
      <name val="&quot;Google Sans Text&quot;"/>
    </font>
    <font>
      <sz val="11"/>
      <color theme="1"/>
      <name val="Calibri"/>
      <scheme val="minor"/>
    </font>
    <font>
      <sz val="11"/>
      <color rgb="FF000000"/>
      <name val="Arial"/>
    </font>
    <font>
      <sz val="11"/>
      <color rgb="FFFF0000"/>
      <name val="Arial"/>
    </font>
    <font>
      <sz val="11"/>
      <color theme="1"/>
      <name val="Calibri"/>
    </font>
    <font>
      <sz val="11"/>
      <color theme="1"/>
      <name val="Arial"/>
    </font>
    <font>
      <b/>
      <sz val="13"/>
      <color theme="1"/>
      <name val="Arial"/>
    </font>
    <font>
      <b/>
      <sz val="11"/>
      <color rgb="FF1F1F1F"/>
      <name val="&quot;Google Sans Text&quot;"/>
    </font>
    <font>
      <sz val="13"/>
      <color theme="1"/>
      <name val="Arial"/>
    </font>
    <font>
      <b/>
      <sz val="11"/>
      <color theme="1"/>
      <name val="Calibri"/>
    </font>
    <font>
      <b/>
      <sz val="11"/>
      <color rgb="FFFF0000"/>
      <name val="Arial"/>
    </font>
    <font>
      <b/>
      <sz val="11"/>
      <color rgb="FF1F1F1F"/>
      <name val="Calibri"/>
      <scheme val="minor"/>
    </font>
    <font>
      <b/>
      <sz val="11"/>
      <color rgb="FFFF0000"/>
      <name val="Calibri"/>
      <scheme val="minor"/>
    </font>
    <font>
      <sz val="11"/>
      <color rgb="FF434343"/>
      <name val="Arial"/>
    </font>
    <font>
      <sz val="11"/>
      <color rgb="FFFF0000"/>
      <name val="Calibri"/>
    </font>
    <font>
      <b/>
      <sz val="11"/>
      <color rgb="FFFF0000"/>
      <name val="Calibri"/>
    </font>
    <font>
      <sz val="10"/>
      <color rgb="FFFF0000"/>
      <name val="Arial"/>
    </font>
  </fonts>
  <fills count="8">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D9EAD3"/>
        <bgColor rgb="FFD9EAD3"/>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8">
    <xf numFmtId="0" fontId="0" fillId="0" borderId="0" xfId="0" applyFont="1" applyAlignment="1">
      <alignment vertical="center"/>
    </xf>
    <xf numFmtId="0" fontId="1" fillId="2" borderId="1" xfId="0" applyFont="1" applyFill="1" applyBorder="1" applyAlignment="1">
      <alignment vertical="center"/>
    </xf>
    <xf numFmtId="0" fontId="2" fillId="2" borderId="0" xfId="0" applyFont="1" applyFill="1" applyAlignment="1">
      <alignment horizontal="left" wrapText="1" readingOrder="1"/>
    </xf>
    <xf numFmtId="0" fontId="3" fillId="0" borderId="2" xfId="0" applyFont="1" applyBorder="1" applyAlignment="1">
      <alignment horizontal="left" wrapText="1" readingOrder="1"/>
    </xf>
    <xf numFmtId="0" fontId="3" fillId="0" borderId="0" xfId="0" applyFont="1" applyAlignment="1">
      <alignment horizontal="left" wrapText="1" readingOrder="1"/>
    </xf>
    <xf numFmtId="0" fontId="4" fillId="0" borderId="0" xfId="0" applyFont="1" applyAlignment="1">
      <alignment vertical="center"/>
    </xf>
    <xf numFmtId="0" fontId="5" fillId="0" borderId="0" xfId="0" applyFont="1" applyAlignment="1">
      <alignment vertical="center"/>
    </xf>
    <xf numFmtId="0" fontId="5" fillId="3" borderId="0" xfId="0" applyFont="1" applyFill="1" applyAlignment="1">
      <alignment vertical="center"/>
    </xf>
    <xf numFmtId="0" fontId="4" fillId="0" borderId="0" xfId="0" applyFont="1" applyAlignment="1">
      <alignment vertical="center"/>
    </xf>
    <xf numFmtId="0" fontId="6" fillId="0" borderId="0" xfId="0" applyFont="1" applyAlignment="1">
      <alignment vertical="center" wrapText="1"/>
    </xf>
    <xf numFmtId="0" fontId="5" fillId="0" borderId="0" xfId="0" applyFont="1" applyAlignment="1">
      <alignment vertical="center"/>
    </xf>
    <xf numFmtId="0" fontId="7" fillId="0" borderId="0" xfId="0" applyFont="1" applyAlignment="1">
      <alignment vertical="center" wrapText="1"/>
    </xf>
    <xf numFmtId="0" fontId="8" fillId="2" borderId="1" xfId="0" applyFont="1" applyFill="1" applyBorder="1" applyAlignment="1">
      <alignment vertical="center"/>
    </xf>
    <xf numFmtId="0" fontId="8" fillId="2" borderId="0" xfId="0" applyFont="1" applyFill="1" applyAlignment="1">
      <alignment vertical="center"/>
    </xf>
    <xf numFmtId="0" fontId="3" fillId="2" borderId="2" xfId="0" applyFont="1" applyFill="1" applyBorder="1" applyAlignment="1">
      <alignment horizontal="left" wrapText="1" readingOrder="1"/>
    </xf>
    <xf numFmtId="0" fontId="3" fillId="0" borderId="2" xfId="0" applyFont="1" applyBorder="1" applyAlignment="1">
      <alignment horizontal="left" wrapText="1" readingOrder="1"/>
    </xf>
    <xf numFmtId="0" fontId="3" fillId="0" borderId="0" xfId="0" applyFont="1" applyAlignment="1">
      <alignment horizontal="left" wrapText="1" readingOrder="1"/>
    </xf>
    <xf numFmtId="0" fontId="9" fillId="0" borderId="2" xfId="0" applyFont="1" applyBorder="1" applyAlignment="1">
      <alignment horizontal="left" wrapText="1" readingOrder="1"/>
    </xf>
    <xf numFmtId="0" fontId="9" fillId="0" borderId="0" xfId="0" applyFont="1" applyAlignment="1">
      <alignment horizontal="left" wrapText="1" readingOrder="1"/>
    </xf>
    <xf numFmtId="0" fontId="10" fillId="2" borderId="2" xfId="0" applyFont="1" applyFill="1" applyBorder="1" applyAlignment="1">
      <alignment horizontal="left" wrapText="1" readingOrder="1"/>
    </xf>
    <xf numFmtId="0" fontId="2" fillId="2" borderId="2" xfId="0" applyFont="1" applyFill="1" applyBorder="1" applyAlignment="1">
      <alignment horizontal="left" wrapText="1" readingOrder="1"/>
    </xf>
    <xf numFmtId="0" fontId="3" fillId="4" borderId="2" xfId="0" applyFont="1" applyFill="1" applyBorder="1" applyAlignment="1">
      <alignment horizontal="left" wrapText="1" readingOrder="1"/>
    </xf>
    <xf numFmtId="0" fontId="3" fillId="4" borderId="0" xfId="0" applyFont="1" applyFill="1" applyAlignment="1">
      <alignment horizontal="left" wrapText="1" readingOrder="1"/>
    </xf>
    <xf numFmtId="0" fontId="4" fillId="0" borderId="0" xfId="0" applyFont="1" applyAlignment="1">
      <alignment vertical="center" wrapText="1"/>
    </xf>
    <xf numFmtId="0" fontId="5"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vertical="center"/>
    </xf>
    <xf numFmtId="0" fontId="11" fillId="0" borderId="0" xfId="0" applyFont="1" applyAlignment="1">
      <alignment vertical="center" wrapText="1"/>
    </xf>
    <xf numFmtId="0" fontId="11" fillId="0" borderId="0" xfId="0" applyFont="1" applyAlignment="1">
      <alignment vertical="center"/>
    </xf>
    <xf numFmtId="0" fontId="12" fillId="5" borderId="2" xfId="0" applyFont="1" applyFill="1" applyBorder="1" applyAlignment="1">
      <alignment horizontal="left" wrapText="1" readingOrder="1"/>
    </xf>
    <xf numFmtId="0" fontId="2" fillId="5" borderId="2" xfId="0" applyFont="1" applyFill="1" applyBorder="1" applyAlignment="1">
      <alignment horizontal="left" wrapText="1" readingOrder="1"/>
    </xf>
    <xf numFmtId="0" fontId="2" fillId="5" borderId="0" xfId="0" applyFont="1" applyFill="1" applyAlignment="1">
      <alignment horizontal="left" wrapText="1" readingOrder="1"/>
    </xf>
    <xf numFmtId="0" fontId="2" fillId="5" borderId="0" xfId="0" applyFont="1" applyFill="1" applyAlignment="1">
      <alignment horizontal="left" wrapText="1" readingOrder="1"/>
    </xf>
    <xf numFmtId="0" fontId="5" fillId="0" borderId="0" xfId="0" applyFont="1" applyAlignment="1">
      <alignment vertical="center" wrapText="1"/>
    </xf>
    <xf numFmtId="0" fontId="5" fillId="0" borderId="0" xfId="0" applyFont="1" applyAlignment="1">
      <alignment vertical="center" wrapText="1"/>
    </xf>
    <xf numFmtId="0" fontId="9" fillId="0" borderId="2" xfId="0" applyFont="1" applyBorder="1" applyAlignment="1"/>
    <xf numFmtId="0" fontId="9" fillId="0" borderId="0" xfId="0" applyFont="1" applyAlignment="1"/>
    <xf numFmtId="0" fontId="5" fillId="6" borderId="0" xfId="0" applyFont="1" applyFill="1" applyAlignment="1">
      <alignment vertical="center"/>
    </xf>
    <xf numFmtId="0" fontId="2" fillId="0" borderId="2" xfId="0" applyFont="1" applyBorder="1" applyAlignment="1">
      <alignment horizontal="left" wrapText="1" readingOrder="1"/>
    </xf>
    <xf numFmtId="0" fontId="2" fillId="0" borderId="0" xfId="0" applyFont="1" applyAlignment="1">
      <alignment horizontal="left" wrapText="1" readingOrder="1"/>
    </xf>
    <xf numFmtId="0" fontId="10" fillId="2" borderId="2" xfId="0" applyFont="1" applyFill="1" applyBorder="1" applyAlignment="1"/>
    <xf numFmtId="0" fontId="2" fillId="0" borderId="2" xfId="0" applyFont="1" applyBorder="1" applyAlignment="1">
      <alignment horizontal="left" wrapText="1" readingOrder="1"/>
    </xf>
    <xf numFmtId="0" fontId="2" fillId="0" borderId="0" xfId="0" applyFont="1" applyAlignment="1">
      <alignment horizontal="left" wrapText="1" readingOrder="1"/>
    </xf>
    <xf numFmtId="0" fontId="2" fillId="0" borderId="2" xfId="0" applyFont="1" applyBorder="1" applyAlignment="1"/>
    <xf numFmtId="0" fontId="2" fillId="0" borderId="0" xfId="0" applyFont="1" applyAlignment="1">
      <alignment wrapText="1"/>
    </xf>
    <xf numFmtId="0" fontId="2" fillId="5" borderId="0" xfId="0" applyFont="1" applyFill="1" applyAlignment="1">
      <alignment wrapText="1"/>
    </xf>
    <xf numFmtId="0" fontId="2" fillId="0" borderId="0" xfId="0" applyFont="1" applyAlignment="1"/>
    <xf numFmtId="0" fontId="2" fillId="2" borderId="0" xfId="0" applyFont="1" applyFill="1" applyAlignment="1">
      <alignment wrapText="1"/>
    </xf>
    <xf numFmtId="0" fontId="2" fillId="2" borderId="2" xfId="0" applyFont="1" applyFill="1" applyBorder="1" applyAlignment="1">
      <alignment horizontal="left" wrapText="1" readingOrder="1"/>
    </xf>
    <xf numFmtId="0" fontId="2" fillId="0" borderId="2" xfId="0" applyFont="1" applyBorder="1" applyAlignment="1"/>
    <xf numFmtId="0" fontId="2" fillId="0" borderId="0" xfId="0" applyFont="1" applyAlignment="1">
      <alignment wrapText="1"/>
    </xf>
    <xf numFmtId="0" fontId="2" fillId="7" borderId="0" xfId="0" applyFont="1" applyFill="1" applyAlignment="1"/>
    <xf numFmtId="0" fontId="5" fillId="5" borderId="0" xfId="0" applyFont="1" applyFill="1" applyAlignment="1">
      <alignment vertical="center"/>
    </xf>
    <xf numFmtId="0" fontId="5" fillId="5" borderId="0" xfId="0" applyFont="1" applyFill="1" applyAlignment="1">
      <alignment vertical="center"/>
    </xf>
    <xf numFmtId="0" fontId="13" fillId="2" borderId="1" xfId="0" applyFont="1" applyFill="1" applyBorder="1" applyAlignment="1">
      <alignment vertical="center"/>
    </xf>
    <xf numFmtId="0" fontId="2" fillId="0" borderId="0" xfId="0" applyFont="1" applyAlignment="1">
      <alignment vertical="top" wrapText="1"/>
    </xf>
    <xf numFmtId="0" fontId="3" fillId="3" borderId="0" xfId="0" applyFont="1" applyFill="1" applyAlignment="1">
      <alignment horizontal="left" wrapText="1" readingOrder="1"/>
    </xf>
    <xf numFmtId="0" fontId="4"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14" activePane="bottomLeft" state="frozen"/>
      <selection pane="bottomLeft" activeCell="B3" sqref="B3"/>
    </sheetView>
  </sheetViews>
  <sheetFormatPr defaultColWidth="14.44140625" defaultRowHeight="15" customHeight="1"/>
  <cols>
    <col min="1" max="1" width="44.88671875" customWidth="1"/>
    <col min="2" max="2" width="65.44140625" customWidth="1"/>
    <col min="3" max="3" width="18.44140625" customWidth="1"/>
    <col min="4" max="4" width="65.44140625" customWidth="1"/>
    <col min="5" max="5" width="30.5546875" customWidth="1"/>
  </cols>
  <sheetData>
    <row r="1" spans="1:5" ht="14.25" customHeight="1">
      <c r="A1" s="1" t="s">
        <v>0</v>
      </c>
      <c r="E1" s="2"/>
    </row>
    <row r="2" spans="1:5" ht="14.25" customHeight="1">
      <c r="A2" s="3" t="s">
        <v>1</v>
      </c>
      <c r="B2" s="3" t="s">
        <v>2</v>
      </c>
      <c r="C2" s="4"/>
      <c r="D2" s="4" t="s">
        <v>3</v>
      </c>
      <c r="E2" s="5" t="str">
        <f ca="1">IFERROR(__xludf.DUMMYFUNCTION("FILTER(D1:D1004,D1:D1004&lt;&gt; """")"),"Zǎoshang hǎo.")</f>
        <v>Zǎoshang hǎo.</v>
      </c>
    </row>
    <row r="3" spans="1:5" ht="14.25" customHeight="1">
      <c r="A3" s="3" t="s">
        <v>4</v>
      </c>
      <c r="B3" s="3" t="s">
        <v>5</v>
      </c>
      <c r="C3" s="4"/>
      <c r="D3" s="4"/>
      <c r="E3" s="6" t="str">
        <f ca="1">IFERROR(__xludf.DUMMYFUNCTION("""COMPUTED_VALUE"""),"Xiàwǔ hǎo (zhōngwǔ 12 diǎn).")</f>
        <v>Xiàwǔ hǎo (zhōngwǔ 12 diǎn).</v>
      </c>
    </row>
    <row r="4" spans="1:5" ht="14.25" customHeight="1">
      <c r="A4" s="3" t="s">
        <v>6</v>
      </c>
      <c r="B4" s="3" t="s">
        <v>7</v>
      </c>
      <c r="C4" s="4"/>
      <c r="D4" s="4" t="s">
        <v>8</v>
      </c>
      <c r="E4" s="5" t="str">
        <f ca="1">IFERROR(__xludf.DUMMYFUNCTION("""COMPUTED_VALUE"""),"Xiàwǔ hǎo.")</f>
        <v>Xiàwǔ hǎo.</v>
      </c>
    </row>
    <row r="5" spans="1:5" ht="14.25" customHeight="1">
      <c r="A5" s="3" t="s">
        <v>9</v>
      </c>
      <c r="B5" s="3" t="s">
        <v>10</v>
      </c>
      <c r="C5" s="4"/>
      <c r="D5" s="4"/>
      <c r="E5" s="5" t="str">
        <f ca="1">IFERROR(__xludf.DUMMYFUNCTION("""COMPUTED_VALUE"""),"Wǎnshàng hǎo.")</f>
        <v>Wǎnshàng hǎo.</v>
      </c>
    </row>
    <row r="6" spans="1:5" ht="14.25" customHeight="1">
      <c r="A6" s="3" t="s">
        <v>11</v>
      </c>
      <c r="B6" s="3" t="s">
        <v>12</v>
      </c>
      <c r="C6" s="4"/>
      <c r="D6" s="4" t="s">
        <v>13</v>
      </c>
      <c r="E6" s="5" t="str">
        <f ca="1">IFERROR(__xludf.DUMMYFUNCTION("""COMPUTED_VALUE"""),"Nǐ hǎo ma?")</f>
        <v>Nǐ hǎo ma?</v>
      </c>
    </row>
    <row r="7" spans="1:5" ht="14.25" customHeight="1">
      <c r="A7" s="3" t="s">
        <v>14</v>
      </c>
      <c r="B7" s="3" t="s">
        <v>15</v>
      </c>
      <c r="C7" s="4"/>
      <c r="D7" s="4"/>
      <c r="E7" s="5" t="str">
        <f ca="1">IFERROR(__xludf.DUMMYFUNCTION("""COMPUTED_VALUE"""),"Wǒ hěn hǎo, xièxiè.")</f>
        <v>Wǒ hěn hǎo, xièxiè.</v>
      </c>
    </row>
    <row r="8" spans="1:5" ht="14.25" customHeight="1">
      <c r="A8" s="3" t="s">
        <v>16</v>
      </c>
      <c r="B8" s="3" t="s">
        <v>17</v>
      </c>
      <c r="C8" s="4"/>
      <c r="D8" s="4" t="s">
        <v>18</v>
      </c>
      <c r="E8" s="5" t="str">
        <f ca="1">IFERROR(__xludf.DUMMYFUNCTION("""COMPUTED_VALUE"""),"Nǐ jiào shénme míngzì?")</f>
        <v>Nǐ jiào shénme míngzì?</v>
      </c>
    </row>
    <row r="9" spans="1:5" ht="14.25" customHeight="1">
      <c r="A9" s="3" t="s">
        <v>19</v>
      </c>
      <c r="B9" s="3" t="s">
        <v>20</v>
      </c>
      <c r="C9" s="4"/>
      <c r="D9" s="4"/>
      <c r="E9" s="5" t="str">
        <f ca="1">IFERROR(__xludf.DUMMYFUNCTION("""COMPUTED_VALUE"""),"Wǒ jiào Thanh.")</f>
        <v>Wǒ jiào Thanh.</v>
      </c>
    </row>
    <row r="10" spans="1:5" ht="14.25" customHeight="1">
      <c r="A10" s="3" t="s">
        <v>21</v>
      </c>
      <c r="B10" s="3" t="s">
        <v>22</v>
      </c>
      <c r="C10" s="4"/>
      <c r="D10" s="4" t="s">
        <v>23</v>
      </c>
      <c r="E10" s="5" t="str">
        <f ca="1">IFERROR(__xludf.DUMMYFUNCTION("""COMPUTED_VALUE"""),"Hěn gāoxìng rènshí nǐ.")</f>
        <v>Hěn gāoxìng rènshí nǐ.</v>
      </c>
    </row>
    <row r="11" spans="1:5" ht="14.25" customHeight="1">
      <c r="A11" s="3" t="s">
        <v>24</v>
      </c>
      <c r="B11" s="3" t="s">
        <v>25</v>
      </c>
      <c r="C11" s="4"/>
      <c r="D11" s="4"/>
      <c r="E11" s="5" t="str">
        <f ca="1">IFERROR(__xludf.DUMMYFUNCTION("""COMPUTED_VALUE"""),"Nǐ duōdàle?")</f>
        <v>Nǐ duōdàle?</v>
      </c>
    </row>
    <row r="12" spans="1:5" ht="14.25" customHeight="1">
      <c r="A12" s="3" t="s">
        <v>26</v>
      </c>
      <c r="B12" s="3" t="s">
        <v>27</v>
      </c>
      <c r="C12" s="4"/>
      <c r="D12" s="4" t="s">
        <v>28</v>
      </c>
      <c r="E12" s="6" t="str">
        <f ca="1">IFERROR(__xludf.DUMMYFUNCTION("""COMPUTED_VALUE"""),"Wǒ 10 suì.")</f>
        <v>Wǒ 10 suì.</v>
      </c>
    </row>
    <row r="13" spans="1:5" ht="14.25" customHeight="1">
      <c r="A13" s="3" t="s">
        <v>29</v>
      </c>
      <c r="B13" s="3" t="s">
        <v>30</v>
      </c>
      <c r="C13" s="4"/>
      <c r="D13" s="4"/>
      <c r="E13" s="6" t="str">
        <f ca="1">IFERROR(__xludf.DUMMYFUNCTION("""COMPUTED_VALUE"""),"Nǐ zhù zài nǎlǐ?")</f>
        <v>Nǐ zhù zài nǎlǐ?</v>
      </c>
    </row>
    <row r="14" spans="1:5" ht="14.25" customHeight="1">
      <c r="A14" s="3" t="s">
        <v>31</v>
      </c>
      <c r="B14" s="3" t="s">
        <v>32</v>
      </c>
      <c r="C14" s="4"/>
      <c r="D14" s="4" t="s">
        <v>33</v>
      </c>
      <c r="E14" s="6" t="str">
        <f ca="1">IFERROR(__xludf.DUMMYFUNCTION("""COMPUTED_VALUE"""),"Nǐ láizì nǎlǐ?")</f>
        <v>Nǐ láizì nǎlǐ?</v>
      </c>
    </row>
    <row r="15" spans="1:5" ht="14.25" customHeight="1">
      <c r="A15" s="3" t="s">
        <v>34</v>
      </c>
      <c r="B15" s="3" t="s">
        <v>35</v>
      </c>
      <c r="C15" s="4"/>
      <c r="D15" s="4"/>
      <c r="E15" s="6" t="str">
        <f ca="1">IFERROR(__xludf.DUMMYFUNCTION("""COMPUTED_VALUE"""),"Wǒ láizì yuènán.")</f>
        <v>Wǒ láizì yuènán.</v>
      </c>
    </row>
    <row r="16" spans="1:5" ht="14.25" customHeight="1">
      <c r="A16" s="3" t="s">
        <v>36</v>
      </c>
      <c r="B16" s="3" t="s">
        <v>37</v>
      </c>
      <c r="C16" s="4"/>
      <c r="D16" s="4" t="s">
        <v>38</v>
      </c>
      <c r="E16" s="6" t="str">
        <f ca="1">IFERROR(__xludf.DUMMYFUNCTION("""COMPUTED_VALUE"""),"Nǐ shì fēilǜbīn rén ma?")</f>
        <v>Nǐ shì fēilǜbīn rén ma?</v>
      </c>
    </row>
    <row r="17" spans="1:5" ht="14.25" customHeight="1">
      <c r="A17" s="3" t="s">
        <v>39</v>
      </c>
      <c r="B17" s="3" t="s">
        <v>40</v>
      </c>
      <c r="C17" s="4"/>
      <c r="D17" s="4"/>
      <c r="E17" s="7" t="str">
        <f ca="1">IFERROR(__xludf.DUMMYFUNCTION("""COMPUTED_VALUE"""),"Shì de, méi cuò.")</f>
        <v>Shì de, méi cuò.</v>
      </c>
    </row>
    <row r="18" spans="1:5" ht="14.25" customHeight="1">
      <c r="A18" s="3" t="s">
        <v>41</v>
      </c>
      <c r="B18" s="3" t="s">
        <v>42</v>
      </c>
      <c r="C18" s="4"/>
      <c r="D18" s="4" t="s">
        <v>43</v>
      </c>
      <c r="E18" s="5" t="str">
        <f ca="1">IFERROR(__xludf.DUMMYFUNCTION("""COMPUTED_VALUE"""),"Bùshì.")</f>
        <v>Bùshì.</v>
      </c>
    </row>
    <row r="19" spans="1:5" ht="14.25" customHeight="1">
      <c r="A19" s="3" t="s">
        <v>44</v>
      </c>
      <c r="B19" s="3" t="s">
        <v>45</v>
      </c>
      <c r="C19" s="4"/>
      <c r="D19" s="4"/>
      <c r="E19" s="4" t="str">
        <f ca="1">IFERROR(__xludf.DUMMYFUNCTION("""COMPUTED_VALUE"""),"Nǐ de zhíyè shì shénme?")</f>
        <v>Nǐ de zhíyè shì shénme?</v>
      </c>
    </row>
    <row r="20" spans="1:5" ht="14.25" customHeight="1">
      <c r="A20" s="3" t="s">
        <v>46</v>
      </c>
      <c r="B20" s="3" t="s">
        <v>47</v>
      </c>
      <c r="C20" s="4"/>
      <c r="D20" s="4" t="s">
        <v>48</v>
      </c>
      <c r="E20" s="5" t="str">
        <f ca="1">IFERROR(__xludf.DUMMYFUNCTION("""COMPUTED_VALUE"""),"Wǒ shì yī míng xuéshēng.")</f>
        <v>Wǒ shì yī míng xuéshēng.</v>
      </c>
    </row>
    <row r="21" spans="1:5" ht="14.25" customHeight="1">
      <c r="A21" s="3" t="s">
        <v>49</v>
      </c>
      <c r="B21" s="3" t="s">
        <v>50</v>
      </c>
      <c r="C21" s="4"/>
      <c r="D21" s="4"/>
      <c r="E21" s="6" t="str">
        <f ca="1">IFERROR(__xludf.DUMMYFUNCTION("""COMPUTED_VALUE"""),"Wǒ shì yī míng yóukè.")</f>
        <v>Wǒ shì yī míng yóukè.</v>
      </c>
    </row>
    <row r="22" spans="1:5" ht="14.25" customHeight="1">
      <c r="A22" s="3" t="s">
        <v>51</v>
      </c>
      <c r="B22" s="3" t="s">
        <v>52</v>
      </c>
      <c r="C22" s="4"/>
      <c r="D22" s="4" t="s">
        <v>53</v>
      </c>
      <c r="E22" s="6" t="str">
        <f ca="1">IFERROR(__xludf.DUMMYFUNCTION("""COMPUTED_VALUE"""),"Nǐ huì shuō yīngyǔ ma?")</f>
        <v>Nǐ huì shuō yīngyǔ ma?</v>
      </c>
    </row>
    <row r="23" spans="1:5" ht="14.25" customHeight="1">
      <c r="A23" s="3" t="s">
        <v>54</v>
      </c>
      <c r="B23" s="3" t="s">
        <v>55</v>
      </c>
      <c r="C23" s="4"/>
      <c r="D23" s="4"/>
      <c r="E23" s="6" t="str">
        <f ca="1">IFERROR(__xludf.DUMMYFUNCTION("""COMPUTED_VALUE"""),"Huì yīdiǎn.")</f>
        <v>Huì yīdiǎn.</v>
      </c>
    </row>
    <row r="24" spans="1:5" ht="14.25" customHeight="1">
      <c r="A24" s="3" t="s">
        <v>56</v>
      </c>
      <c r="B24" s="3" t="s">
        <v>57</v>
      </c>
      <c r="C24" s="4"/>
      <c r="D24" s="4" t="s">
        <v>58</v>
      </c>
      <c r="E24" s="6" t="str">
        <f ca="1">IFERROR(__xludf.DUMMYFUNCTION("""COMPUTED_VALUE"""),"Wǒ zhèngzài xuéxí tā jiā lù yǔ.")</f>
        <v>Wǒ zhèngzài xuéxí tā jiā lù yǔ.</v>
      </c>
    </row>
    <row r="25" spans="1:5" ht="14.25" customHeight="1">
      <c r="A25" s="3" t="s">
        <v>59</v>
      </c>
      <c r="B25" s="3" t="s">
        <v>60</v>
      </c>
      <c r="C25" s="4"/>
      <c r="D25" s="4"/>
      <c r="E25" s="6" t="str">
        <f ca="1">IFERROR(__xludf.DUMMYFUNCTION("""COMPUTED_VALUE"""),"Nǐ néng zàishuō yībiàn ma?")</f>
        <v>Nǐ néng zàishuō yībiàn ma?</v>
      </c>
    </row>
    <row r="26" spans="1:5" ht="14.25" customHeight="1">
      <c r="A26" s="3" t="s">
        <v>61</v>
      </c>
      <c r="B26" s="3" t="s">
        <v>62</v>
      </c>
      <c r="C26" s="4"/>
      <c r="D26" s="4" t="s">
        <v>63</v>
      </c>
      <c r="E26" s="6" t="str">
        <f ca="1">IFERROR(__xludf.DUMMYFUNCTION("""COMPUTED_VALUE"""),"Dǎrǎo yīxià.")</f>
        <v>Dǎrǎo yīxià.</v>
      </c>
    </row>
    <row r="27" spans="1:5" ht="14.25" customHeight="1">
      <c r="A27" s="3" t="s">
        <v>64</v>
      </c>
      <c r="B27" s="3" t="s">
        <v>65</v>
      </c>
      <c r="C27" s="4"/>
      <c r="D27" s="4"/>
      <c r="E27" s="6" t="str">
        <f ca="1">IFERROR(__xludf.DUMMYFUNCTION("""COMPUTED_VALUE"""),"Qǐng/bāng bāng wǒ.")</f>
        <v>Qǐng/bāng bāng wǒ.</v>
      </c>
    </row>
    <row r="28" spans="1:5" ht="14.25" customHeight="1">
      <c r="A28" s="3" t="s">
        <v>66</v>
      </c>
      <c r="B28" s="3" t="s">
        <v>67</v>
      </c>
      <c r="C28" s="4"/>
      <c r="D28" s="4" t="s">
        <v>68</v>
      </c>
      <c r="E28" s="6" t="str">
        <f ca="1">IFERROR(__xludf.DUMMYFUNCTION("""COMPUTED_VALUE"""),"Fēicháng gǎnxiè.")</f>
        <v>Fēicháng gǎnxiè.</v>
      </c>
    </row>
    <row r="29" spans="1:5" ht="14.25" customHeight="1">
      <c r="A29" s="3" t="s">
        <v>69</v>
      </c>
      <c r="B29" s="3" t="s">
        <v>70</v>
      </c>
      <c r="C29" s="4"/>
      <c r="D29" s="4"/>
      <c r="E29" s="6" t="str">
        <f ca="1">IFERROR(__xludf.DUMMYFUNCTION("""COMPUTED_VALUE"""),"Bù kèqì.")</f>
        <v>Bù kèqì.</v>
      </c>
    </row>
    <row r="30" spans="1:5" ht="14.25" customHeight="1">
      <c r="A30" s="3" t="s">
        <v>71</v>
      </c>
      <c r="B30" s="3" t="s">
        <v>72</v>
      </c>
      <c r="C30" s="4"/>
      <c r="D30" s="4" t="s">
        <v>73</v>
      </c>
      <c r="E30" s="6" t="str">
        <f ca="1">IFERROR(__xludf.DUMMYFUNCTION("""COMPUTED_VALUE"""),"Zhù nǐ hǎo yùn!")</f>
        <v>Zhù nǐ hǎo yùn!</v>
      </c>
    </row>
    <row r="31" spans="1:5" ht="14.25" customHeight="1">
      <c r="A31" s="3" t="s">
        <v>74</v>
      </c>
      <c r="B31" s="3" t="s">
        <v>75</v>
      </c>
      <c r="C31" s="4"/>
      <c r="D31" s="4"/>
      <c r="E31" s="4" t="str">
        <f ca="1">IFERROR(__xludf.DUMMYFUNCTION("""COMPUTED_VALUE"""),"Bǎozhòng.")</f>
        <v>Bǎozhòng.</v>
      </c>
    </row>
    <row r="32" spans="1:5" ht="14.25" customHeight="1">
      <c r="A32" s="3" t="s">
        <v>76</v>
      </c>
      <c r="B32" s="3" t="s">
        <v>77</v>
      </c>
      <c r="C32" s="4"/>
      <c r="D32" s="4" t="s">
        <v>78</v>
      </c>
      <c r="E32" s="4" t="str">
        <f ca="1">IFERROR(__xludf.DUMMYFUNCTION("""COMPUTED_VALUE"""),"Zàijiàn.")</f>
        <v>Zàijiàn.</v>
      </c>
    </row>
    <row r="33" spans="1:5" ht="14.25" customHeight="1">
      <c r="A33" s="3" t="s">
        <v>79</v>
      </c>
      <c r="B33" s="3" t="s">
        <v>80</v>
      </c>
      <c r="C33" s="4"/>
      <c r="D33" s="4"/>
      <c r="E33" s="4" t="str">
        <f ca="1">IFERROR(__xludf.DUMMYFUNCTION("""COMPUTED_VALUE"""),"Zàijiàn.")</f>
        <v>Zàijiàn.</v>
      </c>
    </row>
    <row r="34" spans="1:5" ht="14.25" customHeight="1">
      <c r="A34" s="3" t="s">
        <v>81</v>
      </c>
      <c r="B34" s="3" t="s">
        <v>82</v>
      </c>
      <c r="C34" s="4"/>
      <c r="D34" s="4" t="s">
        <v>83</v>
      </c>
      <c r="E34" s="4" t="str">
        <f ca="1">IFERROR(__xludf.DUMMYFUNCTION("""COMPUTED_VALUE"""),"Wǎn'ān.")</f>
        <v>Wǎn'ān.</v>
      </c>
    </row>
    <row r="35" spans="1:5" ht="14.25" customHeight="1">
      <c r="A35" s="3" t="s">
        <v>84</v>
      </c>
      <c r="B35" s="3" t="s">
        <v>85</v>
      </c>
      <c r="C35" s="4"/>
      <c r="D35" s="4"/>
      <c r="E35" s="8" t="str">
        <f ca="1">IFERROR(__xludf.DUMMYFUNCTION("""COMPUTED_VALUE"""),"Nǐ yǒu xiōngdì jiěmèi ma?")</f>
        <v>Nǐ yǒu xiōngdì jiěmèi ma?</v>
      </c>
    </row>
    <row r="36" spans="1:5" ht="14.25" customHeight="1">
      <c r="A36" s="3" t="s">
        <v>86</v>
      </c>
      <c r="B36" s="3" t="s">
        <v>87</v>
      </c>
      <c r="C36" s="4"/>
      <c r="D36" s="4" t="s">
        <v>88</v>
      </c>
      <c r="E36" s="5" t="str">
        <f ca="1">IFERROR(__xludf.DUMMYFUNCTION("""COMPUTED_VALUE"""),"Wǒ yǒu gè mèimei.")</f>
        <v>Wǒ yǒu gè mèimei.</v>
      </c>
    </row>
    <row r="37" spans="1:5" ht="14.25" customHeight="1">
      <c r="A37" s="3" t="s">
        <v>89</v>
      </c>
      <c r="B37" s="3" t="s">
        <v>90</v>
      </c>
      <c r="C37" s="4"/>
      <c r="D37" s="4"/>
      <c r="E37" s="8" t="str">
        <f ca="1">IFERROR(__xludf.DUMMYFUNCTION("""COMPUTED_VALUE"""),"Nǐ xǐhuān shénme?")</f>
        <v>Nǐ xǐhuān shénme?</v>
      </c>
    </row>
    <row r="38" spans="1:5" ht="14.25" customHeight="1">
      <c r="A38" s="3" t="s">
        <v>91</v>
      </c>
      <c r="B38" s="3" t="s">
        <v>92</v>
      </c>
      <c r="C38" s="4"/>
      <c r="D38" s="4" t="s">
        <v>93</v>
      </c>
      <c r="E38" s="5" t="str">
        <f ca="1">IFERROR(__xludf.DUMMYFUNCTION("""COMPUTED_VALUE"""),"Wǒ xǐhuān tī zúqiú.")</f>
        <v>Wǒ xǐhuān tī zúqiú.</v>
      </c>
    </row>
    <row r="39" spans="1:5" ht="14.25" customHeight="1">
      <c r="A39" s="3" t="s">
        <v>94</v>
      </c>
      <c r="B39" s="3" t="s">
        <v>95</v>
      </c>
      <c r="C39" s="4"/>
      <c r="D39" s="4"/>
      <c r="E39" s="6" t="str">
        <f ca="1">IFERROR(__xludf.DUMMYFUNCTION("""COMPUTED_VALUE"""),"Nǐ zhēn hǎo.")</f>
        <v>Nǐ zhēn hǎo.</v>
      </c>
    </row>
    <row r="40" spans="1:5" ht="14.25" customHeight="1">
      <c r="A40" s="3" t="s">
        <v>96</v>
      </c>
      <c r="B40" s="3" t="s">
        <v>97</v>
      </c>
      <c r="C40" s="4"/>
      <c r="D40" s="4" t="s">
        <v>98</v>
      </c>
      <c r="E40" s="6" t="str">
        <f ca="1">IFERROR(__xludf.DUMMYFUNCTION("""COMPUTED_VALUE"""),"Nǐ jīntiān zěnme yàng?")</f>
        <v>Nǐ jīntiān zěnme yàng?</v>
      </c>
    </row>
    <row r="41" spans="1:5" ht="14.25" customHeight="1">
      <c r="A41" s="3" t="s">
        <v>99</v>
      </c>
      <c r="B41" s="3" t="s">
        <v>100</v>
      </c>
      <c r="C41" s="4"/>
      <c r="D41" s="4"/>
      <c r="E41" s="5" t="str">
        <f ca="1">IFERROR(__xludf.DUMMYFUNCTION("""COMPUTED_VALUE"""),"Wǒ yǒudiǎn lèi.")</f>
        <v>Wǒ yǒudiǎn lèi.</v>
      </c>
    </row>
    <row r="42" spans="1:5" ht="14.25" customHeight="1">
      <c r="A42" s="3" t="s">
        <v>101</v>
      </c>
      <c r="B42" s="3" t="s">
        <v>102</v>
      </c>
      <c r="C42" s="4"/>
      <c r="D42" s="4" t="s">
        <v>103</v>
      </c>
      <c r="E42" s="4" t="str">
        <f ca="1">IFERROR(__xludf.DUMMYFUNCTION("""COMPUTED_VALUE"""),"Wǒ hěn gāoxìng.")</f>
        <v>Wǒ hěn gāoxìng.</v>
      </c>
    </row>
    <row r="43" spans="1:5" ht="14.25" customHeight="1">
      <c r="A43" s="3" t="s">
        <v>104</v>
      </c>
      <c r="B43" s="3" t="s">
        <v>105</v>
      </c>
      <c r="C43" s="4"/>
      <c r="D43" s="4"/>
      <c r="E43" s="5" t="str">
        <f ca="1">IFERROR(__xludf.DUMMYFUNCTION("""COMPUTED_VALUE"""),"Nǐ míngbái ma?")</f>
        <v>Nǐ míngbái ma?</v>
      </c>
    </row>
    <row r="44" spans="1:5" ht="14.25" customHeight="1">
      <c r="A44" s="3" t="s">
        <v>106</v>
      </c>
      <c r="B44" s="3" t="s">
        <v>107</v>
      </c>
      <c r="C44" s="4"/>
      <c r="D44" s="4" t="s">
        <v>108</v>
      </c>
      <c r="E44" s="4" t="str">
        <f ca="1">IFERROR(__xludf.DUMMYFUNCTION("""COMPUTED_VALUE"""),"Wǒ bù míngbái.")</f>
        <v>Wǒ bù míngbái.</v>
      </c>
    </row>
    <row r="45" spans="1:5" ht="14.25" customHeight="1">
      <c r="A45" s="3" t="s">
        <v>109</v>
      </c>
      <c r="B45" s="3" t="s">
        <v>110</v>
      </c>
      <c r="C45" s="4"/>
      <c r="D45" s="4"/>
      <c r="E45" s="5" t="str">
        <f ca="1">IFERROR(__xludf.DUMMYFUNCTION("""COMPUTED_VALUE"""),"Zhè jiào shénme?")</f>
        <v>Zhè jiào shénme?</v>
      </c>
    </row>
    <row r="46" spans="1:5" ht="14.25" customHeight="1">
      <c r="A46" s="3" t="s">
        <v>111</v>
      </c>
      <c r="B46" s="3" t="s">
        <v>112</v>
      </c>
      <c r="C46" s="4"/>
      <c r="D46" s="4" t="s">
        <v>113</v>
      </c>
      <c r="E46" s="4" t="str">
        <f ca="1">IFERROR(__xludf.DUMMYFUNCTION("""COMPUTED_VALUE"""),"Děng yīxià.")</f>
        <v>Děng yīxià.</v>
      </c>
    </row>
    <row r="47" spans="1:5" ht="14.25" customHeight="1">
      <c r="A47" s="3" t="s">
        <v>114</v>
      </c>
      <c r="B47" s="3" t="s">
        <v>115</v>
      </c>
      <c r="C47" s="4"/>
      <c r="D47" s="4"/>
      <c r="E47" s="4" t="str">
        <f ca="1">IFERROR(__xludf.DUMMYFUNCTION("""COMPUTED_VALUE"""),"Wǒmen zǒu ba!")</f>
        <v>Wǒmen zǒu ba!</v>
      </c>
    </row>
    <row r="48" spans="1:5" ht="14.25" customHeight="1">
      <c r="A48" s="3" t="s">
        <v>116</v>
      </c>
      <c r="B48" s="3" t="s">
        <v>117</v>
      </c>
      <c r="C48" s="4"/>
      <c r="D48" s="4" t="s">
        <v>118</v>
      </c>
      <c r="E48" s="4" t="str">
        <f ca="1">IFERROR(__xludf.DUMMYFUNCTION("""COMPUTED_VALUE"""),"Nǐ zài zhèlǐ duōjiǔle?")</f>
        <v>Nǐ zài zhèlǐ duōjiǔle?</v>
      </c>
    </row>
    <row r="49" spans="1:5" ht="14.25" customHeight="1">
      <c r="A49" s="3" t="s">
        <v>119</v>
      </c>
      <c r="B49" s="3" t="s">
        <v>120</v>
      </c>
      <c r="C49" s="4"/>
      <c r="D49" s="4"/>
      <c r="E49" s="5" t="str">
        <f ca="1">IFERROR(__xludf.DUMMYFUNCTION("""COMPUTED_VALUE"""),"Wǒ gāng dào.")</f>
        <v>Wǒ gāng dào.</v>
      </c>
    </row>
    <row r="50" spans="1:5" ht="14.25" customHeight="1">
      <c r="A50" s="3" t="s">
        <v>121</v>
      </c>
      <c r="B50" s="3" t="s">
        <v>122</v>
      </c>
      <c r="C50" s="4"/>
      <c r="D50" s="4" t="s">
        <v>123</v>
      </c>
      <c r="E50" s="6" t="str">
        <f ca="1">IFERROR(__xludf.DUMMYFUNCTION("""COMPUTED_VALUE"""),"Wǒ zhēn de hěn xǐhuān fēilǜbīn.")</f>
        <v>Wǒ zhēn de hěn xǐhuān fēilǜbīn.</v>
      </c>
    </row>
    <row r="51" spans="1:5" ht="14.25" customHeight="1">
      <c r="A51" s="3" t="s">
        <v>124</v>
      </c>
      <c r="B51" s="3" t="s">
        <v>125</v>
      </c>
      <c r="C51" s="4"/>
      <c r="D51" s="4"/>
      <c r="E51" s="6" t="str">
        <f ca="1">IFERROR(__xludf.DUMMYFUNCTION("""COMPUTED_VALUE"""),"Nǐ shì wǒ de péngyǒu.")</f>
        <v>Nǐ shì wǒ de péngyǒu.</v>
      </c>
    </row>
    <row r="52" spans="1:5" ht="14.25" customHeight="1">
      <c r="A52" s="4"/>
      <c r="B52" s="4"/>
      <c r="C52" s="4"/>
      <c r="D52" s="4" t="s">
        <v>126</v>
      </c>
    </row>
    <row r="53" spans="1:5" ht="14.25" customHeight="1">
      <c r="A53" s="4"/>
      <c r="B53" s="4"/>
      <c r="C53" s="4"/>
      <c r="D53" s="4"/>
      <c r="E53" s="5"/>
    </row>
    <row r="54" spans="1:5" ht="14.25" customHeight="1">
      <c r="A54" s="4"/>
      <c r="B54" s="4"/>
      <c r="C54" s="4"/>
      <c r="D54" s="4" t="s">
        <v>127</v>
      </c>
      <c r="E54" s="5"/>
    </row>
    <row r="55" spans="1:5" ht="14.25" customHeight="1">
      <c r="A55" s="4"/>
      <c r="B55" s="4"/>
      <c r="C55" s="4"/>
      <c r="D55" s="4"/>
      <c r="E55" s="5"/>
    </row>
    <row r="56" spans="1:5" ht="14.25" customHeight="1">
      <c r="A56" s="4"/>
      <c r="B56" s="4"/>
      <c r="C56" s="4"/>
      <c r="D56" s="4" t="s">
        <v>128</v>
      </c>
      <c r="E56" s="5"/>
    </row>
    <row r="57" spans="1:5" ht="14.25" customHeight="1">
      <c r="A57" s="4"/>
      <c r="B57" s="4"/>
      <c r="C57" s="4"/>
      <c r="D57" s="4"/>
      <c r="E57" s="5"/>
    </row>
    <row r="58" spans="1:5" ht="14.25" customHeight="1">
      <c r="A58" s="4"/>
      <c r="B58" s="4"/>
      <c r="C58" s="4"/>
      <c r="D58" s="4" t="s">
        <v>129</v>
      </c>
      <c r="E58" s="5"/>
    </row>
    <row r="59" spans="1:5" ht="14.25" customHeight="1">
      <c r="A59" s="4"/>
      <c r="B59" s="4"/>
      <c r="C59" s="4"/>
      <c r="D59" s="4"/>
      <c r="E59" s="5"/>
    </row>
    <row r="60" spans="1:5" ht="14.25" customHeight="1">
      <c r="A60" s="4"/>
      <c r="B60" s="4"/>
      <c r="C60" s="4"/>
      <c r="D60" s="4" t="s">
        <v>130</v>
      </c>
      <c r="E60" s="5"/>
    </row>
    <row r="61" spans="1:5" ht="14.25" customHeight="1">
      <c r="A61" s="4"/>
      <c r="B61" s="4"/>
      <c r="C61" s="4"/>
      <c r="D61" s="4"/>
      <c r="E61" s="5"/>
    </row>
    <row r="62" spans="1:5" ht="14.25" customHeight="1">
      <c r="A62" s="4"/>
      <c r="B62" s="4"/>
      <c r="C62" s="4"/>
      <c r="D62" s="4" t="s">
        <v>131</v>
      </c>
      <c r="E62" s="5"/>
    </row>
    <row r="63" spans="1:5" ht="14.25" customHeight="1">
      <c r="A63" s="4"/>
      <c r="B63" s="4"/>
      <c r="C63" s="4"/>
      <c r="D63" s="4"/>
      <c r="E63" s="5"/>
    </row>
    <row r="64" spans="1:5" ht="14.25" customHeight="1">
      <c r="A64" s="4"/>
      <c r="B64" s="4"/>
      <c r="C64" s="4"/>
      <c r="D64" s="4" t="s">
        <v>131</v>
      </c>
      <c r="E64" s="5"/>
    </row>
    <row r="65" spans="1:5" ht="14.25" customHeight="1">
      <c r="A65" s="4"/>
      <c r="B65" s="4"/>
      <c r="C65" s="4"/>
      <c r="D65" s="4"/>
      <c r="E65" s="5"/>
    </row>
    <row r="66" spans="1:5" ht="14.25" customHeight="1">
      <c r="A66" s="4"/>
      <c r="B66" s="4"/>
      <c r="C66" s="4"/>
      <c r="D66" s="4" t="s">
        <v>132</v>
      </c>
      <c r="E66" s="5"/>
    </row>
    <row r="67" spans="1:5" ht="14.25" customHeight="1">
      <c r="A67" s="4"/>
      <c r="B67" s="4"/>
      <c r="C67" s="4"/>
      <c r="D67" s="4"/>
      <c r="E67" s="5"/>
    </row>
    <row r="68" spans="1:5" ht="14.25" customHeight="1">
      <c r="A68" s="4"/>
      <c r="B68" s="4"/>
      <c r="C68" s="4"/>
      <c r="D68" s="4" t="s">
        <v>133</v>
      </c>
      <c r="E68" s="5"/>
    </row>
    <row r="69" spans="1:5" ht="14.25" customHeight="1">
      <c r="A69" s="4"/>
      <c r="B69" s="4"/>
      <c r="C69" s="4"/>
      <c r="D69" s="4"/>
      <c r="E69" s="5"/>
    </row>
    <row r="70" spans="1:5" ht="14.25" customHeight="1">
      <c r="A70" s="4"/>
      <c r="B70" s="4"/>
      <c r="C70" s="4"/>
      <c r="D70" s="4" t="s">
        <v>134</v>
      </c>
      <c r="E70" s="5"/>
    </row>
    <row r="71" spans="1:5" ht="14.25" customHeight="1">
      <c r="A71" s="4"/>
      <c r="B71" s="4"/>
      <c r="C71" s="4"/>
      <c r="D71" s="4"/>
      <c r="E71" s="5"/>
    </row>
    <row r="72" spans="1:5" ht="14.25" customHeight="1">
      <c r="A72" s="4"/>
      <c r="B72" s="4"/>
      <c r="C72" s="4"/>
      <c r="D72" s="4" t="s">
        <v>135</v>
      </c>
      <c r="E72" s="5"/>
    </row>
    <row r="73" spans="1:5" ht="14.25" customHeight="1">
      <c r="A73" s="4"/>
      <c r="B73" s="4"/>
      <c r="C73" s="4"/>
      <c r="D73" s="4"/>
      <c r="E73" s="5"/>
    </row>
    <row r="74" spans="1:5" ht="14.25" customHeight="1">
      <c r="A74" s="4"/>
      <c r="B74" s="4"/>
      <c r="C74" s="4"/>
      <c r="D74" s="4" t="s">
        <v>136</v>
      </c>
      <c r="E74" s="5"/>
    </row>
    <row r="75" spans="1:5" ht="14.25" customHeight="1">
      <c r="A75" s="4"/>
      <c r="B75" s="4"/>
      <c r="C75" s="4"/>
      <c r="D75" s="4"/>
      <c r="E75" s="5"/>
    </row>
    <row r="76" spans="1:5" ht="14.25" customHeight="1">
      <c r="A76" s="4"/>
      <c r="B76" s="4"/>
      <c r="C76" s="4"/>
      <c r="D76" s="4" t="s">
        <v>137</v>
      </c>
      <c r="E76" s="5"/>
    </row>
    <row r="77" spans="1:5" ht="14.25" customHeight="1">
      <c r="A77" s="4"/>
      <c r="B77" s="4"/>
      <c r="C77" s="4"/>
      <c r="D77" s="4"/>
      <c r="E77" s="5"/>
    </row>
    <row r="78" spans="1:5" ht="14.25" customHeight="1">
      <c r="A78" s="4"/>
      <c r="B78" s="4"/>
      <c r="C78" s="4"/>
      <c r="D78" s="4" t="s">
        <v>138</v>
      </c>
      <c r="E78" s="5"/>
    </row>
    <row r="79" spans="1:5" ht="14.25" customHeight="1">
      <c r="A79" s="4"/>
      <c r="B79" s="4"/>
      <c r="C79" s="4"/>
      <c r="D79" s="4"/>
      <c r="E79" s="5"/>
    </row>
    <row r="80" spans="1:5" ht="14.25" customHeight="1">
      <c r="A80" s="4"/>
      <c r="B80" s="4"/>
      <c r="C80" s="4"/>
      <c r="D80" s="4" t="s">
        <v>139</v>
      </c>
      <c r="E80" s="5"/>
    </row>
    <row r="81" spans="1:5" ht="14.25" customHeight="1">
      <c r="A81" s="4"/>
      <c r="B81" s="4"/>
      <c r="C81" s="4"/>
      <c r="D81" s="4"/>
      <c r="E81" s="5"/>
    </row>
    <row r="82" spans="1:5" ht="14.25" customHeight="1">
      <c r="A82" s="4"/>
      <c r="B82" s="4"/>
      <c r="C82" s="4"/>
      <c r="D82" s="4" t="s">
        <v>140</v>
      </c>
      <c r="E82" s="5"/>
    </row>
    <row r="83" spans="1:5" ht="14.25" customHeight="1">
      <c r="A83" s="4"/>
      <c r="B83" s="4"/>
      <c r="C83" s="4"/>
      <c r="D83" s="4"/>
      <c r="E83" s="5"/>
    </row>
    <row r="84" spans="1:5" ht="14.25" customHeight="1">
      <c r="A84" s="4"/>
      <c r="B84" s="4"/>
      <c r="C84" s="4"/>
      <c r="D84" s="4" t="s">
        <v>141</v>
      </c>
      <c r="E84" s="5"/>
    </row>
    <row r="85" spans="1:5" ht="14.25" customHeight="1">
      <c r="A85" s="4"/>
      <c r="B85" s="4"/>
      <c r="C85" s="4"/>
      <c r="D85" s="4"/>
      <c r="E85" s="5"/>
    </row>
    <row r="86" spans="1:5" ht="14.25" customHeight="1">
      <c r="A86" s="4"/>
      <c r="B86" s="4"/>
      <c r="C86" s="4"/>
      <c r="D86" s="4" t="s">
        <v>142</v>
      </c>
      <c r="E86" s="5"/>
    </row>
    <row r="87" spans="1:5" ht="14.25" customHeight="1">
      <c r="A87" s="4"/>
      <c r="B87" s="4"/>
      <c r="C87" s="4"/>
      <c r="D87" s="4"/>
      <c r="E87" s="5"/>
    </row>
    <row r="88" spans="1:5" ht="14.25" customHeight="1">
      <c r="A88" s="4"/>
      <c r="B88" s="4"/>
      <c r="C88" s="4"/>
      <c r="D88" s="4" t="s">
        <v>143</v>
      </c>
      <c r="E88" s="5"/>
    </row>
    <row r="89" spans="1:5" ht="14.25" customHeight="1">
      <c r="A89" s="4"/>
      <c r="B89" s="4"/>
      <c r="C89" s="4"/>
      <c r="D89" s="4"/>
      <c r="E89" s="5"/>
    </row>
    <row r="90" spans="1:5" ht="14.25" customHeight="1">
      <c r="A90" s="4"/>
      <c r="B90" s="4"/>
      <c r="C90" s="4"/>
      <c r="D90" s="4" t="s">
        <v>144</v>
      </c>
      <c r="E90" s="5"/>
    </row>
    <row r="91" spans="1:5" ht="14.25" customHeight="1">
      <c r="A91" s="4"/>
      <c r="B91" s="4"/>
      <c r="C91" s="4"/>
      <c r="D91" s="4"/>
      <c r="E91" s="5"/>
    </row>
    <row r="92" spans="1:5" ht="14.25" customHeight="1">
      <c r="A92" s="4"/>
      <c r="B92" s="4"/>
      <c r="C92" s="4"/>
      <c r="D92" s="4" t="s">
        <v>145</v>
      </c>
      <c r="E92" s="5"/>
    </row>
    <row r="93" spans="1:5" ht="14.25" customHeight="1">
      <c r="A93" s="4"/>
      <c r="B93" s="4"/>
      <c r="C93" s="4"/>
      <c r="D93" s="4"/>
      <c r="E93" s="5"/>
    </row>
    <row r="94" spans="1:5" ht="14.25" customHeight="1">
      <c r="A94" s="4"/>
      <c r="B94" s="4"/>
      <c r="C94" s="4"/>
      <c r="D94" s="4" t="s">
        <v>146</v>
      </c>
      <c r="E94" s="5"/>
    </row>
    <row r="95" spans="1:5" ht="14.25" customHeight="1">
      <c r="A95" s="4"/>
      <c r="B95" s="4"/>
      <c r="C95" s="4"/>
      <c r="D95" s="4"/>
      <c r="E95" s="5"/>
    </row>
    <row r="96" spans="1:5" ht="14.25" customHeight="1">
      <c r="A96" s="4"/>
      <c r="B96" s="4"/>
      <c r="C96" s="4"/>
      <c r="D96" s="4" t="s">
        <v>147</v>
      </c>
      <c r="E96" s="5"/>
    </row>
    <row r="97" spans="1:5" ht="14.25" customHeight="1">
      <c r="A97" s="4"/>
      <c r="B97" s="4"/>
      <c r="C97" s="4"/>
      <c r="D97" s="4"/>
      <c r="E97" s="5"/>
    </row>
    <row r="98" spans="1:5" ht="14.25" customHeight="1">
      <c r="A98" s="4"/>
      <c r="B98" s="4"/>
      <c r="C98" s="4"/>
      <c r="D98" s="4" t="s">
        <v>148</v>
      </c>
      <c r="E98" s="5"/>
    </row>
    <row r="99" spans="1:5" ht="14.25" customHeight="1">
      <c r="A99" s="4"/>
      <c r="B99" s="4"/>
      <c r="C99" s="4"/>
      <c r="D99" s="4"/>
      <c r="E99" s="5"/>
    </row>
    <row r="100" spans="1:5" ht="14.25" customHeight="1">
      <c r="A100" s="4"/>
      <c r="B100" s="4"/>
      <c r="C100" s="4"/>
      <c r="D100" s="4" t="s">
        <v>149</v>
      </c>
      <c r="E100" s="5"/>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35" customWidth="1"/>
    <col min="2" max="4" width="38.33203125" customWidth="1"/>
    <col min="5" max="5" width="30.5546875" customWidth="1"/>
  </cols>
  <sheetData>
    <row r="1" spans="1:5" ht="14.25" customHeight="1">
      <c r="A1" s="1" t="s">
        <v>150</v>
      </c>
      <c r="E1" s="2"/>
    </row>
    <row r="2" spans="1:5" ht="14.25" customHeight="1">
      <c r="A2" s="9" t="s">
        <v>151</v>
      </c>
      <c r="B2" s="10" t="s">
        <v>152</v>
      </c>
      <c r="C2" s="10"/>
      <c r="D2" s="10" t="s">
        <v>153</v>
      </c>
      <c r="E2" s="5" t="str">
        <f ca="1">IFERROR(__xludf.DUMMYFUNCTION("FILTER(D1:D1004,D1:D1004&lt;&gt; """")"),"Wǒ hǎo è.")</f>
        <v>Wǒ hǎo è.</v>
      </c>
    </row>
    <row r="3" spans="1:5" ht="14.25" customHeight="1">
      <c r="A3" s="9" t="s">
        <v>154</v>
      </c>
      <c r="B3" s="10" t="s">
        <v>155</v>
      </c>
      <c r="C3" s="10"/>
      <c r="D3" s="10"/>
      <c r="E3" s="6" t="str">
        <f ca="1">IFERROR(__xludf.DUMMYFUNCTION("""COMPUTED_VALUE"""),"Wǒ kěle.")</f>
        <v>Wǒ kěle.</v>
      </c>
    </row>
    <row r="4" spans="1:5" ht="14.25" customHeight="1">
      <c r="A4" s="11" t="s">
        <v>156</v>
      </c>
      <c r="B4" s="10" t="s">
        <v>157</v>
      </c>
      <c r="C4" s="10"/>
      <c r="D4" s="10" t="s">
        <v>158</v>
      </c>
      <c r="E4" s="5" t="str">
        <f ca="1">IFERROR(__xludf.DUMMYFUNCTION("""COMPUTED_VALUE"""),"Wǒmen chīfàn ba!")</f>
        <v>Wǒmen chīfàn ba!</v>
      </c>
    </row>
    <row r="5" spans="1:5" ht="14.25" customHeight="1">
      <c r="A5" s="9" t="s">
        <v>159</v>
      </c>
      <c r="B5" s="10" t="s">
        <v>160</v>
      </c>
      <c r="C5" s="10"/>
      <c r="D5" s="10"/>
      <c r="E5" s="5" t="str">
        <f ca="1">IFERROR(__xludf.DUMMYFUNCTION("""COMPUTED_VALUE"""),"Nǐ xiǎng chī shénme?")</f>
        <v>Nǐ xiǎng chī shénme?</v>
      </c>
    </row>
    <row r="6" spans="1:5" ht="14.25" customHeight="1">
      <c r="A6" s="9" t="s">
        <v>161</v>
      </c>
      <c r="B6" s="10" t="s">
        <v>162</v>
      </c>
      <c r="C6" s="10"/>
      <c r="D6" s="10" t="s">
        <v>163</v>
      </c>
      <c r="E6" s="5" t="str">
        <f ca="1">IFERROR(__xludf.DUMMYFUNCTION("""COMPUTED_VALUE"""),"Gěi wǒ kàn kàn càidān.")</f>
        <v>Gěi wǒ kàn kàn càidān.</v>
      </c>
    </row>
    <row r="7" spans="1:5" ht="14.25" customHeight="1">
      <c r="A7" s="9" t="s">
        <v>164</v>
      </c>
      <c r="B7" s="10" t="s">
        <v>165</v>
      </c>
      <c r="C7" s="10"/>
      <c r="D7" s="10"/>
      <c r="E7" s="5" t="str">
        <f ca="1">IFERROR(__xludf.DUMMYFUNCTION("""COMPUTED_VALUE"""),"Zhè shì shénme cài?")</f>
        <v>Zhè shì shénme cài?</v>
      </c>
    </row>
    <row r="8" spans="1:5" ht="14.25" customHeight="1">
      <c r="A8" s="9" t="s">
        <v>166</v>
      </c>
      <c r="B8" s="10" t="s">
        <v>167</v>
      </c>
      <c r="C8" s="10"/>
      <c r="D8" s="10" t="s">
        <v>168</v>
      </c>
      <c r="E8" s="5" t="str">
        <f ca="1">IFERROR(__xludf.DUMMYFUNCTION("""COMPUTED_VALUE"""),"Gěi wǒ yī pán mǐfàn.")</f>
        <v>Gěi wǒ yī pán mǐfàn.</v>
      </c>
    </row>
    <row r="9" spans="1:5" ht="14.25" customHeight="1">
      <c r="A9" s="9" t="s">
        <v>169</v>
      </c>
      <c r="B9" s="10" t="s">
        <v>170</v>
      </c>
      <c r="C9" s="10"/>
      <c r="D9" s="10"/>
      <c r="E9" s="5" t="str">
        <f ca="1">IFERROR(__xludf.DUMMYFUNCTION("""COMPUTED_VALUE"""),"Wǒ yào zhá jī.")</f>
        <v>Wǒ yào zhá jī.</v>
      </c>
    </row>
    <row r="10" spans="1:5" ht="14.25" customHeight="1">
      <c r="A10" s="9" t="s">
        <v>171</v>
      </c>
      <c r="B10" s="10" t="s">
        <v>172</v>
      </c>
      <c r="C10" s="10"/>
      <c r="D10" s="10" t="s">
        <v>173</v>
      </c>
      <c r="E10" s="5" t="str">
        <f ca="1">IFERROR(__xludf.DUMMYFUNCTION("""COMPUTED_VALUE"""),"Zhège là ma?")</f>
        <v>Zhège là ma?</v>
      </c>
    </row>
    <row r="11" spans="1:5" ht="14.25" customHeight="1">
      <c r="A11" s="9" t="s">
        <v>174</v>
      </c>
      <c r="B11" s="10" t="s">
        <v>175</v>
      </c>
      <c r="C11" s="10"/>
      <c r="D11" s="10"/>
      <c r="E11" s="5" t="str">
        <f ca="1">IFERROR(__xludf.DUMMYFUNCTION("""COMPUTED_VALUE"""),"Bù là, xièxiè.")</f>
        <v>Bù là, xièxiè.</v>
      </c>
    </row>
    <row r="12" spans="1:5" ht="14.25" customHeight="1">
      <c r="A12" s="9" t="s">
        <v>176</v>
      </c>
      <c r="B12" s="10" t="s">
        <v>177</v>
      </c>
      <c r="C12" s="10"/>
      <c r="D12" s="10" t="s">
        <v>178</v>
      </c>
      <c r="E12" s="6" t="str">
        <f ca="1">IFERROR(__xludf.DUMMYFUNCTION("""COMPUTED_VALUE"""),"Hào chī!")</f>
        <v>Hào chī!</v>
      </c>
    </row>
    <row r="13" spans="1:5" ht="14.25" customHeight="1">
      <c r="A13" s="9" t="s">
        <v>179</v>
      </c>
      <c r="B13" s="10" t="s">
        <v>180</v>
      </c>
      <c r="C13" s="10"/>
      <c r="D13" s="10"/>
      <c r="E13" s="6" t="str">
        <f ca="1">IFERROR(__xludf.DUMMYFUNCTION("""COMPUTED_VALUE"""),"Tài hào chīle! ")</f>
        <v xml:space="preserve">Tài hào chīle! </v>
      </c>
    </row>
    <row r="14" spans="1:5" ht="14.25" customHeight="1">
      <c r="A14" s="9" t="s">
        <v>181</v>
      </c>
      <c r="B14" s="10" t="s">
        <v>182</v>
      </c>
      <c r="C14" s="10"/>
      <c r="D14" s="10" t="s">
        <v>183</v>
      </c>
      <c r="E14" s="6" t="str">
        <f ca="1">IFERROR(__xludf.DUMMYFUNCTION("""COMPUTED_VALUE"""),"Wǒ kěyǐ yào yībēi shuǐ ma?")</f>
        <v>Wǒ kěyǐ yào yībēi shuǐ ma?</v>
      </c>
    </row>
    <row r="15" spans="1:5" ht="14.25" customHeight="1">
      <c r="A15" s="9" t="s">
        <v>184</v>
      </c>
      <c r="B15" s="10" t="s">
        <v>185</v>
      </c>
      <c r="C15" s="10"/>
      <c r="D15" s="10"/>
      <c r="E15" s="6" t="str">
        <f ca="1">IFERROR(__xludf.DUMMYFUNCTION("""COMPUTED_VALUE"""),"Shuǐ háishì bīng shuǐ?")</f>
        <v>Shuǐ háishì bīng shuǐ?</v>
      </c>
    </row>
    <row r="16" spans="1:5" ht="14.25" customHeight="1">
      <c r="A16" s="9" t="s">
        <v>186</v>
      </c>
      <c r="B16" s="10" t="s">
        <v>187</v>
      </c>
      <c r="C16" s="10"/>
      <c r="D16" s="10" t="s">
        <v>188</v>
      </c>
      <c r="E16" s="6" t="str">
        <f ca="1">IFERROR(__xludf.DUMMYFUNCTION("""COMPUTED_VALUE"""),"Qǐng jiādiǎn bīng.")</f>
        <v>Qǐng jiādiǎn bīng.</v>
      </c>
    </row>
    <row r="17" spans="1:5" ht="14.25" customHeight="1">
      <c r="A17" s="9" t="s">
        <v>189</v>
      </c>
      <c r="B17" s="10" t="s">
        <v>190</v>
      </c>
      <c r="C17" s="10"/>
      <c r="D17" s="10"/>
      <c r="E17" s="7" t="str">
        <f ca="1">IFERROR(__xludf.DUMMYFUNCTION("""COMPUTED_VALUE"""),"Wǒ duì huāshēng guòmǐn.")</f>
        <v>Wǒ duì huāshēng guòmǐn.</v>
      </c>
    </row>
    <row r="18" spans="1:5" ht="14.25" customHeight="1">
      <c r="A18" s="9" t="s">
        <v>191</v>
      </c>
      <c r="B18" s="10" t="s">
        <v>192</v>
      </c>
      <c r="C18" s="10"/>
      <c r="D18" s="10" t="s">
        <v>193</v>
      </c>
      <c r="E18" s="5" t="str">
        <f ca="1">IFERROR(__xludf.DUMMYFUNCTION("""COMPUTED_VALUE"""),"Wǒ bùnéng chī zhūròu. ")</f>
        <v xml:space="preserve">Wǒ bùnéng chī zhūròu. </v>
      </c>
    </row>
    <row r="19" spans="1:5" ht="14.25" customHeight="1">
      <c r="A19" s="9" t="s">
        <v>194</v>
      </c>
      <c r="B19" s="10" t="s">
        <v>195</v>
      </c>
      <c r="C19" s="10"/>
      <c r="D19" s="10"/>
      <c r="E19" s="4" t="str">
        <f ca="1">IFERROR(__xludf.DUMMYFUNCTION("""COMPUTED_VALUE"""),"Zhège duōshǎo qián? ")</f>
        <v xml:space="preserve">Zhège duōshǎo qián? </v>
      </c>
    </row>
    <row r="20" spans="1:5" ht="14.25" customHeight="1">
      <c r="A20" s="9" t="s">
        <v>196</v>
      </c>
      <c r="B20" s="12" t="s">
        <v>197</v>
      </c>
      <c r="C20" s="13"/>
      <c r="D20" s="13" t="s">
        <v>198</v>
      </c>
      <c r="E20" s="5" t="str">
        <f ca="1">IFERROR(__xludf.DUMMYFUNCTION("""COMPUTED_VALUE"""),"Qǐng bāng wǒ suàn yīxià.")</f>
        <v>Qǐng bāng wǒ suàn yīxià.</v>
      </c>
    </row>
    <row r="21" spans="1:5" ht="14.25" customHeight="1">
      <c r="A21" s="9" t="s">
        <v>199</v>
      </c>
      <c r="B21" s="12" t="s">
        <v>200</v>
      </c>
      <c r="C21" s="13"/>
      <c r="D21" s="13"/>
      <c r="E21" s="6" t="str">
        <f ca="1">IFERROR(__xludf.DUMMYFUNCTION("""COMPUTED_VALUE"""),"Wǒ yào dǎbāo dài zǒu.")</f>
        <v>Wǒ yào dǎbāo dài zǒu.</v>
      </c>
    </row>
    <row r="22" spans="1:5" ht="14.25" customHeight="1">
      <c r="A22" s="9" t="s">
        <v>201</v>
      </c>
      <c r="B22" s="10" t="s">
        <v>202</v>
      </c>
      <c r="C22" s="10"/>
      <c r="D22" s="10" t="s">
        <v>203</v>
      </c>
      <c r="E22" s="6" t="str">
        <f ca="1">IFERROR(__xludf.DUMMYFUNCTION("""COMPUTED_VALUE"""),"Zài zhèlǐ chī ba. ")</f>
        <v xml:space="preserve">Zài zhèlǐ chī ba. </v>
      </c>
    </row>
    <row r="23" spans="1:5" ht="14.25" customHeight="1">
      <c r="A23" s="9" t="s">
        <v>204</v>
      </c>
      <c r="B23" s="10" t="s">
        <v>205</v>
      </c>
      <c r="C23" s="10"/>
      <c r="D23" s="10"/>
      <c r="E23" s="6" t="str">
        <f ca="1">IFERROR(__xludf.DUMMYFUNCTION("""COMPUTED_VALUE"""),"Zhù nín yòngcān yúkuài!")</f>
        <v>Zhù nín yòngcān yúkuài!</v>
      </c>
    </row>
    <row r="24" spans="1:5" ht="14.25" customHeight="1">
      <c r="A24" s="9" t="s">
        <v>206</v>
      </c>
      <c r="B24" s="10" t="s">
        <v>207</v>
      </c>
      <c r="C24" s="10"/>
      <c r="D24" s="10" t="s">
        <v>208</v>
      </c>
      <c r="E24" s="6" t="str">
        <f ca="1">IFERROR(__xludf.DUMMYFUNCTION("""COMPUTED_VALUE"""),"Wǒ chī bǎole.")</f>
        <v>Wǒ chī bǎole.</v>
      </c>
    </row>
    <row r="25" spans="1:5" ht="14.25" customHeight="1">
      <c r="A25" s="9" t="s">
        <v>209</v>
      </c>
      <c r="B25" s="10" t="s">
        <v>210</v>
      </c>
      <c r="C25" s="10"/>
      <c r="D25" s="10" t="s">
        <v>211</v>
      </c>
      <c r="E25" s="6" t="str">
        <f ca="1">IFERROR(__xludf.DUMMYFUNCTION("""COMPUTED_VALUE"""),"Wǒ yào kāfēi.")</f>
        <v>Wǒ yào kāfēi.</v>
      </c>
    </row>
    <row r="26" spans="1:5" ht="14.25" customHeight="1">
      <c r="A26" s="9" t="s">
        <v>212</v>
      </c>
      <c r="B26" s="10" t="s">
        <v>213</v>
      </c>
      <c r="C26" s="10"/>
      <c r="D26" s="10" t="s">
        <v>214</v>
      </c>
      <c r="E26" s="6" t="str">
        <f ca="1">IFERROR(__xludf.DUMMYFUNCTION("""COMPUTED_VALUE""")," Shǎo táng, xièxiè. ")</f>
        <v xml:space="preserve"> Shǎo táng, xièxiè. </v>
      </c>
    </row>
    <row r="27" spans="1:5" ht="14.25" customHeight="1">
      <c r="A27" s="9" t="s">
        <v>215</v>
      </c>
      <c r="B27" s="10" t="s">
        <v>216</v>
      </c>
      <c r="C27" s="10"/>
      <c r="D27" s="10"/>
      <c r="E27" s="6" t="str">
        <f ca="1">IFERROR(__xludf.DUMMYFUNCTION("""COMPUTED_VALUE"""),"Wǒ kěyǐ yào sháozǐ ma?")</f>
        <v>Wǒ kěyǐ yào sháozǐ ma?</v>
      </c>
    </row>
    <row r="28" spans="1:5" ht="14.25" customHeight="1">
      <c r="A28" s="9" t="s">
        <v>217</v>
      </c>
      <c r="B28" s="10" t="s">
        <v>218</v>
      </c>
      <c r="C28" s="10"/>
      <c r="D28" s="10" t="s">
        <v>219</v>
      </c>
      <c r="E28" s="6" t="str">
        <f ca="1">IFERROR(__xludf.DUMMYFUNCTION("""COMPUTED_VALUE"""),"Wǒ kěyǐ yào chāzǐ ma?")</f>
        <v>Wǒ kěyǐ yào chāzǐ ma?</v>
      </c>
    </row>
    <row r="29" spans="1:5" ht="14.25" customHeight="1">
      <c r="A29" s="9" t="s">
        <v>220</v>
      </c>
      <c r="B29" s="10" t="s">
        <v>221</v>
      </c>
      <c r="C29" s="10"/>
      <c r="D29" s="10"/>
      <c r="E29" s="6" t="str">
        <f ca="1">IFERROR(__xludf.DUMMYFUNCTION("""COMPUTED_VALUE""")," Zhèlǐ méiyǒu kuàizǐ ma?")</f>
        <v xml:space="preserve"> Zhèlǐ méiyǒu kuàizǐ ma?</v>
      </c>
    </row>
    <row r="30" spans="1:5" ht="14.25" customHeight="1">
      <c r="A30" s="9" t="s">
        <v>222</v>
      </c>
      <c r="B30" s="10" t="s">
        <v>223</v>
      </c>
      <c r="C30" s="10"/>
      <c r="D30" s="10" t="s">
        <v>224</v>
      </c>
      <c r="E30" s="6" t="str">
        <f ca="1">IFERROR(__xludf.DUMMYFUNCTION("""COMPUTED_VALUE""")," Xǐshǒujiān zài nǎlǐ?")</f>
        <v xml:space="preserve"> Xǐshǒujiān zài nǎlǐ?</v>
      </c>
    </row>
    <row r="31" spans="1:5" ht="14.25" customHeight="1">
      <c r="A31" s="9" t="s">
        <v>225</v>
      </c>
      <c r="B31" s="10" t="s">
        <v>226</v>
      </c>
      <c r="C31" s="10"/>
      <c r="D31" s="10"/>
      <c r="E31" s="4" t="str">
        <f ca="1">IFERROR(__xludf.DUMMYFUNCTION("""COMPUTED_VALUE""")," Zǎocān chī shénme?")</f>
        <v xml:space="preserve"> Zǎocān chī shénme?</v>
      </c>
    </row>
    <row r="32" spans="1:5" ht="14.25" customHeight="1">
      <c r="A32" s="9" t="s">
        <v>227</v>
      </c>
      <c r="B32" s="10" t="s">
        <v>228</v>
      </c>
      <c r="C32" s="10"/>
      <c r="D32" s="10" t="s">
        <v>229</v>
      </c>
      <c r="E32" s="4" t="str">
        <f ca="1">IFERROR(__xludf.DUMMYFUNCTION("""COMPUTED_VALUE""")," Wǔcān chī shénme? ")</f>
        <v xml:space="preserve"> Wǔcān chī shénme? </v>
      </c>
    </row>
    <row r="33" spans="1:5" ht="14.25" customHeight="1">
      <c r="A33" s="9" t="s">
        <v>230</v>
      </c>
      <c r="B33" s="10" t="s">
        <v>231</v>
      </c>
      <c r="C33" s="10"/>
      <c r="D33" s="10" t="s">
        <v>232</v>
      </c>
      <c r="E33" s="4" t="str">
        <f ca="1">IFERROR(__xludf.DUMMYFUNCTION("""COMPUTED_VALUE"""),"Wǎncān hěn bàng.")</f>
        <v>Wǎncān hěn bàng.</v>
      </c>
    </row>
    <row r="34" spans="1:5" ht="14.25" customHeight="1">
      <c r="A34" s="9" t="s">
        <v>233</v>
      </c>
      <c r="B34" s="10" t="s">
        <v>234</v>
      </c>
      <c r="C34" s="10"/>
      <c r="D34" s="10" t="s">
        <v>235</v>
      </c>
      <c r="E34" s="4" t="str">
        <f ca="1">IFERROR(__xludf.DUMMYFUNCTION("""COMPUTED_VALUE""")," Wǒ xǐhuān shuǐguǒ.")</f>
        <v xml:space="preserve"> Wǒ xǐhuān shuǐguǒ.</v>
      </c>
    </row>
    <row r="35" spans="1:5" ht="14.25" customHeight="1">
      <c r="A35" s="9" t="s">
        <v>236</v>
      </c>
      <c r="B35" s="10" t="s">
        <v>237</v>
      </c>
      <c r="C35" s="10"/>
      <c r="D35" s="10" t="s">
        <v>238</v>
      </c>
      <c r="E35" s="8" t="str">
        <f ca="1">IFERROR(__xludf.DUMMYFUNCTION("""COMPUTED_VALUE"""),"Zhèlǐ de mángguǒ hěn tián.")</f>
        <v>Zhèlǐ de mángguǒ hěn tián.</v>
      </c>
    </row>
    <row r="36" spans="1:5" ht="14.25" customHeight="1">
      <c r="A36" s="9" t="s">
        <v>239</v>
      </c>
      <c r="B36" s="10" t="s">
        <v>240</v>
      </c>
      <c r="C36" s="10"/>
      <c r="D36" s="10" t="s">
        <v>241</v>
      </c>
      <c r="E36" s="5" t="str">
        <f ca="1">IFERROR(__xludf.DUMMYFUNCTION("""COMPUTED_VALUE"""),"Nǐ huì chī liúlián ma?")</f>
        <v>Nǐ huì chī liúlián ma?</v>
      </c>
    </row>
    <row r="37" spans="1:5" ht="14.25" customHeight="1">
      <c r="A37" s="9" t="s">
        <v>242</v>
      </c>
      <c r="B37" s="10" t="s">
        <v>243</v>
      </c>
      <c r="C37" s="10"/>
      <c r="D37" s="10" t="s">
        <v>244</v>
      </c>
      <c r="E37" s="8" t="str">
        <f ca="1">IFERROR(__xludf.DUMMYFUNCTION("""COMPUTED_VALUE"""),"Shì shì zhège.")</f>
        <v>Shì shì zhège.</v>
      </c>
    </row>
    <row r="38" spans="1:5" ht="14.25" customHeight="1">
      <c r="A38" s="9" t="s">
        <v>245</v>
      </c>
      <c r="B38" s="10" t="s">
        <v>246</v>
      </c>
      <c r="C38" s="10"/>
      <c r="D38" s="10" t="s">
        <v>247</v>
      </c>
      <c r="E38" s="5" t="str">
        <f ca="1">IFERROR(__xludf.DUMMYFUNCTION("""COMPUTED_VALUE"""),"Wǒ xiǎng mǎi miànbāo. ")</f>
        <v xml:space="preserve">Wǒ xiǎng mǎi miànbāo. </v>
      </c>
    </row>
    <row r="39" spans="1:5" ht="14.25" customHeight="1">
      <c r="A39" s="9" t="s">
        <v>248</v>
      </c>
      <c r="B39" s="10" t="s">
        <v>249</v>
      </c>
      <c r="C39" s="10"/>
      <c r="D39" s="10"/>
      <c r="E39" s="6" t="str">
        <f ca="1">IFERROR(__xludf.DUMMYFUNCTION("""COMPUTED_VALUE"""),"Gěi wǒ yībēi mángguǒ zhī.")</f>
        <v>Gěi wǒ yībēi mángguǒ zhī.</v>
      </c>
    </row>
    <row r="40" spans="1:5" ht="14.25" customHeight="1">
      <c r="A40" s="9" t="s">
        <v>250</v>
      </c>
      <c r="B40" s="10" t="s">
        <v>251</v>
      </c>
      <c r="C40" s="10"/>
      <c r="D40" s="10" t="s">
        <v>252</v>
      </c>
      <c r="E40" s="6" t="str">
        <f ca="1">IFERROR(__xludf.DUMMYFUNCTION("""COMPUTED_VALUE"""),"Zhè dào cài yǒudiǎn xián.")</f>
        <v>Zhè dào cài yǒudiǎn xián.</v>
      </c>
    </row>
    <row r="41" spans="1:5" ht="14.25" customHeight="1">
      <c r="A41" s="9" t="s">
        <v>253</v>
      </c>
      <c r="B41" s="10" t="s">
        <v>254</v>
      </c>
      <c r="C41" s="10"/>
      <c r="D41" s="10" t="s">
        <v>255</v>
      </c>
      <c r="E41" s="5" t="str">
        <f ca="1">IFERROR(__xludf.DUMMYFUNCTION("""COMPUTED_VALUE"""),"Zhè dào cài yǒudiǎn tián.")</f>
        <v>Zhè dào cài yǒudiǎn tián.</v>
      </c>
    </row>
    <row r="42" spans="1:5" ht="14.25" customHeight="1">
      <c r="A42" s="9" t="s">
        <v>256</v>
      </c>
      <c r="B42" s="10" t="s">
        <v>257</v>
      </c>
      <c r="E42" s="4" t="str">
        <f ca="1">IFERROR(__xludf.DUMMYFUNCTION("""COMPUTED_VALUE"""),"Nǐ chú yì zhēn hǎo.")</f>
        <v>Nǐ chú yì zhēn hǎo.</v>
      </c>
    </row>
    <row r="43" spans="1:5" ht="14.25" customHeight="1">
      <c r="A43" s="9" t="s">
        <v>258</v>
      </c>
      <c r="B43" s="10" t="s">
        <v>259</v>
      </c>
      <c r="E43" s="5" t="str">
        <f ca="1">IFERROR(__xludf.DUMMYFUNCTION("""COMPUTED_VALUE"""),"Zhè shì shéi zuò de? ")</f>
        <v xml:space="preserve">Zhè shì shéi zuò de? </v>
      </c>
    </row>
    <row r="44" spans="1:5" ht="14.25" customHeight="1">
      <c r="A44" s="9" t="s">
        <v>260</v>
      </c>
      <c r="B44" s="10" t="s">
        <v>261</v>
      </c>
      <c r="C44" s="10"/>
      <c r="D44" s="10" t="s">
        <v>262</v>
      </c>
      <c r="E44" s="4" t="str">
        <f ca="1">IFERROR(__xludf.DUMMYFUNCTION("""COMPUTED_VALUE"""),"Wǒmen yīqǐ chī ba.")</f>
        <v>Wǒmen yīqǐ chī ba.</v>
      </c>
    </row>
    <row r="45" spans="1:5" ht="14.25" customHeight="1">
      <c r="A45" s="9" t="s">
        <v>263</v>
      </c>
      <c r="B45" s="10" t="s">
        <v>264</v>
      </c>
      <c r="C45" s="10"/>
      <c r="D45" s="10" t="s">
        <v>265</v>
      </c>
      <c r="E45" s="5" t="str">
        <f ca="1">IFERROR(__xludf.DUMMYFUNCTION("""COMPUTED_VALUE"""),"Wǒ xiǎng hē bīng píjiǔ.")</f>
        <v>Wǒ xiǎng hē bīng píjiǔ.</v>
      </c>
    </row>
    <row r="46" spans="1:5" ht="14.25" customHeight="1">
      <c r="A46" s="9" t="s">
        <v>266</v>
      </c>
      <c r="B46" s="10" t="s">
        <v>267</v>
      </c>
      <c r="C46" s="10"/>
      <c r="D46" s="10" t="s">
        <v>268</v>
      </c>
      <c r="E46" s="4" t="str">
        <f ca="1">IFERROR(__xludf.DUMMYFUNCTION("""COMPUTED_VALUE"""),"Néng gěi wǒ zhāng zhǐjīn ma?")</f>
        <v>Néng gěi wǒ zhāng zhǐjīn ma?</v>
      </c>
    </row>
    <row r="47" spans="1:5" ht="14.25" customHeight="1">
      <c r="A47" s="9" t="s">
        <v>269</v>
      </c>
      <c r="B47" s="10" t="s">
        <v>270</v>
      </c>
      <c r="C47" s="10"/>
      <c r="D47" s="10" t="s">
        <v>271</v>
      </c>
      <c r="E47" s="4" t="str">
        <f ca="1">IFERROR(__xludf.DUMMYFUNCTION("""COMPUTED_VALUE"""),"Qǐngwèn nǎlǐ kěyǐ xǐshǒu?")</f>
        <v>Qǐngwèn nǎlǐ kěyǐ xǐshǒu?</v>
      </c>
    </row>
    <row r="48" spans="1:5" ht="14.25" customHeight="1">
      <c r="A48" s="9" t="s">
        <v>272</v>
      </c>
      <c r="B48" s="10" t="s">
        <v>273</v>
      </c>
      <c r="C48" s="10"/>
      <c r="D48" s="10" t="s">
        <v>274</v>
      </c>
      <c r="E48" s="4" t="str">
        <f ca="1">IFERROR(__xludf.DUMMYFUNCTION("""COMPUTED_VALUE"""),"Zhèlǐ tài yǒngjǐle.")</f>
        <v>Zhèlǐ tài yǒngjǐle.</v>
      </c>
    </row>
    <row r="49" spans="1:5" ht="14.25" customHeight="1">
      <c r="A49" s="9" t="s">
        <v>275</v>
      </c>
      <c r="B49" s="10" t="s">
        <v>276</v>
      </c>
      <c r="C49" s="10"/>
      <c r="D49" s="10" t="s">
        <v>277</v>
      </c>
      <c r="E49" s="5" t="str">
        <f ca="1">IFERROR(__xludf.DUMMYFUNCTION("""COMPUTED_VALUE"""),"Shàng cài yǒudiǎn màn.")</f>
        <v>Shàng cài yǒudiǎn màn.</v>
      </c>
    </row>
    <row r="50" spans="1:5" ht="14.25" customHeight="1">
      <c r="A50" s="9" t="s">
        <v>278</v>
      </c>
      <c r="B50" s="10" t="s">
        <v>279</v>
      </c>
      <c r="C50" s="10"/>
      <c r="D50" s="10" t="s">
        <v>280</v>
      </c>
      <c r="E50" s="6" t="str">
        <f ca="1">IFERROR(__xludf.DUMMYFUNCTION("""COMPUTED_VALUE"""),"Xièxiè nǐmen de kuǎndài.")</f>
        <v>Xièxiè nǐmen de kuǎndài.</v>
      </c>
    </row>
    <row r="51" spans="1:5" ht="14.25" customHeight="1">
      <c r="A51" s="9" t="s">
        <v>281</v>
      </c>
      <c r="B51" s="10" t="s">
        <v>282</v>
      </c>
      <c r="C51" s="10"/>
      <c r="D51" s="10" t="s">
        <v>283</v>
      </c>
      <c r="E51" s="6" t="str">
        <f ca="1">IFERROR(__xludf.DUMMYFUNCTION("""COMPUTED_VALUE"""),"Xià cì zàilái.")</f>
        <v>Xià cì zàilái.</v>
      </c>
    </row>
    <row r="52" spans="1:5" ht="14.25" customHeight="1">
      <c r="A52" s="9"/>
      <c r="B52" s="10"/>
    </row>
    <row r="53" spans="1:5" ht="14.25" customHeight="1">
      <c r="A53" s="9"/>
      <c r="B53" s="10"/>
      <c r="E53" s="5"/>
    </row>
    <row r="54" spans="1:5" ht="14.25" customHeight="1">
      <c r="A54" s="9"/>
      <c r="B54" s="10"/>
      <c r="E54" s="5"/>
    </row>
    <row r="55" spans="1:5" ht="14.25" customHeight="1">
      <c r="A55" s="9"/>
      <c r="B55" s="10"/>
      <c r="C55" s="10"/>
      <c r="D55" s="10" t="s">
        <v>284</v>
      </c>
      <c r="E55" s="5"/>
    </row>
    <row r="56" spans="1:5" ht="14.25" customHeight="1">
      <c r="A56" s="9"/>
      <c r="B56" s="10"/>
      <c r="C56" s="10"/>
      <c r="D56" s="10"/>
      <c r="E56" s="5"/>
    </row>
    <row r="57" spans="1:5" ht="14.25" customHeight="1">
      <c r="A57" s="9"/>
      <c r="B57" s="10"/>
      <c r="C57" s="10"/>
      <c r="D57" s="10" t="s">
        <v>285</v>
      </c>
      <c r="E57" s="5"/>
    </row>
    <row r="58" spans="1:5" ht="14.25" customHeight="1">
      <c r="A58" s="9"/>
      <c r="B58" s="10"/>
      <c r="C58" s="10"/>
      <c r="D58" s="10"/>
      <c r="E58" s="5"/>
    </row>
    <row r="59" spans="1:5" ht="14.25" customHeight="1">
      <c r="A59" s="9"/>
      <c r="B59" s="10"/>
      <c r="C59" s="10"/>
      <c r="D59" s="10" t="s">
        <v>286</v>
      </c>
      <c r="E59" s="5"/>
    </row>
    <row r="60" spans="1:5" ht="14.25" customHeight="1">
      <c r="A60" s="9"/>
      <c r="B60" s="10"/>
      <c r="C60" s="10"/>
      <c r="D60" s="10"/>
      <c r="E60" s="5"/>
    </row>
    <row r="61" spans="1:5" ht="14.25" customHeight="1">
      <c r="A61" s="9"/>
      <c r="B61" s="10"/>
      <c r="C61" s="10"/>
      <c r="D61" s="10" t="s">
        <v>287</v>
      </c>
      <c r="E61" s="5"/>
    </row>
    <row r="62" spans="1:5" ht="14.25" customHeight="1">
      <c r="A62" s="9"/>
      <c r="B62" s="10"/>
      <c r="C62" s="10"/>
      <c r="D62" s="10" t="s">
        <v>288</v>
      </c>
      <c r="E62" s="5"/>
    </row>
    <row r="63" spans="1:5" ht="14.25" customHeight="1">
      <c r="A63" s="9"/>
      <c r="B63" s="10"/>
      <c r="C63" s="10"/>
      <c r="D63" s="10" t="s">
        <v>289</v>
      </c>
      <c r="E63" s="5"/>
    </row>
    <row r="64" spans="1:5" ht="14.25" customHeight="1">
      <c r="A64" s="9"/>
      <c r="B64" s="10"/>
      <c r="C64" s="10"/>
      <c r="D64" s="10"/>
      <c r="E64" s="5"/>
    </row>
    <row r="65" spans="1:5" ht="14.25" customHeight="1">
      <c r="A65" s="9"/>
      <c r="B65" s="10"/>
      <c r="C65" s="10"/>
      <c r="D65" s="10" t="s">
        <v>290</v>
      </c>
      <c r="E65" s="5"/>
    </row>
    <row r="66" spans="1:5" ht="14.25" customHeight="1">
      <c r="A66" s="9"/>
      <c r="B66" s="10"/>
      <c r="C66" s="10"/>
      <c r="D66" s="10"/>
      <c r="E66" s="5"/>
    </row>
    <row r="67" spans="1:5" ht="14.25" customHeight="1">
      <c r="A67" s="9"/>
      <c r="B67" s="10"/>
      <c r="C67" s="10"/>
      <c r="D67" s="10" t="s">
        <v>291</v>
      </c>
      <c r="E67" s="5"/>
    </row>
    <row r="68" spans="1:5" ht="14.25" customHeight="1">
      <c r="A68" s="9"/>
      <c r="B68" s="10"/>
      <c r="C68" s="10"/>
      <c r="D68" s="10"/>
      <c r="E68" s="5"/>
    </row>
    <row r="69" spans="1:5" ht="14.25" customHeight="1">
      <c r="A69" s="9"/>
      <c r="B69" s="10"/>
      <c r="C69" s="10"/>
      <c r="D69" s="10" t="s">
        <v>292</v>
      </c>
      <c r="E69" s="5"/>
    </row>
    <row r="70" spans="1:5" ht="14.25" customHeight="1">
      <c r="A70" s="9"/>
      <c r="B70" s="10"/>
      <c r="C70" s="10"/>
      <c r="D70" s="10" t="s">
        <v>293</v>
      </c>
      <c r="E70" s="5"/>
    </row>
    <row r="71" spans="1:5" ht="14.25" customHeight="1">
      <c r="A71" s="9"/>
      <c r="B71" s="10"/>
      <c r="C71" s="10"/>
      <c r="D71" s="10" t="s">
        <v>294</v>
      </c>
      <c r="E71" s="5"/>
    </row>
    <row r="72" spans="1:5" ht="14.25" customHeight="1">
      <c r="A72" s="9"/>
      <c r="B72" s="10"/>
      <c r="C72" s="10"/>
      <c r="D72" s="10"/>
      <c r="E72" s="5"/>
    </row>
    <row r="73" spans="1:5" ht="14.25" customHeight="1">
      <c r="A73" s="9"/>
      <c r="B73" s="10"/>
      <c r="C73" s="10"/>
      <c r="D73" s="10" t="s">
        <v>295</v>
      </c>
      <c r="E73" s="5"/>
    </row>
    <row r="74" spans="1:5" ht="14.25" customHeight="1">
      <c r="A74" s="9"/>
      <c r="B74" s="10"/>
      <c r="C74" s="10"/>
      <c r="D74" s="10"/>
      <c r="E74" s="5"/>
    </row>
    <row r="75" spans="1:5" ht="14.25" customHeight="1">
      <c r="A75" s="9"/>
      <c r="B75" s="10"/>
      <c r="C75" s="10"/>
      <c r="D75" s="10" t="s">
        <v>296</v>
      </c>
      <c r="E75" s="5"/>
    </row>
    <row r="76" spans="1:5" ht="14.25" customHeight="1">
      <c r="A76" s="9"/>
      <c r="B76" s="10"/>
      <c r="C76" s="10"/>
      <c r="D76" s="10"/>
      <c r="E76" s="5"/>
    </row>
    <row r="77" spans="1:5" ht="14.25" customHeight="1">
      <c r="A77" s="9"/>
      <c r="B77" s="10"/>
      <c r="C77" s="10"/>
      <c r="D77" s="10" t="s">
        <v>297</v>
      </c>
      <c r="E77" s="5"/>
    </row>
    <row r="78" spans="1:5" ht="14.25" customHeight="1">
      <c r="A78" s="9"/>
      <c r="B78" s="10"/>
      <c r="C78" s="10"/>
      <c r="D78" s="10"/>
      <c r="E78" s="5"/>
    </row>
    <row r="79" spans="1:5" ht="14.25" customHeight="1">
      <c r="A79" s="9"/>
      <c r="B79" s="10"/>
      <c r="C79" s="10"/>
      <c r="D79" s="10" t="s">
        <v>298</v>
      </c>
      <c r="E79" s="5"/>
    </row>
    <row r="80" spans="1:5" ht="14.25" customHeight="1">
      <c r="A80" s="9"/>
      <c r="B80" s="10"/>
      <c r="C80" s="10"/>
      <c r="D80" s="10"/>
      <c r="E80" s="5"/>
    </row>
    <row r="81" spans="1:5" ht="14.25" customHeight="1">
      <c r="A81" s="9"/>
      <c r="B81" s="10"/>
      <c r="C81" s="10"/>
      <c r="D81" s="10" t="s">
        <v>299</v>
      </c>
      <c r="E81" s="5"/>
    </row>
    <row r="82" spans="1:5" ht="14.25" customHeight="1">
      <c r="A82" s="9"/>
      <c r="B82" s="10"/>
      <c r="C82" s="10"/>
      <c r="D82" s="10"/>
      <c r="E82" s="5"/>
    </row>
    <row r="83" spans="1:5" ht="14.25" customHeight="1">
      <c r="A83" s="9"/>
      <c r="B83" s="10"/>
      <c r="C83" s="10"/>
      <c r="D83" s="10" t="s">
        <v>300</v>
      </c>
      <c r="E83" s="5"/>
    </row>
    <row r="84" spans="1:5" ht="14.25" customHeight="1">
      <c r="A84" s="9"/>
      <c r="B84" s="10"/>
      <c r="C84" s="10"/>
      <c r="D84" s="10"/>
      <c r="E84" s="5"/>
    </row>
    <row r="85" spans="1:5" ht="14.25" customHeight="1">
      <c r="A85" s="9"/>
      <c r="B85" s="10"/>
      <c r="C85" s="10"/>
      <c r="D85" s="10"/>
      <c r="E85" s="5"/>
    </row>
    <row r="86" spans="1:5" ht="14.25" customHeight="1">
      <c r="A86" s="9"/>
      <c r="B86" s="10"/>
      <c r="C86" s="10"/>
      <c r="D86" s="10"/>
      <c r="E86" s="5"/>
    </row>
    <row r="87" spans="1:5" ht="14.25" customHeight="1">
      <c r="A87" s="9"/>
      <c r="B87" s="10"/>
      <c r="C87" s="10"/>
      <c r="D87" s="10"/>
      <c r="E87" s="5"/>
    </row>
    <row r="88" spans="1:5" ht="14.25" customHeight="1">
      <c r="A88" s="9"/>
      <c r="B88" s="10"/>
      <c r="C88" s="10"/>
      <c r="D88" s="10"/>
      <c r="E88" s="5"/>
    </row>
    <row r="89" spans="1:5" ht="14.25" customHeight="1">
      <c r="A89" s="9"/>
      <c r="B89" s="10"/>
      <c r="C89" s="10"/>
      <c r="D89" s="10"/>
      <c r="E89" s="5"/>
    </row>
    <row r="90" spans="1:5" ht="14.25" customHeight="1">
      <c r="A90" s="9"/>
      <c r="B90" s="10"/>
      <c r="C90" s="10"/>
      <c r="D90" s="10"/>
      <c r="E90" s="5"/>
    </row>
    <row r="91" spans="1:5" ht="14.25" customHeight="1">
      <c r="A91" s="9"/>
      <c r="B91" s="10"/>
      <c r="C91" s="10"/>
      <c r="D91" s="10"/>
      <c r="E91" s="5"/>
    </row>
    <row r="92" spans="1:5" ht="14.25" customHeight="1">
      <c r="A92" s="9"/>
      <c r="B92" s="10"/>
      <c r="C92" s="10"/>
      <c r="D92" s="10"/>
      <c r="E92" s="5"/>
    </row>
    <row r="93" spans="1:5" ht="14.25" customHeight="1">
      <c r="A93" s="9"/>
      <c r="B93" s="10"/>
      <c r="C93" s="10"/>
      <c r="D93" s="10"/>
      <c r="E93" s="5"/>
    </row>
    <row r="94" spans="1:5" ht="14.25" customHeight="1">
      <c r="A94" s="9"/>
      <c r="B94" s="10"/>
      <c r="C94" s="10"/>
      <c r="D94" s="10"/>
      <c r="E94" s="5"/>
    </row>
    <row r="95" spans="1:5" ht="14.25" customHeight="1">
      <c r="A95" s="9"/>
      <c r="B95" s="10"/>
      <c r="C95" s="10"/>
      <c r="D95" s="10"/>
      <c r="E95" s="5"/>
    </row>
    <row r="96" spans="1:5" ht="14.25" customHeight="1">
      <c r="A96" s="9"/>
      <c r="B96" s="10"/>
      <c r="C96" s="10"/>
      <c r="D96" s="10"/>
      <c r="E96" s="5"/>
    </row>
    <row r="97" spans="1:5" ht="14.25" customHeight="1">
      <c r="A97" s="9"/>
      <c r="B97" s="10"/>
      <c r="C97" s="10"/>
      <c r="D97" s="10"/>
      <c r="E97" s="5"/>
    </row>
    <row r="98" spans="1:5" ht="14.25" customHeight="1">
      <c r="A98" s="9"/>
      <c r="B98" s="10"/>
      <c r="C98" s="10"/>
      <c r="D98" s="10"/>
      <c r="E98" s="5"/>
    </row>
    <row r="99" spans="1:5" ht="14.25" customHeight="1">
      <c r="A99" s="9"/>
      <c r="B99" s="10"/>
      <c r="C99" s="10"/>
      <c r="D99" s="10"/>
      <c r="E99" s="5"/>
    </row>
    <row r="100" spans="1:5" ht="14.25" customHeight="1">
      <c r="A100" s="9"/>
      <c r="B100" s="10"/>
      <c r="C100" s="10"/>
      <c r="D100" s="10"/>
      <c r="E100" s="5"/>
    </row>
  </sheetData>
  <autoFilter ref="A1:B51"/>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67.6640625" customWidth="1"/>
    <col min="2" max="4" width="54.5546875" customWidth="1"/>
    <col min="5" max="5" width="30.5546875" customWidth="1"/>
  </cols>
  <sheetData>
    <row r="1" spans="1:5" ht="14.25" customHeight="1">
      <c r="A1" s="14" t="s">
        <v>301</v>
      </c>
      <c r="B1" s="15"/>
      <c r="C1" s="16"/>
      <c r="D1" s="16"/>
      <c r="E1" s="2"/>
    </row>
    <row r="2" spans="1:5" ht="14.25" customHeight="1">
      <c r="A2" s="3" t="s">
        <v>302</v>
      </c>
      <c r="B2" s="3" t="s">
        <v>303</v>
      </c>
      <c r="C2" s="4"/>
      <c r="D2" s="4" t="s">
        <v>304</v>
      </c>
      <c r="E2" s="5" t="str">
        <f ca="1">IFERROR(__xludf.DUMMYFUNCTION("FILTER(D1:D1004,D1:D1004&lt;&gt; """")"),"Sījī, zhíxíng.")</f>
        <v>Sījī, zhíxíng.</v>
      </c>
    </row>
    <row r="3" spans="1:5" ht="14.25" customHeight="1">
      <c r="A3" s="3" t="s">
        <v>305</v>
      </c>
      <c r="B3" s="3" t="s">
        <v>306</v>
      </c>
      <c r="C3" s="4"/>
      <c r="D3" s="4"/>
      <c r="E3" s="6" t="str">
        <f ca="1">IFERROR(__xludf.DUMMYFUNCTION("""COMPUTED_VALUE"""),"Zuǒ zhuǎn.")</f>
        <v>Zuǒ zhuǎn.</v>
      </c>
    </row>
    <row r="4" spans="1:5" ht="14.25" customHeight="1">
      <c r="A4" s="3" t="s">
        <v>307</v>
      </c>
      <c r="B4" s="3" t="s">
        <v>308</v>
      </c>
      <c r="C4" s="4"/>
      <c r="D4" s="4" t="s">
        <v>309</v>
      </c>
      <c r="E4" s="5" t="str">
        <f ca="1">IFERROR(__xludf.DUMMYFUNCTION("""COMPUTED_VALUE"""),"Yòu zhuǎn.")</f>
        <v>Yòu zhuǎn.</v>
      </c>
    </row>
    <row r="5" spans="1:5" ht="14.25" customHeight="1">
      <c r="A5" s="3" t="s">
        <v>310</v>
      </c>
      <c r="B5" s="3" t="s">
        <v>311</v>
      </c>
      <c r="C5" s="4"/>
      <c r="D5" s="4"/>
      <c r="E5" s="5" t="str">
        <f ca="1">IFERROR(__xludf.DUMMYFUNCTION("""COMPUTED_VALUE"""),"Màn diǎn kāi.")</f>
        <v>Màn diǎn kāi.</v>
      </c>
    </row>
    <row r="6" spans="1:5" ht="14.25" customHeight="1">
      <c r="A6" s="3" t="s">
        <v>312</v>
      </c>
      <c r="B6" s="3" t="s">
        <v>313</v>
      </c>
      <c r="C6" s="4"/>
      <c r="D6" s="4" t="s">
        <v>314</v>
      </c>
      <c r="E6" s="5" t="str">
        <f ca="1">IFERROR(__xludf.DUMMYFUNCTION("""COMPUTED_VALUE"""),"Sījī, qǐng shāowéi jiāsù.")</f>
        <v>Sījī, qǐng shāowéi jiāsù.</v>
      </c>
    </row>
    <row r="7" spans="1:5" ht="14.25" customHeight="1">
      <c r="A7" s="3" t="s">
        <v>315</v>
      </c>
      <c r="B7" s="3" t="s">
        <v>316</v>
      </c>
      <c r="C7" s="4"/>
      <c r="D7" s="4"/>
      <c r="E7" s="5" t="str">
        <f ca="1">IFERROR(__xludf.DUMMYFUNCTION("""COMPUTED_VALUE"""),"Zhè tiáo lù dǔchē ma?")</f>
        <v>Zhè tiáo lù dǔchē ma?</v>
      </c>
    </row>
    <row r="8" spans="1:5" ht="14.25" customHeight="1">
      <c r="A8" s="3" t="s">
        <v>317</v>
      </c>
      <c r="B8" s="3" t="s">
        <v>318</v>
      </c>
      <c r="C8" s="4"/>
      <c r="D8" s="4" t="s">
        <v>319</v>
      </c>
      <c r="E8" s="5" t="str">
        <f ca="1">IFERROR(__xludf.DUMMYFUNCTION("""COMPUTED_VALUE"""),"Bùxíng xūyào duōjiǔ?")</f>
        <v>Bùxíng xūyào duōjiǔ?</v>
      </c>
    </row>
    <row r="9" spans="1:5" ht="14.25" customHeight="1">
      <c r="A9" s="3" t="s">
        <v>320</v>
      </c>
      <c r="B9" s="3" t="s">
        <v>321</v>
      </c>
      <c r="C9" s="4"/>
      <c r="D9" s="4"/>
      <c r="E9" s="5" t="str">
        <f ca="1">IFERROR(__xludf.DUMMYFUNCTION("""COMPUTED_VALUE"""),"Yuǎn ma?")</f>
        <v>Yuǎn ma?</v>
      </c>
    </row>
    <row r="10" spans="1:5" ht="14.25" customHeight="1">
      <c r="A10" s="3" t="s">
        <v>322</v>
      </c>
      <c r="B10" s="3" t="s">
        <v>323</v>
      </c>
      <c r="C10" s="4"/>
      <c r="D10" s="4" t="s">
        <v>324</v>
      </c>
      <c r="E10" s="5" t="str">
        <f ca="1">IFERROR(__xludf.DUMMYFUNCTION("""COMPUTED_VALUE"""),"Jiù zài fùjìn.")</f>
        <v>Jiù zài fùjìn.</v>
      </c>
    </row>
    <row r="11" spans="1:5" ht="14.25" customHeight="1">
      <c r="A11" s="3" t="s">
        <v>325</v>
      </c>
      <c r="B11" s="3" t="s">
        <v>326</v>
      </c>
      <c r="C11" s="4"/>
      <c r="D11" s="4"/>
      <c r="E11" s="5" t="str">
        <f ca="1">IFERROR(__xludf.DUMMYFUNCTION("""COMPUTED_VALUE"""),"Wǒ mílùle.")</f>
        <v>Wǒ mílùle.</v>
      </c>
    </row>
    <row r="12" spans="1:5" ht="14.25" customHeight="1">
      <c r="A12" s="3" t="s">
        <v>327</v>
      </c>
      <c r="B12" s="3" t="s">
        <v>328</v>
      </c>
      <c r="C12" s="4"/>
      <c r="D12" s="4" t="s">
        <v>329</v>
      </c>
      <c r="E12" s="6" t="str">
        <f ca="1">IFERROR(__xludf.DUMMYFUNCTION("""COMPUTED_VALUE"""),"Nǐ néng gěi wǒ zhǐ lù ma?")</f>
        <v>Nǐ néng gěi wǒ zhǐ lù ma?</v>
      </c>
    </row>
    <row r="13" spans="1:5" ht="14.25" customHeight="1">
      <c r="A13" s="3" t="s">
        <v>330</v>
      </c>
      <c r="B13" s="3" t="s">
        <v>331</v>
      </c>
      <c r="C13" s="4"/>
      <c r="D13" s="4"/>
      <c r="E13" s="6" t="str">
        <f ca="1">IFERROR(__xludf.DUMMYFUNCTION("""COMPUTED_VALUE"""),"Huǒchē zhàn zài nǎlǐ?")</f>
        <v>Huǒchē zhàn zài nǎlǐ?</v>
      </c>
    </row>
    <row r="14" spans="1:5" ht="14.25" customHeight="1">
      <c r="A14" s="3" t="s">
        <v>332</v>
      </c>
      <c r="B14" s="3" t="s">
        <v>333</v>
      </c>
      <c r="C14" s="4"/>
      <c r="D14" s="4" t="s">
        <v>334</v>
      </c>
      <c r="E14" s="6" t="str">
        <f ca="1">IFERROR(__xludf.DUMMYFUNCTION("""COMPUTED_VALUE"""),"Wǒ jiàole yī liàng Grab.")</f>
        <v>Wǒ jiàole yī liàng Grab.</v>
      </c>
    </row>
    <row r="15" spans="1:5" ht="14.25" customHeight="1">
      <c r="A15" s="3" t="s">
        <v>335</v>
      </c>
      <c r="B15" s="3" t="s">
        <v>336</v>
      </c>
      <c r="C15" s="4"/>
      <c r="D15" s="4"/>
      <c r="E15" s="6" t="str">
        <f ca="1">IFERROR(__xludf.DUMMYFUNCTION("""COMPUTED_VALUE"""),"Sījī zài nǎlǐ?")</f>
        <v>Sījī zài nǎlǐ?</v>
      </c>
    </row>
    <row r="16" spans="1:5" ht="14.25" customHeight="1">
      <c r="A16" s="3" t="s">
        <v>337</v>
      </c>
      <c r="B16" s="3" t="s">
        <v>338</v>
      </c>
      <c r="C16" s="4"/>
      <c r="D16" s="4" t="s">
        <v>339</v>
      </c>
      <c r="E16" s="6" t="str">
        <f ca="1">IFERROR(__xludf.DUMMYFUNCTION("""COMPUTED_VALUE"""),"Chēpái hào shì duōshǎo?")</f>
        <v>Chēpái hào shì duōshǎo?</v>
      </c>
    </row>
    <row r="17" spans="1:5" ht="14.25" customHeight="1">
      <c r="A17" s="3" t="s">
        <v>340</v>
      </c>
      <c r="B17" s="3" t="s">
        <v>341</v>
      </c>
      <c r="C17" s="4"/>
      <c r="D17" s="4"/>
      <c r="E17" s="7" t="str">
        <f ca="1">IFERROR(__xludf.DUMMYFUNCTION("""COMPUTED_VALUE"""),"Qǐng shāo děng 5 fēnzhōng.")</f>
        <v>Qǐng shāo děng 5 fēnzhōng.</v>
      </c>
    </row>
    <row r="18" spans="1:5" ht="14.25" customHeight="1">
      <c r="A18" s="3" t="s">
        <v>342</v>
      </c>
      <c r="B18" s="3" t="s">
        <v>343</v>
      </c>
      <c r="C18" s="4"/>
      <c r="D18" s="4" t="s">
        <v>344</v>
      </c>
      <c r="E18" s="5" t="str">
        <f ca="1">IFERROR(__xludf.DUMMYFUNCTION("""COMPUTED_VALUE"""),"Xièxiè nín, sījī!")</f>
        <v>Xièxiè nín, sījī!</v>
      </c>
    </row>
    <row r="19" spans="1:5" ht="14.25" customHeight="1">
      <c r="A19" s="3" t="s">
        <v>345</v>
      </c>
      <c r="B19" s="3" t="s">
        <v>346</v>
      </c>
      <c r="C19" s="4"/>
      <c r="D19" s="4"/>
      <c r="E19" s="4" t="str">
        <f ca="1">IFERROR(__xludf.DUMMYFUNCTION("""COMPUTED_VALUE"""),"Yīlù píng'ān.")</f>
        <v>Yīlù píng'ān.</v>
      </c>
    </row>
    <row r="20" spans="1:5" ht="14.25" customHeight="1">
      <c r="A20" s="3" t="s">
        <v>347</v>
      </c>
      <c r="B20" s="3" t="s">
        <v>348</v>
      </c>
      <c r="C20" s="4"/>
      <c r="D20" s="4" t="s">
        <v>349</v>
      </c>
      <c r="E20" s="5" t="str">
        <f ca="1">IFERROR(__xludf.DUMMYFUNCTION("""COMPUTED_VALUE"""),"Sānlúnchē duōshǎo qián?")</f>
        <v>Sānlúnchē duōshǎo qián?</v>
      </c>
    </row>
    <row r="21" spans="1:5" ht="14.25" customHeight="1">
      <c r="A21" s="3" t="s">
        <v>350</v>
      </c>
      <c r="B21" s="3" t="s">
        <v>351</v>
      </c>
      <c r="C21" s="4"/>
      <c r="D21" s="4"/>
      <c r="E21" s="6" t="str">
        <f ca="1">IFERROR(__xludf.DUMMYFUNCTION("""COMPUTED_VALUE"""),"50 Bǐsuǒ kěyǐ ma?")</f>
        <v>50 Bǐsuǒ kěyǐ ma?</v>
      </c>
    </row>
    <row r="22" spans="1:5" ht="14.25" customHeight="1">
      <c r="A22" s="3" t="s">
        <v>352</v>
      </c>
      <c r="B22" s="3" t="s">
        <v>353</v>
      </c>
      <c r="C22" s="4"/>
      <c r="D22" s="4" t="s">
        <v>354</v>
      </c>
      <c r="E22" s="6" t="str">
        <f ca="1">IFERROR(__xludf.DUMMYFUNCTION("""COMPUTED_VALUE"""),"Tài guìle!")</f>
        <v>Tài guìle!</v>
      </c>
    </row>
    <row r="23" spans="1:5" ht="14.25" customHeight="1">
      <c r="A23" s="3" t="s">
        <v>355</v>
      </c>
      <c r="B23" s="3" t="s">
        <v>356</v>
      </c>
      <c r="C23" s="4"/>
      <c r="D23" s="4"/>
      <c r="E23" s="6" t="str">
        <f ca="1">IFERROR(__xludf.DUMMYFUNCTION("""COMPUTED_VALUE"""),"Wǒ shì xuéshēng, kěyǐ gěi wǒ dǎzhé ma?")</f>
        <v>Wǒ shì xuéshēng, kěyǐ gěi wǒ dǎzhé ma?</v>
      </c>
    </row>
    <row r="24" spans="1:5" ht="14.25" customHeight="1">
      <c r="A24" s="3" t="s">
        <v>357</v>
      </c>
      <c r="B24" s="3" t="s">
        <v>358</v>
      </c>
      <c r="C24" s="4"/>
      <c r="D24" s="4" t="s">
        <v>359</v>
      </c>
      <c r="E24" s="6" t="str">
        <f ca="1">IFERROR(__xludf.DUMMYFUNCTION("""COMPUTED_VALUE"""),"Mòbānchē jǐ diǎn?")</f>
        <v>Mòbānchē jǐ diǎn?</v>
      </c>
    </row>
    <row r="25" spans="1:5" ht="14.25" customHeight="1">
      <c r="A25" s="3" t="s">
        <v>360</v>
      </c>
      <c r="B25" s="3" t="s">
        <v>361</v>
      </c>
      <c r="C25" s="4"/>
      <c r="D25" s="4"/>
      <c r="E25" s="6" t="str">
        <f ca="1">IFERROR(__xludf.DUMMYFUNCTION("""COMPUTED_VALUE"""),"Wǒ yào qù jīchǎng.")</f>
        <v>Wǒ yào qù jīchǎng.</v>
      </c>
    </row>
    <row r="26" spans="1:5" ht="14.25" customHeight="1">
      <c r="A26" s="3" t="s">
        <v>362</v>
      </c>
      <c r="B26" s="3" t="s">
        <v>363</v>
      </c>
      <c r="C26" s="4"/>
      <c r="D26" s="4" t="s">
        <v>364</v>
      </c>
      <c r="E26" s="6" t="str">
        <f ca="1">IFERROR(__xludf.DUMMYFUNCTION("""COMPUTED_VALUE"""),"Zhè shì nǎlǐ?")</f>
        <v>Zhè shì nǎlǐ?</v>
      </c>
    </row>
    <row r="27" spans="1:5" ht="14.25" customHeight="1">
      <c r="A27" s="3" t="s">
        <v>365</v>
      </c>
      <c r="B27" s="3" t="s">
        <v>366</v>
      </c>
      <c r="C27" s="4"/>
      <c r="D27" s="4"/>
      <c r="E27" s="6" t="str">
        <f ca="1">IFERROR(__xludf.DUMMYFUNCTION("""COMPUTED_VALUE"""),"Wǒ xià cuòchēle.")</f>
        <v>Wǒ xià cuòchēle.</v>
      </c>
    </row>
    <row r="28" spans="1:5" ht="14.25" customHeight="1">
      <c r="A28" s="3" t="s">
        <v>367</v>
      </c>
      <c r="B28" s="3" t="s">
        <v>368</v>
      </c>
      <c r="C28" s="4"/>
      <c r="D28" s="4" t="s">
        <v>369</v>
      </c>
      <c r="E28" s="6" t="str">
        <f ca="1">IFERROR(__xludf.DUMMYFUNCTION("""COMPUTED_VALUE"""),"Wǒmen kěyǐ diàotóu ma?")</f>
        <v>Wǒmen kěyǐ diàotóu ma?</v>
      </c>
    </row>
    <row r="29" spans="1:5" ht="14.25" customHeight="1">
      <c r="A29" s="3" t="s">
        <v>370</v>
      </c>
      <c r="B29" s="3" t="s">
        <v>371</v>
      </c>
      <c r="C29" s="4"/>
      <c r="D29" s="4"/>
      <c r="E29" s="6" t="str">
        <f ca="1">IFERROR(__xludf.DUMMYFUNCTION("""COMPUTED_VALUE"""),"Xiǎoxīn!")</f>
        <v>Xiǎoxīn!</v>
      </c>
    </row>
    <row r="30" spans="1:5" ht="14.25" customHeight="1">
      <c r="A30" s="3" t="s">
        <v>372</v>
      </c>
      <c r="B30" s="3" t="s">
        <v>373</v>
      </c>
      <c r="C30" s="4"/>
      <c r="D30" s="4" t="s">
        <v>374</v>
      </c>
      <c r="E30" s="6" t="str">
        <f ca="1">IFERROR(__xludf.DUMMYFUNCTION("""COMPUTED_VALUE"""),"Zhè liàng gōngjiāo chē kāi wǎng mǎnílā ma?")</f>
        <v>Zhè liàng gōngjiāo chē kāi wǎng mǎnílā ma?</v>
      </c>
    </row>
    <row r="31" spans="1:5" ht="14.25" customHeight="1">
      <c r="A31" s="3" t="s">
        <v>375</v>
      </c>
      <c r="B31" s="3" t="s">
        <v>376</v>
      </c>
      <c r="C31" s="4"/>
      <c r="D31" s="4"/>
      <c r="E31" s="4" t="str">
        <f ca="1">IFERROR(__xludf.DUMMYFUNCTION("""COMPUTED_VALUE"""),"Qǐng ràng wǒ zuò zài kào chuāng de wèizhì.")</f>
        <v>Qǐng ràng wǒ zuò zài kào chuāng de wèizhì.</v>
      </c>
    </row>
    <row r="32" spans="1:5" ht="14.25" customHeight="1">
      <c r="A32" s="3" t="s">
        <v>377</v>
      </c>
      <c r="B32" s="3" t="s">
        <v>378</v>
      </c>
      <c r="C32" s="4"/>
      <c r="D32" s="4" t="s">
        <v>379</v>
      </c>
      <c r="E32" s="4" t="str">
        <f ca="1">IFERROR(__xludf.DUMMYFUNCTION("""COMPUTED_VALUE"""),"Chē lǐ tài rèle.")</f>
        <v>Chē lǐ tài rèle.</v>
      </c>
    </row>
    <row r="33" spans="1:5" ht="14.25" customHeight="1">
      <c r="A33" s="3" t="s">
        <v>380</v>
      </c>
      <c r="B33" s="3" t="s">
        <v>381</v>
      </c>
      <c r="C33" s="4"/>
      <c r="D33" s="4"/>
      <c r="E33" s="4" t="str">
        <f ca="1">IFERROR(__xludf.DUMMYFUNCTION("""COMPUTED_VALUE"""),"Kěyǐ dǎkāi kòngtiáo ma?")</f>
        <v>Kěyǐ dǎkāi kòngtiáo ma?</v>
      </c>
    </row>
    <row r="34" spans="1:5" ht="14.25" customHeight="1">
      <c r="A34" s="3" t="s">
        <v>382</v>
      </c>
      <c r="B34" s="3" t="s">
        <v>383</v>
      </c>
      <c r="C34" s="4"/>
      <c r="D34" s="4" t="s">
        <v>384</v>
      </c>
      <c r="E34" s="4" t="str">
        <f ca="1">IFERROR(__xludf.DUMMYFUNCTION("""COMPUTED_VALUE"""),"Zhè tiáo lù zài xiū lù ma?")</f>
        <v>Zhè tiáo lù zài xiū lù ma?</v>
      </c>
    </row>
    <row r="35" spans="1:5" ht="14.25" customHeight="1">
      <c r="A35" s="3" t="s">
        <v>385</v>
      </c>
      <c r="B35" s="3" t="s">
        <v>386</v>
      </c>
      <c r="C35" s="4"/>
      <c r="D35" s="4"/>
      <c r="E35" s="8" t="str">
        <f ca="1">IFERROR(__xludf.DUMMYFUNCTION("""COMPUTED_VALUE"""),"Jīntiān xià yǔle, chūxíng zhēn bù fāngbiàn.")</f>
        <v>Jīntiān xià yǔle, chūxíng zhēn bù fāngbiàn.</v>
      </c>
    </row>
    <row r="36" spans="1:5" ht="14.25" customHeight="1">
      <c r="A36" s="3" t="s">
        <v>387</v>
      </c>
      <c r="B36" s="3" t="s">
        <v>388</v>
      </c>
      <c r="C36" s="4"/>
      <c r="D36" s="4" t="s">
        <v>389</v>
      </c>
      <c r="E36" s="5" t="str">
        <f ca="1">IFERROR(__xludf.DUMMYFUNCTION("""COMPUTED_VALUE"""),"Wǒ xiànzài dàojiāle.")</f>
        <v>Wǒ xiànzài dàojiāle.</v>
      </c>
    </row>
    <row r="37" spans="1:5" ht="14.25" customHeight="1">
      <c r="A37" s="3" t="s">
        <v>390</v>
      </c>
      <c r="B37" s="3" t="s">
        <v>391</v>
      </c>
      <c r="C37" s="4"/>
      <c r="D37" s="4"/>
      <c r="E37" s="8" t="str">
        <f ca="1">IFERROR(__xludf.DUMMYFUNCTION("""COMPUTED_VALUE"""),"Wǒ xiǎng qù gòuwù zhòng xīn.")</f>
        <v>Wǒ xiǎng qù gòuwù zhòng xīn.</v>
      </c>
    </row>
    <row r="38" spans="1:5" ht="14.25" customHeight="1">
      <c r="A38" s="3" t="s">
        <v>392</v>
      </c>
      <c r="B38" s="3" t="s">
        <v>393</v>
      </c>
      <c r="C38" s="4"/>
      <c r="D38" s="4" t="s">
        <v>394</v>
      </c>
      <c r="E38" s="5" t="str">
        <f ca="1">IFERROR(__xludf.DUMMYFUNCTION("""COMPUTED_VALUE"""),"Gōngjiāo chē zhàn zài nǎlǐ?")</f>
        <v>Gōngjiāo chē zhàn zài nǎlǐ?</v>
      </c>
    </row>
    <row r="39" spans="1:5" ht="14.25" customHeight="1">
      <c r="A39" s="3" t="s">
        <v>395</v>
      </c>
      <c r="B39" s="3" t="s">
        <v>396</v>
      </c>
      <c r="C39" s="4"/>
      <c r="D39" s="4"/>
      <c r="E39" s="6" t="str">
        <f ca="1">IFERROR(__xludf.DUMMYFUNCTION("""COMPUTED_VALUE"""),"Zhè liàng gōngjiāo chē kāi wǎng nǎlǐ?")</f>
        <v>Zhè liàng gōngjiāo chē kāi wǎng nǎlǐ?</v>
      </c>
    </row>
    <row r="40" spans="1:5" ht="14.25" customHeight="1">
      <c r="A40" s="3" t="s">
        <v>397</v>
      </c>
      <c r="B40" s="3" t="s">
        <v>398</v>
      </c>
      <c r="C40" s="4"/>
      <c r="D40" s="4" t="s">
        <v>399</v>
      </c>
      <c r="E40" s="6" t="str">
        <f ca="1">IFERROR(__xludf.DUMMYFUNCTION("""COMPUTED_VALUE"""),"Zhè liàng gōngjiāo chē jīngguò SM gòuwù zhòng xīn ma?")</f>
        <v>Zhè liàng gōngjiāo chē jīngguò SM gòuwù zhòng xīn ma?</v>
      </c>
    </row>
    <row r="41" spans="1:5" ht="14.25" customHeight="1">
      <c r="A41" s="3" t="s">
        <v>400</v>
      </c>
      <c r="B41" s="3" t="s">
        <v>401</v>
      </c>
      <c r="C41" s="4"/>
      <c r="D41" s="4"/>
      <c r="E41" s="5" t="str">
        <f ca="1">IFERROR(__xludf.DUMMYFUNCTION("""COMPUTED_VALUE"""),"Wǒ kěyǐ shàng chē ma?")</f>
        <v>Wǒ kěyǐ shàng chē ma?</v>
      </c>
    </row>
    <row r="42" spans="1:5" ht="14.25" customHeight="1">
      <c r="A42" s="3" t="s">
        <v>402</v>
      </c>
      <c r="B42" s="3" t="s">
        <v>403</v>
      </c>
      <c r="C42" s="4"/>
      <c r="D42" s="4" t="s">
        <v>404</v>
      </c>
      <c r="E42" s="4" t="str">
        <f ca="1">IFERROR(__xludf.DUMMYFUNCTION("""COMPUTED_VALUE"""),"Hái yǒu kòngwèi ma?")</f>
        <v>Hái yǒu kòngwèi ma?</v>
      </c>
    </row>
    <row r="43" spans="1:5" ht="14.25" customHeight="1">
      <c r="A43" s="3" t="s">
        <v>405</v>
      </c>
      <c r="B43" s="3" t="s">
        <v>406</v>
      </c>
      <c r="C43" s="4"/>
      <c r="D43" s="4"/>
      <c r="E43" s="5" t="str">
        <f ca="1">IFERROR(__xludf.DUMMYFUNCTION("""COMPUTED_VALUE"""),"Zhège zuòwèi yǒurén ma?")</f>
        <v>Zhège zuòwèi yǒurén ma?</v>
      </c>
    </row>
    <row r="44" spans="1:5" ht="14.25" customHeight="1">
      <c r="A44" s="3" t="s">
        <v>407</v>
      </c>
      <c r="B44" s="3" t="s">
        <v>408</v>
      </c>
      <c r="C44" s="4"/>
      <c r="D44" s="4" t="s">
        <v>409</v>
      </c>
      <c r="E44" s="4" t="str">
        <f ca="1">IFERROR(__xludf.DUMMYFUNCTION("""COMPUTED_VALUE"""),"Chē fèi duōshǎo qián?")</f>
        <v>Chē fèi duōshǎo qián?</v>
      </c>
    </row>
    <row r="45" spans="1:5" ht="14.25" customHeight="1">
      <c r="A45" s="3" t="s">
        <v>410</v>
      </c>
      <c r="B45" s="3" t="s">
        <v>411</v>
      </c>
      <c r="C45" s="4"/>
      <c r="D45" s="4"/>
      <c r="E45" s="5" t="str">
        <f ca="1">IFERROR(__xludf.DUMMYFUNCTION("""COMPUTED_VALUE"""),"Qǐng gěi wǒ chē fèi.")</f>
        <v>Qǐng gěi wǒ chē fèi.</v>
      </c>
    </row>
    <row r="46" spans="1:5" ht="14.25" customHeight="1">
      <c r="A46" s="3" t="s">
        <v>412</v>
      </c>
      <c r="B46" s="3" t="s">
        <v>413</v>
      </c>
      <c r="C46" s="4"/>
      <c r="D46" s="4" t="s">
        <v>414</v>
      </c>
      <c r="E46" s="4" t="str">
        <f ca="1">IFERROR(__xludf.DUMMYFUNCTION("""COMPUTED_VALUE"""),"Wǒ gěi nǐ liǎng gèrén de qián.")</f>
        <v>Wǒ gěi nǐ liǎng gèrén de qián.</v>
      </c>
    </row>
    <row r="47" spans="1:5" ht="14.25" customHeight="1">
      <c r="A47" s="3" t="s">
        <v>415</v>
      </c>
      <c r="B47" s="3" t="s">
        <v>416</v>
      </c>
      <c r="C47" s="4"/>
      <c r="D47" s="4"/>
      <c r="E47" s="4" t="str">
        <f ca="1">IFERROR(__xludf.DUMMYFUNCTION("""COMPUTED_VALUE"""),"Zhè shì wǒ de qián.")</f>
        <v>Zhè shì wǒ de qián.</v>
      </c>
    </row>
    <row r="48" spans="1:5" ht="14.25" customHeight="1">
      <c r="A48" s="3" t="s">
        <v>417</v>
      </c>
      <c r="B48" s="3" t="s">
        <v>418</v>
      </c>
      <c r="C48" s="4"/>
      <c r="D48" s="4" t="s">
        <v>419</v>
      </c>
      <c r="E48" s="4" t="str">
        <f ca="1">IFERROR(__xludf.DUMMYFUNCTION("""COMPUTED_VALUE"""),"Qǐng zhǎo líng.")</f>
        <v>Qǐng zhǎo líng.</v>
      </c>
    </row>
    <row r="49" spans="1:5" ht="14.25" customHeight="1">
      <c r="A49" s="17" t="s">
        <v>420</v>
      </c>
      <c r="B49" s="17" t="s">
        <v>421</v>
      </c>
      <c r="C49" s="18"/>
      <c r="D49" s="18"/>
      <c r="E49" s="5" t="str">
        <f ca="1">IFERROR(__xludf.DUMMYFUNCTION("""COMPUTED_VALUE"""),"Wǒ zài zhèlǐ xià chē.(Gōngjiāo chē bìxū zài zhèlǐ tíngchē.)")</f>
        <v>Wǒ zài zhèlǐ xià chē.(Gōngjiāo chē bìxū zài zhèlǐ tíngchē.)</v>
      </c>
    </row>
    <row r="50" spans="1:5" ht="14.25" customHeight="1">
      <c r="A50" s="3" t="s">
        <v>422</v>
      </c>
      <c r="B50" s="3" t="s">
        <v>423</v>
      </c>
      <c r="C50" s="4"/>
      <c r="D50" s="4" t="s">
        <v>424</v>
      </c>
      <c r="E50" s="6" t="str">
        <f ca="1">IFERROR(__xludf.DUMMYFUNCTION("""COMPUTED_VALUE"""),"Qǐng ràng wǒ zài ménkǒu xià chē.")</f>
        <v>Qǐng ràng wǒ zài ménkǒu xià chē.</v>
      </c>
    </row>
    <row r="51" spans="1:5" ht="14.25" customHeight="1">
      <c r="A51" s="3" t="s">
        <v>425</v>
      </c>
      <c r="B51" s="3" t="s">
        <v>426</v>
      </c>
      <c r="C51" s="4"/>
      <c r="D51" s="4"/>
      <c r="E51" s="6" t="str">
        <f ca="1">IFERROR(__xludf.DUMMYFUNCTION("""COMPUTED_VALUE"""),"Qǐng zài zhèlǐ tíngchē.")</f>
        <v>Qǐng zài zhèlǐ tíngchē.</v>
      </c>
    </row>
    <row r="52" spans="1:5" ht="14.25" customHeight="1">
      <c r="A52" s="4"/>
      <c r="B52" s="4"/>
      <c r="C52" s="4"/>
      <c r="D52" s="4" t="s">
        <v>427</v>
      </c>
    </row>
    <row r="53" spans="1:5" ht="14.25" customHeight="1">
      <c r="A53" s="4"/>
      <c r="B53" s="4"/>
      <c r="C53" s="4"/>
      <c r="D53" s="4"/>
      <c r="E53" s="5"/>
    </row>
    <row r="54" spans="1:5" ht="14.25" customHeight="1">
      <c r="A54" s="4"/>
      <c r="B54" s="4"/>
      <c r="C54" s="4"/>
      <c r="D54" s="4" t="s">
        <v>428</v>
      </c>
      <c r="E54" s="5"/>
    </row>
    <row r="55" spans="1:5" ht="14.25" customHeight="1">
      <c r="A55" s="4"/>
      <c r="B55" s="4"/>
      <c r="C55" s="4"/>
      <c r="D55" s="4"/>
      <c r="E55" s="5"/>
    </row>
    <row r="56" spans="1:5" ht="14.25" customHeight="1">
      <c r="A56" s="4"/>
      <c r="B56" s="4"/>
      <c r="C56" s="4"/>
      <c r="D56" s="4" t="s">
        <v>429</v>
      </c>
      <c r="E56" s="5"/>
    </row>
    <row r="57" spans="1:5" ht="14.25" customHeight="1">
      <c r="A57" s="4"/>
      <c r="B57" s="4"/>
      <c r="C57" s="4"/>
      <c r="D57" s="4"/>
      <c r="E57" s="5"/>
    </row>
    <row r="58" spans="1:5" ht="14.25" customHeight="1">
      <c r="A58" s="4"/>
      <c r="B58" s="4"/>
      <c r="C58" s="4"/>
      <c r="D58" s="4" t="s">
        <v>430</v>
      </c>
      <c r="E58" s="5"/>
    </row>
    <row r="59" spans="1:5" ht="14.25" customHeight="1">
      <c r="A59" s="4"/>
      <c r="B59" s="4"/>
      <c r="C59" s="4"/>
      <c r="D59" s="4"/>
      <c r="E59" s="5"/>
    </row>
    <row r="60" spans="1:5" ht="14.25" customHeight="1">
      <c r="A60" s="4"/>
      <c r="B60" s="4"/>
      <c r="C60" s="4"/>
      <c r="D60" s="4" t="s">
        <v>431</v>
      </c>
      <c r="E60" s="5"/>
    </row>
    <row r="61" spans="1:5" ht="14.25" customHeight="1">
      <c r="A61" s="4"/>
      <c r="B61" s="4"/>
      <c r="C61" s="4"/>
      <c r="D61" s="4"/>
      <c r="E61" s="5"/>
    </row>
    <row r="62" spans="1:5" ht="14.25" customHeight="1">
      <c r="A62" s="4"/>
      <c r="B62" s="4"/>
      <c r="C62" s="4"/>
      <c r="D62" s="4" t="s">
        <v>432</v>
      </c>
      <c r="E62" s="5"/>
    </row>
    <row r="63" spans="1:5" ht="14.25" customHeight="1">
      <c r="A63" s="4"/>
      <c r="B63" s="4"/>
      <c r="C63" s="4"/>
      <c r="D63" s="4"/>
      <c r="E63" s="5"/>
    </row>
    <row r="64" spans="1:5" ht="14.25" customHeight="1">
      <c r="A64" s="4"/>
      <c r="B64" s="4"/>
      <c r="C64" s="4"/>
      <c r="D64" s="4" t="s">
        <v>433</v>
      </c>
      <c r="E64" s="5"/>
    </row>
    <row r="65" spans="1:5" ht="14.25" customHeight="1">
      <c r="A65" s="4"/>
      <c r="B65" s="4"/>
      <c r="C65" s="4"/>
      <c r="D65" s="4"/>
      <c r="E65" s="5"/>
    </row>
    <row r="66" spans="1:5" ht="14.25" customHeight="1">
      <c r="A66" s="4"/>
      <c r="B66" s="4"/>
      <c r="C66" s="4"/>
      <c r="D66" s="4" t="s">
        <v>434</v>
      </c>
      <c r="E66" s="5"/>
    </row>
    <row r="67" spans="1:5" ht="14.25" customHeight="1">
      <c r="A67" s="4"/>
      <c r="B67" s="4"/>
      <c r="C67" s="4"/>
      <c r="D67" s="4"/>
      <c r="E67" s="5"/>
    </row>
    <row r="68" spans="1:5" ht="14.25" customHeight="1">
      <c r="A68" s="4"/>
      <c r="B68" s="4"/>
      <c r="C68" s="4"/>
      <c r="D68" s="4" t="s">
        <v>435</v>
      </c>
      <c r="E68" s="5"/>
    </row>
    <row r="69" spans="1:5" ht="14.25" customHeight="1">
      <c r="A69" s="4"/>
      <c r="B69" s="4"/>
      <c r="C69" s="4"/>
      <c r="D69" s="4"/>
      <c r="E69" s="5"/>
    </row>
    <row r="70" spans="1:5" ht="14.25" customHeight="1">
      <c r="A70" s="4"/>
      <c r="B70" s="4"/>
      <c r="C70" s="4"/>
      <c r="D70" s="4" t="s">
        <v>436</v>
      </c>
      <c r="E70" s="5"/>
    </row>
    <row r="71" spans="1:5" ht="14.25" customHeight="1">
      <c r="A71" s="4"/>
      <c r="B71" s="4"/>
      <c r="C71" s="4"/>
      <c r="D71" s="4"/>
      <c r="E71" s="5"/>
    </row>
    <row r="72" spans="1:5" ht="14.25" customHeight="1">
      <c r="A72" s="4"/>
      <c r="B72" s="4"/>
      <c r="C72" s="4"/>
      <c r="D72" s="4" t="s">
        <v>437</v>
      </c>
      <c r="E72" s="5"/>
    </row>
    <row r="73" spans="1:5" ht="14.25" customHeight="1">
      <c r="A73" s="4"/>
      <c r="B73" s="4"/>
      <c r="C73" s="4"/>
      <c r="D73" s="4"/>
      <c r="E73" s="5"/>
    </row>
    <row r="74" spans="1:5" ht="14.25" customHeight="1">
      <c r="A74" s="4"/>
      <c r="B74" s="4"/>
      <c r="C74" s="4"/>
      <c r="D74" s="4" t="s">
        <v>438</v>
      </c>
      <c r="E74" s="5"/>
    </row>
    <row r="75" spans="1:5" ht="14.25" customHeight="1">
      <c r="A75" s="4"/>
      <c r="B75" s="4"/>
      <c r="C75" s="4"/>
      <c r="D75" s="4"/>
      <c r="E75" s="5"/>
    </row>
    <row r="76" spans="1:5" ht="14.25" customHeight="1">
      <c r="A76" s="4"/>
      <c r="B76" s="4"/>
      <c r="C76" s="4"/>
      <c r="D76" s="4" t="s">
        <v>439</v>
      </c>
      <c r="E76" s="5"/>
    </row>
    <row r="77" spans="1:5" ht="14.25" customHeight="1">
      <c r="A77" s="4"/>
      <c r="B77" s="4"/>
      <c r="C77" s="4"/>
      <c r="D77" s="4"/>
      <c r="E77" s="5"/>
    </row>
    <row r="78" spans="1:5" ht="14.25" customHeight="1">
      <c r="A78" s="4"/>
      <c r="B78" s="4"/>
      <c r="C78" s="4"/>
      <c r="D78" s="4" t="s">
        <v>440</v>
      </c>
      <c r="E78" s="5"/>
    </row>
    <row r="79" spans="1:5" ht="14.25" customHeight="1">
      <c r="A79" s="4"/>
      <c r="B79" s="4"/>
      <c r="C79" s="4"/>
      <c r="D79" s="4"/>
      <c r="E79" s="5"/>
    </row>
    <row r="80" spans="1:5" ht="14.25" customHeight="1">
      <c r="A80" s="4"/>
      <c r="B80" s="4"/>
      <c r="C80" s="4"/>
      <c r="D80" s="4" t="s">
        <v>441</v>
      </c>
      <c r="E80" s="5"/>
    </row>
    <row r="81" spans="1:5" ht="14.25" customHeight="1">
      <c r="A81" s="4"/>
      <c r="B81" s="4"/>
      <c r="C81" s="4"/>
      <c r="D81" s="4"/>
      <c r="E81" s="5"/>
    </row>
    <row r="82" spans="1:5" ht="14.25" customHeight="1">
      <c r="A82" s="4"/>
      <c r="B82" s="4"/>
      <c r="C82" s="4"/>
      <c r="D82" s="4" t="s">
        <v>442</v>
      </c>
      <c r="E82" s="5"/>
    </row>
    <row r="83" spans="1:5" ht="14.25" customHeight="1">
      <c r="A83" s="4"/>
      <c r="B83" s="4"/>
      <c r="C83" s="4"/>
      <c r="D83" s="4"/>
      <c r="E83" s="5"/>
    </row>
    <row r="84" spans="1:5" ht="14.25" customHeight="1">
      <c r="A84" s="4"/>
      <c r="B84" s="4"/>
      <c r="C84" s="4"/>
      <c r="D84" s="4" t="s">
        <v>443</v>
      </c>
      <c r="E84" s="5"/>
    </row>
    <row r="85" spans="1:5" ht="14.25" customHeight="1">
      <c r="A85" s="4"/>
      <c r="B85" s="4"/>
      <c r="C85" s="4"/>
      <c r="D85" s="4"/>
      <c r="E85" s="5"/>
    </row>
    <row r="86" spans="1:5" ht="14.25" customHeight="1">
      <c r="A86" s="4"/>
      <c r="B86" s="4"/>
      <c r="C86" s="4"/>
      <c r="D86" s="4" t="s">
        <v>444</v>
      </c>
      <c r="E86" s="5"/>
    </row>
    <row r="87" spans="1:5" ht="14.25" customHeight="1">
      <c r="A87" s="4"/>
      <c r="B87" s="4"/>
      <c r="C87" s="4"/>
      <c r="D87" s="4"/>
      <c r="E87" s="5"/>
    </row>
    <row r="88" spans="1:5" ht="14.25" customHeight="1">
      <c r="A88" s="4"/>
      <c r="B88" s="4"/>
      <c r="C88" s="4"/>
      <c r="D88" s="4" t="s">
        <v>445</v>
      </c>
      <c r="E88" s="5"/>
    </row>
    <row r="89" spans="1:5" ht="14.25" customHeight="1">
      <c r="A89" s="4"/>
      <c r="B89" s="4"/>
      <c r="C89" s="4"/>
      <c r="D89" s="4"/>
      <c r="E89" s="5"/>
    </row>
    <row r="90" spans="1:5" ht="14.25" customHeight="1">
      <c r="A90" s="4"/>
      <c r="B90" s="4"/>
      <c r="C90" s="4"/>
      <c r="D90" s="4" t="s">
        <v>446</v>
      </c>
      <c r="E90" s="5"/>
    </row>
    <row r="91" spans="1:5" ht="14.25" customHeight="1">
      <c r="A91" s="4"/>
      <c r="B91" s="4"/>
      <c r="C91" s="4"/>
      <c r="D91" s="4"/>
      <c r="E91" s="5"/>
    </row>
    <row r="92" spans="1:5" ht="14.25" customHeight="1">
      <c r="A92" s="4"/>
      <c r="B92" s="4"/>
      <c r="C92" s="4"/>
      <c r="D92" s="4" t="s">
        <v>447</v>
      </c>
      <c r="E92" s="5"/>
    </row>
    <row r="93" spans="1:5" ht="14.25" customHeight="1">
      <c r="A93" s="4"/>
      <c r="B93" s="4"/>
      <c r="C93" s="4"/>
      <c r="D93" s="4"/>
      <c r="E93" s="5"/>
    </row>
    <row r="94" spans="1:5" ht="14.25" customHeight="1">
      <c r="A94" s="4"/>
      <c r="B94" s="4"/>
      <c r="C94" s="4"/>
      <c r="D94" s="4" t="s">
        <v>448</v>
      </c>
      <c r="E94" s="5"/>
    </row>
    <row r="95" spans="1:5" ht="14.25" customHeight="1">
      <c r="A95" s="4"/>
      <c r="B95" s="4"/>
      <c r="C95" s="4"/>
      <c r="D95" s="4"/>
      <c r="E95" s="5"/>
    </row>
    <row r="96" spans="1:5" ht="14.25" customHeight="1">
      <c r="A96" s="4"/>
      <c r="B96" s="4"/>
      <c r="C96" s="4"/>
      <c r="D96" s="4" t="s">
        <v>449</v>
      </c>
      <c r="E96" s="5"/>
    </row>
    <row r="97" spans="1:5" ht="14.25" customHeight="1">
      <c r="A97" s="4"/>
      <c r="B97" s="4"/>
      <c r="C97" s="4"/>
      <c r="D97" s="4"/>
      <c r="E97" s="5"/>
    </row>
    <row r="98" spans="1:5" ht="14.25" customHeight="1">
      <c r="A98" s="4"/>
      <c r="B98" s="4"/>
      <c r="C98" s="4"/>
      <c r="D98" s="4" t="s">
        <v>450</v>
      </c>
      <c r="E98" s="5"/>
    </row>
    <row r="99" spans="1:5" ht="14.25" customHeight="1">
      <c r="A99" s="4"/>
      <c r="B99" s="4"/>
      <c r="C99" s="4"/>
      <c r="D99" s="4"/>
      <c r="E99" s="5"/>
    </row>
    <row r="100" spans="1:5" ht="14.25" customHeight="1">
      <c r="A100" s="4"/>
      <c r="B100" s="4"/>
      <c r="C100" s="4"/>
      <c r="D100" s="4" t="s">
        <v>451</v>
      </c>
      <c r="E100" s="5"/>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69.6640625" customWidth="1"/>
    <col min="2" max="4" width="48.88671875" customWidth="1"/>
    <col min="5" max="5" width="30.5546875" customWidth="1"/>
  </cols>
  <sheetData>
    <row r="1" spans="1:5" ht="14.25" customHeight="1">
      <c r="A1" s="19" t="s">
        <v>452</v>
      </c>
      <c r="B1" s="20"/>
      <c r="C1" s="2"/>
      <c r="D1" s="2"/>
      <c r="E1" s="2"/>
    </row>
    <row r="2" spans="1:5" ht="14.25" customHeight="1">
      <c r="A2" s="3" t="s">
        <v>453</v>
      </c>
      <c r="B2" s="3" t="s">
        <v>195</v>
      </c>
      <c r="C2" s="4"/>
      <c r="D2" s="4" t="s">
        <v>454</v>
      </c>
      <c r="E2" s="5" t="str">
        <f ca="1">IFERROR(__xludf.DUMMYFUNCTION("FILTER(D1:D1004,D1:D1004&lt;&gt; """")"),"Zhège duōshǎo qián?")</f>
        <v>Zhège duōshǎo qián?</v>
      </c>
    </row>
    <row r="3" spans="1:5" ht="14.25" customHeight="1">
      <c r="A3" s="3" t="s">
        <v>455</v>
      </c>
      <c r="B3" s="3" t="s">
        <v>456</v>
      </c>
      <c r="C3" s="4"/>
      <c r="D3" s="4"/>
      <c r="E3" s="6" t="str">
        <f ca="1">IFERROR(__xludf.DUMMYFUNCTION("""COMPUTED_VALUE"""),"Nàgè duōshǎo qián?")</f>
        <v>Nàgè duōshǎo qián?</v>
      </c>
    </row>
    <row r="4" spans="1:5" ht="14.25" customHeight="1">
      <c r="A4" s="3" t="s">
        <v>457</v>
      </c>
      <c r="B4" s="3" t="s">
        <v>458</v>
      </c>
      <c r="C4" s="4"/>
      <c r="D4" s="4" t="s">
        <v>459</v>
      </c>
      <c r="E4" s="5" t="str">
        <f ca="1">IFERROR(__xludf.DUMMYFUNCTION("""COMPUTED_VALUE"""),"Wǒ xiǎng mǎi zhège.")</f>
        <v>Wǒ xiǎng mǎi zhège.</v>
      </c>
    </row>
    <row r="5" spans="1:5" ht="14.25" customHeight="1">
      <c r="A5" s="3" t="s">
        <v>460</v>
      </c>
      <c r="B5" s="3" t="s">
        <v>461</v>
      </c>
      <c r="C5" s="4"/>
      <c r="D5" s="4"/>
      <c r="E5" s="5" t="str">
        <f ca="1">IFERROR(__xludf.DUMMYFUNCTION("""COMPUTED_VALUE"""),"Gěi wǒ kàn kàn zhège.")</f>
        <v>Gěi wǒ kàn kàn zhège.</v>
      </c>
    </row>
    <row r="6" spans="1:5" ht="14.25" customHeight="1">
      <c r="A6" s="3" t="s">
        <v>462</v>
      </c>
      <c r="B6" s="3" t="s">
        <v>463</v>
      </c>
      <c r="C6" s="4"/>
      <c r="D6" s="4" t="s">
        <v>464</v>
      </c>
      <c r="E6" s="5" t="str">
        <f ca="1">IFERROR(__xludf.DUMMYFUNCTION("""COMPUTED_VALUE"""),"Yǒu xīnkuǎn ma?")</f>
        <v>Yǒu xīnkuǎn ma?</v>
      </c>
    </row>
    <row r="7" spans="1:5" ht="14.25" customHeight="1">
      <c r="A7" s="3" t="s">
        <v>465</v>
      </c>
      <c r="B7" s="3" t="s">
        <v>466</v>
      </c>
      <c r="C7" s="4"/>
      <c r="D7" s="4"/>
      <c r="E7" s="5" t="str">
        <f ca="1">IFERROR(__xludf.DUMMYFUNCTION("""COMPUTED_VALUE"""),"Zhège zhēn piàoliang!")</f>
        <v>Zhège zhēn piàoliang!</v>
      </c>
    </row>
    <row r="8" spans="1:5" ht="14.25" customHeight="1">
      <c r="A8" s="3" t="s">
        <v>467</v>
      </c>
      <c r="B8" s="3" t="s">
        <v>468</v>
      </c>
      <c r="C8" s="4"/>
      <c r="D8" s="4" t="s">
        <v>469</v>
      </c>
      <c r="E8" s="5" t="str">
        <f ca="1">IFERROR(__xludf.DUMMYFUNCTION("""COMPUTED_VALUE"""),"Wǒ xǐhuān hóngsè dì nà jiàn.")</f>
        <v>Wǒ xǐhuān hóngsè dì nà jiàn.</v>
      </c>
    </row>
    <row r="9" spans="1:5" ht="14.25" customHeight="1">
      <c r="A9" s="3" t="s">
        <v>470</v>
      </c>
      <c r="B9" s="3" t="s">
        <v>471</v>
      </c>
      <c r="C9" s="4"/>
      <c r="D9" s="4"/>
      <c r="E9" s="5" t="str">
        <f ca="1">IFERROR(__xludf.DUMMYFUNCTION("""COMPUTED_VALUE"""),"Yǒu lán sè de ma?")</f>
        <v>Yǒu lán sè de ma?</v>
      </c>
    </row>
    <row r="10" spans="1:5" ht="14.25" customHeight="1">
      <c r="A10" s="3" t="s">
        <v>472</v>
      </c>
      <c r="B10" s="3" t="s">
        <v>473</v>
      </c>
      <c r="C10" s="4"/>
      <c r="D10" s="4" t="s">
        <v>474</v>
      </c>
      <c r="E10" s="5" t="str">
        <f ca="1">IFERROR(__xludf.DUMMYFUNCTION("""COMPUTED_VALUE"""),"Yǒu xiǎo hào de ma?")</f>
        <v>Yǒu xiǎo hào de ma?</v>
      </c>
    </row>
    <row r="11" spans="1:5" ht="14.25" customHeight="1">
      <c r="A11" s="3" t="s">
        <v>475</v>
      </c>
      <c r="B11" s="3" t="s">
        <v>476</v>
      </c>
      <c r="C11" s="4"/>
      <c r="D11" s="4"/>
      <c r="E11" s="5" t="str">
        <f ca="1">IFERROR(__xludf.DUMMYFUNCTION("""COMPUTED_VALUE"""),"Yǒu dà hào de ma?")</f>
        <v>Yǒu dà hào de ma?</v>
      </c>
    </row>
    <row r="12" spans="1:5" ht="14.25" customHeight="1">
      <c r="A12" s="3" t="s">
        <v>477</v>
      </c>
      <c r="B12" s="3" t="s">
        <v>478</v>
      </c>
      <c r="C12" s="4"/>
      <c r="D12" s="4" t="s">
        <v>479</v>
      </c>
      <c r="E12" s="6" t="str">
        <f ca="1">IFERROR(__xludf.DUMMYFUNCTION("""COMPUTED_VALUE"""),"Wǒ kěyǐ shì chuān ma?")</f>
        <v>Wǒ kěyǐ shì chuān ma?</v>
      </c>
    </row>
    <row r="13" spans="1:5" ht="14.25" customHeight="1">
      <c r="A13" s="3" t="s">
        <v>480</v>
      </c>
      <c r="B13" s="3" t="s">
        <v>481</v>
      </c>
      <c r="C13" s="4"/>
      <c r="D13" s="4"/>
      <c r="E13" s="6" t="str">
        <f ca="1">IFERROR(__xludf.DUMMYFUNCTION("""COMPUTED_VALUE"""),"Shì yī jiān zài nǎlǐ?")</f>
        <v>Shì yī jiān zài nǎlǐ?</v>
      </c>
    </row>
    <row r="14" spans="1:5" ht="14.25" customHeight="1">
      <c r="A14" s="3" t="s">
        <v>482</v>
      </c>
      <c r="B14" s="3" t="s">
        <v>483</v>
      </c>
      <c r="C14" s="4"/>
      <c r="D14" s="4" t="s">
        <v>484</v>
      </c>
      <c r="E14" s="6" t="str">
        <f ca="1">IFERROR(__xludf.DUMMYFUNCTION("""COMPUTED_VALUE"""),"Hěn héshēn!")</f>
        <v>Hěn héshēn!</v>
      </c>
    </row>
    <row r="15" spans="1:5" ht="14.25" customHeight="1">
      <c r="A15" s="3" t="s">
        <v>485</v>
      </c>
      <c r="B15" s="3" t="s">
        <v>486</v>
      </c>
      <c r="C15" s="4"/>
      <c r="D15" s="4"/>
      <c r="E15" s="6" t="str">
        <f ca="1">IFERROR(__xludf.DUMMYFUNCTION("""COMPUTED_VALUE"""),"Yǒudiǎn dà.")</f>
        <v>Yǒudiǎn dà.</v>
      </c>
    </row>
    <row r="16" spans="1:5" ht="14.25" customHeight="1">
      <c r="A16" s="3" t="s">
        <v>487</v>
      </c>
      <c r="B16" s="3" t="s">
        <v>488</v>
      </c>
      <c r="C16" s="4"/>
      <c r="D16" s="4" t="s">
        <v>489</v>
      </c>
      <c r="E16" s="6" t="str">
        <f ca="1">IFERROR(__xludf.DUMMYFUNCTION("""COMPUTED_VALUE"""),"Yǒudiǎn jǐn.")</f>
        <v>Yǒudiǎn jǐn.</v>
      </c>
    </row>
    <row r="17" spans="1:5" ht="14.25" customHeight="1">
      <c r="A17" s="3" t="s">
        <v>490</v>
      </c>
      <c r="B17" s="3" t="s">
        <v>491</v>
      </c>
      <c r="C17" s="4"/>
      <c r="D17" s="4"/>
      <c r="E17" s="7" t="str">
        <f ca="1">IFERROR(__xludf.DUMMYFUNCTION("""COMPUTED_VALUE"""),"Yǒu zhékòu ma?")</f>
        <v>Yǒu zhékòu ma?</v>
      </c>
    </row>
    <row r="18" spans="1:5" ht="14.25" customHeight="1">
      <c r="A18" s="3" t="s">
        <v>492</v>
      </c>
      <c r="B18" s="3" t="s">
        <v>493</v>
      </c>
      <c r="C18" s="4"/>
      <c r="D18" s="4" t="s">
        <v>494</v>
      </c>
      <c r="E18" s="5" t="str">
        <f ca="1">IFERROR(__xludf.DUMMYFUNCTION("""COMPUTED_VALUE"""),"Jiǎnshǎo tā.")</f>
        <v>Jiǎnshǎo tā.</v>
      </c>
    </row>
    <row r="19" spans="1:5" ht="14.25" customHeight="1">
      <c r="A19" s="3" t="s">
        <v>495</v>
      </c>
      <c r="B19" s="3" t="s">
        <v>496</v>
      </c>
      <c r="C19" s="4"/>
      <c r="D19" s="4"/>
      <c r="E19" s="4" t="str">
        <f ca="1">IFERROR(__xludf.DUMMYFUNCTION("""COMPUTED_VALUE"""),"100 Bǐsuǒ zěnme yàng?")</f>
        <v>100 Bǐsuǒ zěnme yàng?</v>
      </c>
    </row>
    <row r="20" spans="1:5" ht="14.25" customHeight="1">
      <c r="A20" s="3" t="s">
        <v>497</v>
      </c>
      <c r="B20" s="3" t="s">
        <v>498</v>
      </c>
      <c r="C20" s="4"/>
      <c r="D20" s="4" t="s">
        <v>499</v>
      </c>
      <c r="E20" s="5" t="str">
        <f ca="1">IFERROR(__xludf.DUMMYFUNCTION("""COMPUTED_VALUE"""),"Wǒ zhǐyǒu zhème duō qián.")</f>
        <v>Wǒ zhǐyǒu zhème duō qián.</v>
      </c>
    </row>
    <row r="21" spans="1:5" ht="14.25" customHeight="1">
      <c r="A21" s="3" t="s">
        <v>500</v>
      </c>
      <c r="B21" s="3" t="s">
        <v>501</v>
      </c>
      <c r="C21" s="4"/>
      <c r="D21" s="4"/>
      <c r="E21" s="6" t="str">
        <f ca="1">IFERROR(__xludf.DUMMYFUNCTION("""COMPUTED_VALUE"""),"Wǒ yào zhège.")</f>
        <v>Wǒ yào zhège.</v>
      </c>
    </row>
    <row r="22" spans="1:5" ht="14.25" customHeight="1">
      <c r="A22" s="3" t="s">
        <v>502</v>
      </c>
      <c r="B22" s="3" t="s">
        <v>503</v>
      </c>
      <c r="C22" s="4"/>
      <c r="D22" s="4" t="s">
        <v>504</v>
      </c>
      <c r="E22" s="6" t="str">
        <f ca="1">IFERROR(__xludf.DUMMYFUNCTION("""COMPUTED_VALUE"""),"Zhège wǒ bùyàole.")</f>
        <v>Zhège wǒ bùyàole.</v>
      </c>
    </row>
    <row r="23" spans="1:5" ht="14.25" customHeight="1">
      <c r="A23" s="3" t="s">
        <v>505</v>
      </c>
      <c r="B23" s="3" t="s">
        <v>506</v>
      </c>
      <c r="C23" s="4"/>
      <c r="D23" s="4"/>
      <c r="E23" s="6" t="str">
        <f ca="1">IFERROR(__xludf.DUMMYFUNCTION("""COMPUTED_VALUE"""),"Wǒ xiān kǎolǜ yīxià.")</f>
        <v>Wǒ xiān kǎolǜ yīxià.</v>
      </c>
    </row>
    <row r="24" spans="1:5" ht="14.25" customHeight="1">
      <c r="A24" s="3" t="s">
        <v>507</v>
      </c>
      <c r="B24" s="3" t="s">
        <v>508</v>
      </c>
      <c r="C24" s="4"/>
      <c r="D24" s="4" t="s">
        <v>509</v>
      </c>
      <c r="E24" s="6" t="str">
        <f ca="1">IFERROR(__xludf.DUMMYFUNCTION("""COMPUTED_VALUE"""),"Wǒ wǎndiǎn zàilái.")</f>
        <v>Wǒ wǎndiǎn zàilái.</v>
      </c>
    </row>
    <row r="25" spans="1:5" ht="14.25" customHeight="1">
      <c r="A25" s="3" t="s">
        <v>510</v>
      </c>
      <c r="B25" s="3" t="s">
        <v>511</v>
      </c>
      <c r="C25" s="4"/>
      <c r="D25" s="4"/>
      <c r="E25" s="6" t="str">
        <f ca="1">IFERROR(__xludf.DUMMYFUNCTION("""COMPUTED_VALUE"""),"Shōuyín tái zài nǎlǐ?")</f>
        <v>Shōuyín tái zài nǎlǐ?</v>
      </c>
    </row>
    <row r="26" spans="1:5" ht="14.25" customHeight="1">
      <c r="A26" s="3" t="s">
        <v>512</v>
      </c>
      <c r="B26" s="3" t="s">
        <v>513</v>
      </c>
      <c r="C26" s="4"/>
      <c r="D26" s="4" t="s">
        <v>514</v>
      </c>
      <c r="E26" s="6" t="str">
        <f ca="1">IFERROR(__xludf.DUMMYFUNCTION("""COMPUTED_VALUE"""),"Wǒ kěyǐ fù xiànjīn ma?")</f>
        <v>Wǒ kěyǐ fù xiànjīn ma?</v>
      </c>
    </row>
    <row r="27" spans="1:5" ht="14.25" customHeight="1">
      <c r="A27" s="3" t="s">
        <v>515</v>
      </c>
      <c r="B27" s="3" t="s">
        <v>516</v>
      </c>
      <c r="C27" s="4"/>
      <c r="D27" s="4"/>
      <c r="E27" s="6" t="str">
        <f ca="1">IFERROR(__xludf.DUMMYFUNCTION("""COMPUTED_VALUE"""),"Nǐmen jiēshòu shuākǎ ma?")</f>
        <v>Nǐmen jiēshòu shuākǎ ma?</v>
      </c>
    </row>
    <row r="28" spans="1:5" ht="14.25" customHeight="1">
      <c r="A28" s="3" t="s">
        <v>517</v>
      </c>
      <c r="B28" s="3" t="s">
        <v>518</v>
      </c>
      <c r="C28" s="4"/>
      <c r="D28" s="4" t="s">
        <v>519</v>
      </c>
      <c r="E28" s="6" t="str">
        <f ca="1">IFERROR(__xludf.DUMMYFUNCTION("""COMPUTED_VALUE"""),"Wǒ kěyǐ sǎomiáo wǒ de GCash mǎ ma?")</f>
        <v>Wǒ kěyǐ sǎomiáo wǒ de GCash mǎ ma?</v>
      </c>
    </row>
    <row r="29" spans="1:5" ht="14.25" customHeight="1">
      <c r="A29" s="3" t="s">
        <v>520</v>
      </c>
      <c r="B29" s="3" t="s">
        <v>521</v>
      </c>
      <c r="C29" s="4"/>
      <c r="D29" s="4"/>
      <c r="E29" s="6" t="str">
        <f ca="1">IFERROR(__xludf.DUMMYFUNCTION("""COMPUTED_VALUE"""),"Zhè shì wǒ de fùkuǎn.")</f>
        <v>Zhè shì wǒ de fùkuǎn.</v>
      </c>
    </row>
    <row r="30" spans="1:5" ht="14.25" customHeight="1">
      <c r="A30" s="3" t="s">
        <v>522</v>
      </c>
      <c r="B30" s="3" t="s">
        <v>523</v>
      </c>
      <c r="C30" s="4"/>
      <c r="D30" s="4" t="s">
        <v>524</v>
      </c>
      <c r="E30" s="6" t="str">
        <f ca="1">IFERROR(__xludf.DUMMYFUNCTION("""COMPUTED_VALUE"""),"Zhè shì qián.")</f>
        <v>Zhè shì qián.</v>
      </c>
    </row>
    <row r="31" spans="1:5" ht="14.25" customHeight="1">
      <c r="A31" s="3" t="s">
        <v>525</v>
      </c>
      <c r="B31" s="3" t="s">
        <v>526</v>
      </c>
      <c r="C31" s="4"/>
      <c r="D31" s="4"/>
      <c r="E31" s="4" t="str">
        <f ca="1">IFERROR(__xludf.DUMMYFUNCTION("""COMPUTED_VALUE"""),"Qǐng gěi wǒ shōujù.")</f>
        <v>Qǐng gěi wǒ shōujù.</v>
      </c>
    </row>
    <row r="32" spans="1:5" ht="14.25" customHeight="1">
      <c r="A32" s="3" t="s">
        <v>527</v>
      </c>
      <c r="B32" s="3" t="s">
        <v>528</v>
      </c>
      <c r="C32" s="4"/>
      <c r="D32" s="4" t="s">
        <v>529</v>
      </c>
      <c r="E32" s="4" t="str">
        <f ca="1">IFERROR(__xludf.DUMMYFUNCTION("""COMPUTED_VALUE"""),"Néng gěi wǒ yīgè sùliào dài ma?")</f>
        <v>Néng gěi wǒ yīgè sùliào dài ma?</v>
      </c>
    </row>
    <row r="33" spans="1:5" ht="14.25" customHeight="1">
      <c r="A33" s="3" t="s">
        <v>530</v>
      </c>
      <c r="B33" s="3" t="s">
        <v>531</v>
      </c>
      <c r="C33" s="4"/>
      <c r="D33" s="4" t="s">
        <v>532</v>
      </c>
      <c r="E33" s="4" t="str">
        <f ca="1">IFERROR(__xludf.DUMMYFUNCTION("""COMPUTED_VALUE"""),"Wǒ zìjǐ dàile dàizǐ.")</f>
        <v>Wǒ zìjǐ dàile dàizǐ.</v>
      </c>
    </row>
    <row r="34" spans="1:5" ht="14.25" customHeight="1">
      <c r="A34" s="3" t="s">
        <v>533</v>
      </c>
      <c r="B34" s="3" t="s">
        <v>534</v>
      </c>
      <c r="C34" s="4"/>
      <c r="D34" s="4" t="s">
        <v>535</v>
      </c>
      <c r="E34" s="4" t="str">
        <f ca="1">IFERROR(__xludf.DUMMYFUNCTION("""COMPUTED_VALUE"""),"Zhège dàizǐ huàile.")</f>
        <v>Zhège dàizǐ huàile.</v>
      </c>
    </row>
    <row r="35" spans="1:5" ht="14.25" customHeight="1">
      <c r="A35" s="3" t="s">
        <v>536</v>
      </c>
      <c r="B35" s="3" t="s">
        <v>537</v>
      </c>
      <c r="C35" s="4"/>
      <c r="D35" s="4"/>
      <c r="E35" s="8" t="str">
        <f ca="1">IFERROR(__xludf.DUMMYFUNCTION("""COMPUTED_VALUE"""),"Wǒ xiǎng huàn yīgè.")</f>
        <v>Wǒ xiǎng huàn yīgè.</v>
      </c>
    </row>
    <row r="36" spans="1:5" ht="14.25" customHeight="1">
      <c r="A36" s="3" t="s">
        <v>538</v>
      </c>
      <c r="B36" s="3" t="s">
        <v>539</v>
      </c>
      <c r="C36" s="4"/>
      <c r="D36" s="4" t="s">
        <v>540</v>
      </c>
      <c r="E36" s="5" t="str">
        <f ca="1">IFERROR(__xludf.DUMMYFUNCTION("""COMPUTED_VALUE"""),"Yǒu bǎoxiū ma?")</f>
        <v>Yǒu bǎoxiū ma?</v>
      </c>
    </row>
    <row r="37" spans="1:5" ht="14.25" customHeight="1">
      <c r="A37" s="3" t="s">
        <v>541</v>
      </c>
      <c r="B37" s="3" t="s">
        <v>542</v>
      </c>
      <c r="C37" s="4"/>
      <c r="D37" s="4"/>
      <c r="E37" s="8" t="str">
        <f ca="1">IFERROR(__xludf.DUMMYFUNCTION("""COMPUTED_VALUE"""),"Zhèlǐ mài niúnǎi ma?")</f>
        <v>Zhèlǐ mài niúnǎi ma?</v>
      </c>
    </row>
    <row r="38" spans="1:5" ht="14.25" customHeight="1">
      <c r="A38" s="3" t="s">
        <v>543</v>
      </c>
      <c r="B38" s="3" t="s">
        <v>544</v>
      </c>
      <c r="C38" s="4"/>
      <c r="D38" s="4" t="s">
        <v>545</v>
      </c>
      <c r="E38" s="5" t="str">
        <f ca="1">IFERROR(__xludf.DUMMYFUNCTION("""COMPUTED_VALUE"""),"Tángguǒ diàn zài nǎlǐ?")</f>
        <v>Tángguǒ diàn zài nǎlǐ?</v>
      </c>
    </row>
    <row r="39" spans="1:5" ht="14.25" customHeight="1">
      <c r="A39" s="3" t="s">
        <v>546</v>
      </c>
      <c r="B39" s="3" t="s">
        <v>547</v>
      </c>
      <c r="C39" s="4"/>
      <c r="D39" s="4"/>
      <c r="E39" s="6" t="str">
        <f ca="1">IFERROR(__xludf.DUMMYFUNCTION("""COMPUTED_VALUE"""),"Wǒ xiǎng yào liǎng gè jīdàn.")</f>
        <v>Wǒ xiǎng yào liǎng gè jīdàn.</v>
      </c>
    </row>
    <row r="40" spans="1:5" ht="14.25" customHeight="1">
      <c r="A40" s="3" t="s">
        <v>548</v>
      </c>
      <c r="B40" s="3" t="s">
        <v>549</v>
      </c>
      <c r="C40" s="4"/>
      <c r="D40" s="4" t="s">
        <v>550</v>
      </c>
      <c r="E40" s="6" t="str">
        <f ca="1">IFERROR(__xludf.DUMMYFUNCTION("""COMPUTED_VALUE"""),"Yī gōngjīn mángguǒ duōshǎo qián?")</f>
        <v>Yī gōngjīn mángguǒ duōshǎo qián?</v>
      </c>
    </row>
    <row r="41" spans="1:5" ht="14.25" customHeight="1">
      <c r="A41" s="3" t="s">
        <v>551</v>
      </c>
      <c r="B41" s="3" t="s">
        <v>552</v>
      </c>
      <c r="C41" s="4"/>
      <c r="D41" s="4"/>
      <c r="E41" s="5" t="str">
        <f ca="1">IFERROR(__xludf.DUMMYFUNCTION("""COMPUTED_VALUE"""),"Qǐng gěi wǒ zuì hǎo de pǐnzhǒng.")</f>
        <v>Qǐng gěi wǒ zuì hǎo de pǐnzhǒng.</v>
      </c>
    </row>
    <row r="42" spans="1:5" ht="14.25" customHeight="1">
      <c r="A42" s="3" t="s">
        <v>553</v>
      </c>
      <c r="B42" s="3" t="s">
        <v>554</v>
      </c>
      <c r="C42" s="4"/>
      <c r="D42" s="4" t="s">
        <v>555</v>
      </c>
      <c r="E42" s="4" t="str">
        <f ca="1">IFERROR(__xludf.DUMMYFUNCTION("""COMPUTED_VALUE"""),"Zhè shì nǎlǐ shēngchǎn de?")</f>
        <v>Zhè shì nǎlǐ shēngchǎn de?</v>
      </c>
    </row>
    <row r="43" spans="1:5" ht="14.25" customHeight="1">
      <c r="A43" s="3" t="s">
        <v>556</v>
      </c>
      <c r="B43" s="3" t="s">
        <v>557</v>
      </c>
      <c r="C43" s="4"/>
      <c r="D43" s="4"/>
      <c r="E43" s="5" t="str">
        <f ca="1">IFERROR(__xludf.DUMMYFUNCTION("""COMPUTED_VALUE"""),"Yǒu zèngpǐn ma?")</f>
        <v>Yǒu zèngpǐn ma?</v>
      </c>
    </row>
    <row r="44" spans="1:5" ht="14.25" customHeight="1">
      <c r="A44" s="3" t="s">
        <v>558</v>
      </c>
      <c r="B44" s="3" t="s">
        <v>559</v>
      </c>
      <c r="C44" s="4"/>
      <c r="D44" s="4" t="s">
        <v>560</v>
      </c>
      <c r="E44" s="4" t="str">
        <f ca="1">IFERROR(__xludf.DUMMYFUNCTION("""COMPUTED_VALUE"""),"Shāngdiàn jǐ diǎn guānmén?")</f>
        <v>Shāngdiàn jǐ diǎn guānmén?</v>
      </c>
    </row>
    <row r="45" spans="1:5" ht="14.25" customHeight="1">
      <c r="A45" s="3" t="s">
        <v>561</v>
      </c>
      <c r="B45" s="3" t="s">
        <v>562</v>
      </c>
      <c r="C45" s="4"/>
      <c r="D45" s="4"/>
      <c r="E45" s="5" t="str">
        <f ca="1">IFERROR(__xludf.DUMMYFUNCTION("""COMPUTED_VALUE"""),"Shāngdiàn jǐ diǎn kāimén?")</f>
        <v>Shāngdiàn jǐ diǎn kāimén?</v>
      </c>
    </row>
    <row r="46" spans="1:5" ht="14.25" customHeight="1">
      <c r="A46" s="3" t="s">
        <v>563</v>
      </c>
      <c r="B46" s="3" t="s">
        <v>564</v>
      </c>
      <c r="C46" s="4"/>
      <c r="D46" s="4" t="s">
        <v>565</v>
      </c>
      <c r="E46" s="4" t="str">
        <f ca="1">IFERROR(__xludf.DUMMYFUNCTION("""COMPUTED_VALUE"""),"Wǒ xiǎng mǎi gè wánjù.")</f>
        <v>Wǒ xiǎng mǎi gè wánjù.</v>
      </c>
    </row>
    <row r="47" spans="1:5" ht="14.25" customHeight="1">
      <c r="A47" s="3" t="s">
        <v>566</v>
      </c>
      <c r="B47" s="3" t="s">
        <v>567</v>
      </c>
      <c r="C47" s="4"/>
      <c r="D47" s="4"/>
      <c r="E47" s="4" t="str">
        <f ca="1">IFERROR(__xludf.DUMMYFUNCTION("""COMPUTED_VALUE"""),"Zhège tài guìle, wǒ mǎi bù qǐ.")</f>
        <v>Zhège tài guìle, wǒ mǎi bù qǐ.</v>
      </c>
    </row>
    <row r="48" spans="1:5" ht="14.25" customHeight="1">
      <c r="A48" s="3" t="s">
        <v>568</v>
      </c>
      <c r="B48" s="3" t="s">
        <v>569</v>
      </c>
      <c r="C48" s="4"/>
      <c r="D48" s="4" t="s">
        <v>570</v>
      </c>
      <c r="E48" s="4" t="str">
        <f ca="1">IFERROR(__xludf.DUMMYFUNCTION("""COMPUTED_VALUE"""),"Yǒu gèng piányí de ma?")</f>
        <v>Yǒu gèng piányí de ma?</v>
      </c>
    </row>
    <row r="49" spans="1:5" ht="14.25" customHeight="1">
      <c r="A49" s="3" t="s">
        <v>571</v>
      </c>
      <c r="B49" s="3" t="s">
        <v>572</v>
      </c>
      <c r="C49" s="4"/>
      <c r="D49" s="4"/>
      <c r="E49" s="5" t="str">
        <f ca="1">IFERROR(__xludf.DUMMYFUNCTION("""COMPUTED_VALUE"""),"Xièxiè nǐ de zhékòu!")</f>
        <v>Xièxiè nǐ de zhékòu!</v>
      </c>
    </row>
    <row r="50" spans="1:5" ht="14.25" customHeight="1">
      <c r="A50" s="3" t="s">
        <v>573</v>
      </c>
      <c r="B50" s="3" t="s">
        <v>574</v>
      </c>
      <c r="C50" s="4"/>
      <c r="D50" s="4" t="s">
        <v>575</v>
      </c>
      <c r="E50" s="6" t="str">
        <f ca="1">IFERROR(__xludf.DUMMYFUNCTION("""COMPUTED_VALUE"""),"Zhù nǐ shēngyì xīnglóng!")</f>
        <v>Zhù nǐ shēngyì xīnglóng!</v>
      </c>
    </row>
    <row r="51" spans="1:5" ht="14.25" customHeight="1">
      <c r="A51" s="3" t="s">
        <v>576</v>
      </c>
      <c r="B51" s="3" t="s">
        <v>577</v>
      </c>
      <c r="C51" s="4"/>
      <c r="D51" s="4"/>
      <c r="E51" s="6" t="str">
        <f ca="1">IFERROR(__xludf.DUMMYFUNCTION("""COMPUTED_VALUE"""),"Xià cì jiàn!")</f>
        <v>Xià cì jiàn!</v>
      </c>
    </row>
    <row r="52" spans="1:5" ht="14.25" customHeight="1">
      <c r="A52" s="4"/>
      <c r="B52" s="4"/>
      <c r="C52" s="4"/>
      <c r="D52" s="4" t="s">
        <v>578</v>
      </c>
    </row>
    <row r="53" spans="1:5" ht="14.25" customHeight="1">
      <c r="A53" s="4"/>
      <c r="B53" s="4"/>
      <c r="C53" s="4"/>
      <c r="D53" s="4"/>
      <c r="E53" s="5"/>
    </row>
    <row r="54" spans="1:5" ht="14.25" customHeight="1">
      <c r="A54" s="4"/>
      <c r="B54" s="4"/>
      <c r="C54" s="4"/>
      <c r="D54" s="4" t="s">
        <v>579</v>
      </c>
      <c r="E54" s="5"/>
    </row>
    <row r="55" spans="1:5" ht="14.25" customHeight="1">
      <c r="A55" s="4"/>
      <c r="B55" s="4"/>
      <c r="C55" s="4"/>
      <c r="D55" s="4"/>
      <c r="E55" s="5"/>
    </row>
    <row r="56" spans="1:5" ht="14.25" customHeight="1">
      <c r="A56" s="4"/>
      <c r="B56" s="4"/>
      <c r="C56" s="4"/>
      <c r="D56" s="4" t="s">
        <v>580</v>
      </c>
      <c r="E56" s="5"/>
    </row>
    <row r="57" spans="1:5" ht="14.25" customHeight="1">
      <c r="A57" s="4"/>
      <c r="B57" s="4"/>
      <c r="C57" s="4"/>
      <c r="D57" s="4" t="s">
        <v>581</v>
      </c>
      <c r="E57" s="5"/>
    </row>
    <row r="58" spans="1:5" ht="14.25" customHeight="1">
      <c r="A58" s="4"/>
      <c r="B58" s="4"/>
      <c r="C58" s="4"/>
      <c r="D58" s="4" t="s">
        <v>582</v>
      </c>
      <c r="E58" s="5"/>
    </row>
    <row r="59" spans="1:5" ht="14.25" customHeight="1">
      <c r="A59" s="4"/>
      <c r="B59" s="4"/>
      <c r="C59" s="4"/>
      <c r="D59" s="4"/>
      <c r="E59" s="5"/>
    </row>
    <row r="60" spans="1:5" ht="14.25" customHeight="1">
      <c r="A60" s="4"/>
      <c r="B60" s="4"/>
      <c r="C60" s="4"/>
      <c r="D60" s="4" t="s">
        <v>583</v>
      </c>
      <c r="E60" s="5"/>
    </row>
    <row r="61" spans="1:5" ht="14.25" customHeight="1">
      <c r="A61" s="4"/>
      <c r="B61" s="4"/>
      <c r="C61" s="4"/>
      <c r="D61" s="4"/>
      <c r="E61" s="5"/>
    </row>
    <row r="62" spans="1:5" ht="14.25" customHeight="1">
      <c r="A62" s="4"/>
      <c r="B62" s="4"/>
      <c r="C62" s="4"/>
      <c r="D62" s="4" t="s">
        <v>584</v>
      </c>
      <c r="E62" s="5"/>
    </row>
    <row r="63" spans="1:5" ht="14.25" customHeight="1">
      <c r="A63" s="4"/>
      <c r="B63" s="4"/>
      <c r="C63" s="4"/>
      <c r="D63" s="4"/>
      <c r="E63" s="5"/>
    </row>
    <row r="64" spans="1:5" ht="14.25" customHeight="1">
      <c r="A64" s="4"/>
      <c r="B64" s="4"/>
      <c r="C64" s="4"/>
      <c r="D64" s="4" t="s">
        <v>585</v>
      </c>
      <c r="E64" s="5"/>
    </row>
    <row r="65" spans="1:5" ht="14.25" customHeight="1">
      <c r="A65" s="4"/>
      <c r="B65" s="4"/>
      <c r="C65" s="4"/>
      <c r="D65" s="4"/>
      <c r="E65" s="5"/>
    </row>
    <row r="66" spans="1:5" ht="14.25" customHeight="1">
      <c r="A66" s="4"/>
      <c r="B66" s="4"/>
      <c r="C66" s="4"/>
      <c r="D66" s="4" t="s">
        <v>586</v>
      </c>
      <c r="E66" s="5"/>
    </row>
    <row r="67" spans="1:5" ht="14.25" customHeight="1">
      <c r="A67" s="4"/>
      <c r="B67" s="4"/>
      <c r="C67" s="4"/>
      <c r="D67" s="4"/>
      <c r="E67" s="5"/>
    </row>
    <row r="68" spans="1:5" ht="14.25" customHeight="1">
      <c r="A68" s="4"/>
      <c r="B68" s="4"/>
      <c r="C68" s="4"/>
      <c r="D68" s="4" t="s">
        <v>587</v>
      </c>
      <c r="E68" s="5"/>
    </row>
    <row r="69" spans="1:5" ht="14.25" customHeight="1">
      <c r="A69" s="4"/>
      <c r="B69" s="4"/>
      <c r="C69" s="4"/>
      <c r="D69" s="4"/>
      <c r="E69" s="5"/>
    </row>
    <row r="70" spans="1:5" ht="14.25" customHeight="1">
      <c r="A70" s="4"/>
      <c r="B70" s="4"/>
      <c r="C70" s="4"/>
      <c r="D70" s="4" t="s">
        <v>588</v>
      </c>
      <c r="E70" s="5"/>
    </row>
    <row r="71" spans="1:5" ht="14.25" customHeight="1">
      <c r="A71" s="4"/>
      <c r="B71" s="4"/>
      <c r="C71" s="4"/>
      <c r="D71" s="4"/>
      <c r="E71" s="5"/>
    </row>
    <row r="72" spans="1:5" ht="14.25" customHeight="1">
      <c r="A72" s="4"/>
      <c r="B72" s="4"/>
      <c r="C72" s="4"/>
      <c r="D72" s="4" t="s">
        <v>589</v>
      </c>
      <c r="E72" s="5"/>
    </row>
    <row r="73" spans="1:5" ht="14.25" customHeight="1">
      <c r="A73" s="4"/>
      <c r="B73" s="4"/>
      <c r="C73" s="4"/>
      <c r="D73" s="4"/>
      <c r="E73" s="5"/>
    </row>
    <row r="74" spans="1:5" ht="14.25" customHeight="1">
      <c r="A74" s="4"/>
      <c r="B74" s="4"/>
      <c r="C74" s="4"/>
      <c r="D74" s="4" t="s">
        <v>590</v>
      </c>
      <c r="E74" s="5"/>
    </row>
    <row r="75" spans="1:5" ht="14.25" customHeight="1">
      <c r="A75" s="4"/>
      <c r="B75" s="4"/>
      <c r="C75" s="4"/>
      <c r="D75" s="4"/>
      <c r="E75" s="5"/>
    </row>
    <row r="76" spans="1:5" ht="14.25" customHeight="1">
      <c r="A76" s="4"/>
      <c r="B76" s="4"/>
      <c r="C76" s="4"/>
      <c r="D76" s="4" t="s">
        <v>591</v>
      </c>
      <c r="E76" s="5"/>
    </row>
    <row r="77" spans="1:5" ht="14.25" customHeight="1">
      <c r="A77" s="4"/>
      <c r="B77" s="4"/>
      <c r="C77" s="4"/>
      <c r="D77" s="4"/>
      <c r="E77" s="5"/>
    </row>
    <row r="78" spans="1:5" ht="14.25" customHeight="1">
      <c r="A78" s="4"/>
      <c r="B78" s="4"/>
      <c r="C78" s="4"/>
      <c r="D78" s="4" t="s">
        <v>592</v>
      </c>
      <c r="E78" s="5"/>
    </row>
    <row r="79" spans="1:5" ht="14.25" customHeight="1">
      <c r="A79" s="4"/>
      <c r="B79" s="4"/>
      <c r="C79" s="4"/>
      <c r="D79" s="4"/>
      <c r="E79" s="5"/>
    </row>
    <row r="80" spans="1:5" ht="14.25" customHeight="1">
      <c r="A80" s="4"/>
      <c r="B80" s="4"/>
      <c r="C80" s="4"/>
      <c r="D80" s="4" t="s">
        <v>593</v>
      </c>
      <c r="E80" s="5"/>
    </row>
    <row r="81" spans="1:5" ht="14.25" customHeight="1">
      <c r="A81" s="4"/>
      <c r="B81" s="4"/>
      <c r="C81" s="4"/>
      <c r="D81" s="4"/>
      <c r="E81" s="5"/>
    </row>
    <row r="82" spans="1:5" ht="14.25" customHeight="1">
      <c r="A82" s="4"/>
      <c r="B82" s="4"/>
      <c r="C82" s="4"/>
      <c r="D82" s="4" t="s">
        <v>594</v>
      </c>
      <c r="E82" s="5"/>
    </row>
    <row r="83" spans="1:5" ht="14.25" customHeight="1">
      <c r="A83" s="4"/>
      <c r="B83" s="4"/>
      <c r="C83" s="4"/>
      <c r="D83" s="4"/>
      <c r="E83" s="5"/>
    </row>
    <row r="84" spans="1:5" ht="14.25" customHeight="1">
      <c r="A84" s="4"/>
      <c r="B84" s="4"/>
      <c r="C84" s="4"/>
      <c r="D84" s="4" t="s">
        <v>595</v>
      </c>
      <c r="E84" s="5"/>
    </row>
    <row r="85" spans="1:5" ht="14.25" customHeight="1">
      <c r="A85" s="4"/>
      <c r="B85" s="4"/>
      <c r="C85" s="4"/>
      <c r="D85" s="4"/>
      <c r="E85" s="5"/>
    </row>
    <row r="86" spans="1:5" ht="14.25" customHeight="1">
      <c r="A86" s="4"/>
      <c r="B86" s="4"/>
      <c r="C86" s="4"/>
      <c r="D86" s="4" t="s">
        <v>596</v>
      </c>
      <c r="E86" s="5"/>
    </row>
    <row r="87" spans="1:5" ht="14.25" customHeight="1">
      <c r="A87" s="4"/>
      <c r="B87" s="4"/>
      <c r="C87" s="4"/>
      <c r="D87" s="4"/>
      <c r="E87" s="5"/>
    </row>
    <row r="88" spans="1:5" ht="14.25" customHeight="1">
      <c r="A88" s="4"/>
      <c r="B88" s="4"/>
      <c r="C88" s="4"/>
      <c r="D88" s="4" t="s">
        <v>597</v>
      </c>
      <c r="E88" s="5"/>
    </row>
    <row r="89" spans="1:5" ht="14.25" customHeight="1">
      <c r="A89" s="4"/>
      <c r="B89" s="4"/>
      <c r="C89" s="4"/>
      <c r="D89" s="4"/>
      <c r="E89" s="5"/>
    </row>
    <row r="90" spans="1:5" ht="14.25" customHeight="1">
      <c r="A90" s="4"/>
      <c r="B90" s="4"/>
      <c r="C90" s="4"/>
      <c r="D90" s="4" t="s">
        <v>598</v>
      </c>
      <c r="E90" s="5"/>
    </row>
    <row r="91" spans="1:5" ht="14.25" customHeight="1">
      <c r="A91" s="4"/>
      <c r="B91" s="4"/>
      <c r="C91" s="4"/>
      <c r="D91" s="4"/>
      <c r="E91" s="5"/>
    </row>
    <row r="92" spans="1:5" ht="14.25" customHeight="1">
      <c r="A92" s="4"/>
      <c r="B92" s="4"/>
      <c r="C92" s="4"/>
      <c r="D92" s="4" t="s">
        <v>599</v>
      </c>
      <c r="E92" s="5"/>
    </row>
    <row r="93" spans="1:5" ht="14.25" customHeight="1">
      <c r="A93" s="4"/>
      <c r="B93" s="4"/>
      <c r="C93" s="4"/>
      <c r="D93" s="4"/>
      <c r="E93" s="5"/>
    </row>
    <row r="94" spans="1:5" ht="14.25" customHeight="1">
      <c r="A94" s="4"/>
      <c r="B94" s="4"/>
      <c r="C94" s="4"/>
      <c r="D94" s="4" t="s">
        <v>600</v>
      </c>
      <c r="E94" s="5"/>
    </row>
    <row r="95" spans="1:5" ht="14.25" customHeight="1">
      <c r="A95" s="4"/>
      <c r="B95" s="4"/>
      <c r="C95" s="4"/>
      <c r="D95" s="4"/>
      <c r="E95" s="5"/>
    </row>
    <row r="96" spans="1:5" ht="14.25" customHeight="1">
      <c r="A96" s="4"/>
      <c r="B96" s="4"/>
      <c r="C96" s="4"/>
      <c r="D96" s="4" t="s">
        <v>601</v>
      </c>
      <c r="E96" s="5"/>
    </row>
    <row r="97" spans="1:5" ht="14.25" customHeight="1">
      <c r="A97" s="4"/>
      <c r="B97" s="4"/>
      <c r="C97" s="4"/>
      <c r="D97" s="4"/>
      <c r="E97" s="5"/>
    </row>
    <row r="98" spans="1:5" ht="14.25" customHeight="1">
      <c r="A98" s="4"/>
      <c r="B98" s="4"/>
      <c r="C98" s="4"/>
      <c r="D98" s="4"/>
      <c r="E98" s="5"/>
    </row>
    <row r="99" spans="1:5" ht="14.25" customHeight="1">
      <c r="A99" s="4"/>
      <c r="B99" s="4"/>
      <c r="C99" s="4"/>
      <c r="D99" s="4"/>
      <c r="E99" s="5"/>
    </row>
    <row r="100" spans="1:5" ht="14.25" customHeight="1">
      <c r="A100" s="4"/>
      <c r="B100" s="4"/>
      <c r="C100" s="4"/>
      <c r="D100" s="4"/>
      <c r="E100" s="5"/>
    </row>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49.109375" customWidth="1"/>
    <col min="2" max="4" width="59.6640625" customWidth="1"/>
    <col min="5" max="5" width="30.5546875" customWidth="1"/>
  </cols>
  <sheetData>
    <row r="1" spans="1:5" ht="14.25" customHeight="1">
      <c r="A1" s="19" t="s">
        <v>602</v>
      </c>
      <c r="B1" s="20"/>
      <c r="C1" s="2"/>
      <c r="D1" s="2"/>
      <c r="E1" s="2"/>
    </row>
    <row r="2" spans="1:5" ht="14.25" customHeight="1">
      <c r="A2" s="3" t="s">
        <v>603</v>
      </c>
      <c r="B2" s="3" t="s">
        <v>604</v>
      </c>
      <c r="C2" s="4"/>
      <c r="D2" s="4" t="s">
        <v>605</v>
      </c>
      <c r="E2" s="5" t="str">
        <f ca="1">IFERROR(__xludf.DUMMYFUNCTION("FILTER(D1:D1004,D1:D1004&lt;&gt; """")"),"Dàjiā zǎoshang hǎo.")</f>
        <v>Dàjiā zǎoshang hǎo.</v>
      </c>
    </row>
    <row r="3" spans="1:5" ht="14.25" customHeight="1">
      <c r="A3" s="3" t="s">
        <v>606</v>
      </c>
      <c r="B3" s="3" t="s">
        <v>607</v>
      </c>
      <c r="C3" s="4"/>
      <c r="D3" s="4"/>
      <c r="E3" s="6" t="str">
        <f ca="1">IFERROR(__xludf.DUMMYFUNCTION("""COMPUTED_VALUE"""),"Lǎobǎn zài ma?")</f>
        <v>Lǎobǎn zài ma?</v>
      </c>
    </row>
    <row r="4" spans="1:5" ht="14.25" customHeight="1">
      <c r="A4" s="3" t="s">
        <v>608</v>
      </c>
      <c r="B4" s="3" t="s">
        <v>609</v>
      </c>
      <c r="C4" s="4"/>
      <c r="D4" s="4" t="s">
        <v>610</v>
      </c>
      <c r="E4" s="5" t="str">
        <f ca="1">IFERROR(__xludf.DUMMYFUNCTION("""COMPUTED_VALUE"""),"Wǒ jīntiān xūyào zuò shénme?")</f>
        <v>Wǒ jīntiān xūyào zuò shénme?</v>
      </c>
    </row>
    <row r="5" spans="1:5" ht="14.25" customHeight="1">
      <c r="A5" s="3" t="s">
        <v>611</v>
      </c>
      <c r="B5" s="3" t="s">
        <v>612</v>
      </c>
      <c r="C5" s="4"/>
      <c r="D5" s="4"/>
      <c r="E5" s="5" t="str">
        <f ca="1">IFERROR(__xludf.DUMMYFUNCTION("""COMPUTED_VALUE"""),"Zhè shì nǐ de gōngzuò.")</f>
        <v>Zhè shì nǐ de gōngzuò.</v>
      </c>
    </row>
    <row r="6" spans="1:5" ht="14.25" customHeight="1">
      <c r="A6" s="3" t="s">
        <v>613</v>
      </c>
      <c r="B6" s="3" t="s">
        <v>614</v>
      </c>
      <c r="C6" s="4"/>
      <c r="D6" s="4" t="s">
        <v>615</v>
      </c>
      <c r="E6" s="5" t="str">
        <f ca="1">IFERROR(__xludf.DUMMYFUNCTION("""COMPUTED_VALUE"""),"Wǒ kěyǐ jièzhī bǐ ma?")</f>
        <v>Wǒ kěyǐ jièzhī bǐ ma?</v>
      </c>
    </row>
    <row r="7" spans="1:5" ht="14.25" customHeight="1">
      <c r="A7" s="3" t="s">
        <v>616</v>
      </c>
      <c r="B7" s="3" t="s">
        <v>617</v>
      </c>
      <c r="C7" s="4"/>
      <c r="D7" s="4"/>
      <c r="E7" s="5" t="str">
        <f ca="1">IFERROR(__xludf.DUMMYFUNCTION("""COMPUTED_VALUE"""),"Dǎyìnjī zài nǎlǐ?")</f>
        <v>Dǎyìnjī zài nǎlǐ?</v>
      </c>
    </row>
    <row r="8" spans="1:5" ht="14.25" customHeight="1">
      <c r="A8" s="3" t="s">
        <v>618</v>
      </c>
      <c r="B8" s="3" t="s">
        <v>619</v>
      </c>
      <c r="C8" s="4"/>
      <c r="D8" s="4" t="s">
        <v>620</v>
      </c>
      <c r="E8" s="5" t="str">
        <f ca="1">IFERROR(__xludf.DUMMYFUNCTION("""COMPUTED_VALUE"""),"Wǒ xūyào fùyìn zhè fèn wénjiàn.")</f>
        <v>Wǒ xūyào fùyìn zhè fèn wénjiàn.</v>
      </c>
    </row>
    <row r="9" spans="1:5" ht="14.25" customHeight="1">
      <c r="A9" s="3" t="s">
        <v>621</v>
      </c>
      <c r="B9" s="3" t="s">
        <v>622</v>
      </c>
      <c r="C9" s="4"/>
      <c r="D9" s="4"/>
      <c r="E9" s="5" t="str">
        <f ca="1">IFERROR(__xludf.DUMMYFUNCTION("""COMPUTED_VALUE"""),"Wǒmen de huìyì jǐ diǎn kāishǐ?")</f>
        <v>Wǒmen de huìyì jǐ diǎn kāishǐ?</v>
      </c>
    </row>
    <row r="10" spans="1:5" ht="14.25" customHeight="1">
      <c r="A10" s="3" t="s">
        <v>623</v>
      </c>
      <c r="B10" s="3" t="s">
        <v>624</v>
      </c>
      <c r="C10" s="4"/>
      <c r="D10" s="4" t="s">
        <v>625</v>
      </c>
      <c r="E10" s="5" t="str">
        <f ca="1">IFERROR(__xludf.DUMMYFUNCTION("""COMPUTED_VALUE"""),"Huìyì zài nǎge fángjiān?")</f>
        <v>Huìyì zài nǎge fángjiān?</v>
      </c>
    </row>
    <row r="11" spans="1:5" ht="14.25" customHeight="1">
      <c r="A11" s="3" t="s">
        <v>626</v>
      </c>
      <c r="B11" s="3" t="s">
        <v>627</v>
      </c>
      <c r="C11" s="4"/>
      <c r="D11" s="4"/>
      <c r="E11" s="5" t="str">
        <f ca="1">IFERROR(__xludf.DUMMYFUNCTION("""COMPUTED_VALUE"""),"Nǐ néng bāng bāng wǒ ma?")</f>
        <v>Nǐ néng bāng bāng wǒ ma?</v>
      </c>
    </row>
    <row r="12" spans="1:5" ht="14.25" customHeight="1">
      <c r="A12" s="3" t="s">
        <v>628</v>
      </c>
      <c r="B12" s="3" t="s">
        <v>629</v>
      </c>
      <c r="C12" s="4"/>
      <c r="D12" s="4" t="s">
        <v>630</v>
      </c>
      <c r="E12" s="6" t="str">
        <f ca="1">IFERROR(__xludf.DUMMYFUNCTION("""COMPUTED_VALUE"""),"Zhè tài nánle.")</f>
        <v>Zhè tài nánle.</v>
      </c>
    </row>
    <row r="13" spans="1:5" ht="14.25" customHeight="1">
      <c r="A13" s="3" t="s">
        <v>631</v>
      </c>
      <c r="B13" s="3" t="s">
        <v>632</v>
      </c>
      <c r="C13" s="4"/>
      <c r="D13" s="4"/>
      <c r="E13" s="6" t="str">
        <f ca="1">IFERROR(__xludf.DUMMYFUNCTION("""COMPUTED_VALUE"""),"Ràng wǒ shì shì.")</f>
        <v>Ràng wǒ shì shì.</v>
      </c>
    </row>
    <row r="14" spans="1:5" ht="14.25" customHeight="1">
      <c r="A14" s="3" t="s">
        <v>633</v>
      </c>
      <c r="B14" s="3" t="s">
        <v>634</v>
      </c>
      <c r="C14" s="4"/>
      <c r="D14" s="4" t="s">
        <v>635</v>
      </c>
      <c r="E14" s="6" t="str">
        <f ca="1">IFERROR(__xludf.DUMMYFUNCTION("""COMPUTED_VALUE"""),"Wǒ yǐjīng zuò wánliǎo.")</f>
        <v>Wǒ yǐjīng zuò wánliǎo.</v>
      </c>
    </row>
    <row r="15" spans="1:5" ht="14.25" customHeight="1">
      <c r="A15" s="3" t="s">
        <v>636</v>
      </c>
      <c r="B15" s="3" t="s">
        <v>637</v>
      </c>
      <c r="C15" s="4"/>
      <c r="D15" s="4"/>
      <c r="E15" s="6" t="str">
        <f ca="1">IFERROR(__xludf.DUMMYFUNCTION("""COMPUTED_VALUE"""),"Nǐ zuò dé zhēn bàng!")</f>
        <v>Nǐ zuò dé zhēn bàng!</v>
      </c>
    </row>
    <row r="16" spans="1:5" ht="14.25" customHeight="1">
      <c r="A16" s="3" t="s">
        <v>638</v>
      </c>
      <c r="B16" s="3" t="s">
        <v>639</v>
      </c>
      <c r="C16" s="4"/>
      <c r="D16" s="4" t="s">
        <v>640</v>
      </c>
      <c r="E16" s="6" t="str">
        <f ca="1">IFERROR(__xludf.DUMMYFUNCTION("""COMPUTED_VALUE"""),"Jiézhǐ rìqí shì shénme shíhòu?")</f>
        <v>Jiézhǐ rìqí shì shénme shíhòu?</v>
      </c>
    </row>
    <row r="17" spans="1:5" ht="14.25" customHeight="1">
      <c r="A17" s="3" t="s">
        <v>641</v>
      </c>
      <c r="B17" s="3" t="s">
        <v>642</v>
      </c>
      <c r="C17" s="4"/>
      <c r="D17" s="4"/>
      <c r="E17" s="7" t="str">
        <f ca="1">IFERROR(__xludf.DUMMYFUNCTION("""COMPUTED_VALUE"""),"Míngtiān jiézhǐ.")</f>
        <v>Míngtiān jiézhǐ.</v>
      </c>
    </row>
    <row r="18" spans="1:5" ht="14.25" customHeight="1">
      <c r="A18" s="3" t="s">
        <v>643</v>
      </c>
      <c r="B18" s="3" t="s">
        <v>644</v>
      </c>
      <c r="C18" s="4"/>
      <c r="D18" s="4" t="s">
        <v>645</v>
      </c>
      <c r="E18" s="5" t="str">
        <f ca="1">IFERROR(__xludf.DUMMYFUNCTION("""COMPUTED_VALUE"""),"Wǒ kěyǐ zài duō yīdiǎn shíjiān ma?")</f>
        <v>Wǒ kěyǐ zài duō yīdiǎn shíjiān ma?</v>
      </c>
    </row>
    <row r="19" spans="1:5" ht="14.25" customHeight="1">
      <c r="A19" s="3" t="s">
        <v>646</v>
      </c>
      <c r="B19" s="3" t="s">
        <v>647</v>
      </c>
      <c r="C19" s="4"/>
      <c r="D19" s="4"/>
      <c r="E19" s="4" t="str">
        <f ca="1">IFERROR(__xludf.DUMMYFUNCTION("""COMPUTED_VALUE"""),"Wǒ yǒudiǎn chídàole.")</f>
        <v>Wǒ yǒudiǎn chídàole.</v>
      </c>
    </row>
    <row r="20" spans="1:5" ht="14.25" customHeight="1">
      <c r="A20" s="3" t="s">
        <v>648</v>
      </c>
      <c r="B20" s="3" t="s">
        <v>649</v>
      </c>
      <c r="C20" s="4"/>
      <c r="D20" s="4" t="s">
        <v>650</v>
      </c>
      <c r="E20" s="5" t="str">
        <f ca="1">IFERROR(__xludf.DUMMYFUNCTION("""COMPUTED_VALUE"""),"Jiāotōng tài zāogāole, suǒyǐ wǒ chídàole.")</f>
        <v>Jiāotōng tài zāogāole, suǒyǐ wǒ chídàole.</v>
      </c>
    </row>
    <row r="21" spans="1:5" ht="14.25" customHeight="1">
      <c r="A21" s="21" t="s">
        <v>651</v>
      </c>
      <c r="B21" s="21" t="s">
        <v>652</v>
      </c>
      <c r="C21" s="22"/>
      <c r="D21" s="22"/>
      <c r="E21" s="6" t="str">
        <f ca="1">IFERROR(__xludf.DUMMYFUNCTION("""COMPUTED_VALUE"""),"Wǔxiū shíjiān shì shénme shíhòu?")</f>
        <v>Wǔxiū shíjiān shì shénme shíhòu?</v>
      </c>
    </row>
    <row r="22" spans="1:5" ht="14.25" customHeight="1">
      <c r="A22" s="21" t="s">
        <v>653</v>
      </c>
      <c r="B22" s="21" t="s">
        <v>654</v>
      </c>
      <c r="C22" s="22"/>
      <c r="D22" s="22" t="s">
        <v>655</v>
      </c>
      <c r="E22" s="6" t="str">
        <f ca="1">IFERROR(__xludf.DUMMYFUNCTION("""COMPUTED_VALUE"""),"Wǒmen yīqǐ chī wǔfàn ba!")</f>
        <v>Wǒmen yīqǐ chī wǔfàn ba!</v>
      </c>
    </row>
    <row r="23" spans="1:5" ht="14.25" customHeight="1">
      <c r="A23" s="21" t="s">
        <v>656</v>
      </c>
      <c r="B23" s="21" t="s">
        <v>657</v>
      </c>
      <c r="C23" s="22"/>
      <c r="D23" s="22"/>
      <c r="E23" s="6" t="str">
        <f ca="1">IFERROR(__xludf.DUMMYFUNCTION("""COMPUTED_VALUE"""),"Nǐ jīntiān dài wǔfànle ma?")</f>
        <v>Nǐ jīntiān dài wǔfànle ma?</v>
      </c>
    </row>
    <row r="24" spans="1:5" ht="14.25" customHeight="1">
      <c r="A24" s="21" t="s">
        <v>658</v>
      </c>
      <c r="B24" s="21" t="s">
        <v>659</v>
      </c>
      <c r="C24" s="22"/>
      <c r="D24" s="22" t="s">
        <v>660</v>
      </c>
      <c r="E24" s="6" t="str">
        <f ca="1">IFERROR(__xludf.DUMMYFUNCTION("""COMPUTED_VALUE"""),"Wǒ wàngle dài yuángōng zhèng.")</f>
        <v>Wǒ wàngle dài yuángōng zhèng.</v>
      </c>
    </row>
    <row r="25" spans="1:5" ht="14.25" customHeight="1">
      <c r="A25" s="21" t="s">
        <v>661</v>
      </c>
      <c r="B25" s="21" t="s">
        <v>662</v>
      </c>
      <c r="C25" s="22"/>
      <c r="D25" s="22"/>
      <c r="E25" s="6" t="str">
        <f ca="1">IFERROR(__xludf.DUMMYFUNCTION("""COMPUTED_VALUE"""),"Qǐng gěi wǒ fā yóujiàn.")</f>
        <v>Qǐng gěi wǒ fā yóujiàn.</v>
      </c>
    </row>
    <row r="26" spans="1:5" ht="14.25" customHeight="1">
      <c r="A26" s="21" t="s">
        <v>663</v>
      </c>
      <c r="B26" s="21" t="s">
        <v>664</v>
      </c>
      <c r="C26" s="22"/>
      <c r="D26" s="22" t="s">
        <v>665</v>
      </c>
      <c r="E26" s="6" t="str">
        <f ca="1">IFERROR(__xludf.DUMMYFUNCTION("""COMPUTED_VALUE"""),"Nǐ de diànhuà hàomǎ shì duōshǎo?")</f>
        <v>Nǐ de diànhuà hàomǎ shì duōshǎo?</v>
      </c>
    </row>
    <row r="27" spans="1:5" ht="14.25" customHeight="1">
      <c r="A27" s="21" t="s">
        <v>666</v>
      </c>
      <c r="B27" s="21" t="s">
        <v>667</v>
      </c>
      <c r="C27" s="22"/>
      <c r="D27" s="22"/>
      <c r="E27" s="6" t="str">
        <f ca="1">IFERROR(__xludf.DUMMYFUNCTION("""COMPUTED_VALUE"""),"Wǒ xiànzài yǒudiǎn máng.")</f>
        <v>Wǒ xiànzài yǒudiǎn máng.</v>
      </c>
    </row>
    <row r="28" spans="1:5" ht="14.25" customHeight="1">
      <c r="A28" s="21" t="s">
        <v>668</v>
      </c>
      <c r="B28" s="21" t="s">
        <v>669</v>
      </c>
      <c r="C28" s="22"/>
      <c r="D28" s="22" t="s">
        <v>670</v>
      </c>
      <c r="E28" s="6" t="str">
        <f ca="1">IFERROR(__xludf.DUMMYFUNCTION("""COMPUTED_VALUE"""),"Děng wǒ zuò wán zhège.")</f>
        <v>Děng wǒ zuò wán zhège.</v>
      </c>
    </row>
    <row r="29" spans="1:5" ht="14.25" customHeight="1">
      <c r="A29" s="21" t="s">
        <v>671</v>
      </c>
      <c r="B29" s="21" t="s">
        <v>672</v>
      </c>
      <c r="C29" s="22"/>
      <c r="D29" s="22"/>
      <c r="E29" s="6" t="str">
        <f ca="1">IFERROR(__xludf.DUMMYFUNCTION("""COMPUTED_VALUE"""),"Wǒ de diànnǎo huàile.")</f>
        <v>Wǒ de diànnǎo huàile.</v>
      </c>
    </row>
    <row r="30" spans="1:5" ht="14.25" customHeight="1">
      <c r="A30" s="21" t="s">
        <v>673</v>
      </c>
      <c r="B30" s="21" t="s">
        <v>674</v>
      </c>
      <c r="C30" s="22"/>
      <c r="D30" s="22" t="s">
        <v>675</v>
      </c>
      <c r="E30" s="6" t="str">
        <f ca="1">IFERROR(__xludf.DUMMYFUNCTION("""COMPUTED_VALUE"""),"Wǎng sù tài mànle.")</f>
        <v>Wǎng sù tài mànle.</v>
      </c>
    </row>
    <row r="31" spans="1:5" ht="14.25" customHeight="1">
      <c r="A31" s="21" t="s">
        <v>676</v>
      </c>
      <c r="B31" s="21" t="s">
        <v>677</v>
      </c>
      <c r="C31" s="22"/>
      <c r="D31" s="22"/>
      <c r="E31" s="4" t="str">
        <f ca="1">IFERROR(__xludf.DUMMYFUNCTION("""COMPUTED_VALUE"""),"Wǒ kěyǐ yào yīxià Wi-Fi mìmǎ ma?(Wi-Fi mìmǎ shì shénme?)")</f>
        <v>Wǒ kěyǐ yào yīxià Wi-Fi mìmǎ ma?(Wi-Fi mìmǎ shì shénme?)</v>
      </c>
    </row>
    <row r="32" spans="1:5" ht="14.25" customHeight="1">
      <c r="A32" s="21" t="s">
        <v>678</v>
      </c>
      <c r="B32" s="21" t="s">
        <v>679</v>
      </c>
      <c r="C32" s="22"/>
      <c r="D32" s="22" t="s">
        <v>680</v>
      </c>
      <c r="E32" s="4" t="str">
        <f ca="1">IFERROR(__xludf.DUMMYFUNCTION("""COMPUTED_VALUE"""),"Nǐ lèile ma?")</f>
        <v>Nǐ lèile ma?</v>
      </c>
    </row>
    <row r="33" spans="1:5" ht="14.25" customHeight="1">
      <c r="A33" s="21" t="s">
        <v>681</v>
      </c>
      <c r="B33" s="21" t="s">
        <v>682</v>
      </c>
      <c r="C33" s="22"/>
      <c r="D33" s="22"/>
      <c r="E33" s="4" t="str">
        <f ca="1">IFERROR(__xludf.DUMMYFUNCTION("""COMPUTED_VALUE"""),"Wǒmen xiān xiūxí yīxià ba.")</f>
        <v>Wǒmen xiān xiūxí yīxià ba.</v>
      </c>
    </row>
    <row r="34" spans="1:5" ht="14.25" customHeight="1">
      <c r="A34" s="21" t="s">
        <v>683</v>
      </c>
      <c r="B34" s="21" t="s">
        <v>684</v>
      </c>
      <c r="C34" s="22"/>
      <c r="D34" s="22" t="s">
        <v>685</v>
      </c>
      <c r="E34" s="4" t="str">
        <f ca="1">IFERROR(__xludf.DUMMYFUNCTION("""COMPUTED_VALUE"""),"Wǒ xiǎng hē diǎn shuǐ.")</f>
        <v>Wǒ xiǎng hē diǎn shuǐ.</v>
      </c>
    </row>
    <row r="35" spans="1:5" ht="14.25" customHeight="1">
      <c r="A35" s="21" t="s">
        <v>686</v>
      </c>
      <c r="B35" s="21" t="s">
        <v>687</v>
      </c>
      <c r="C35" s="22"/>
      <c r="D35" s="22"/>
      <c r="E35" s="8" t="str">
        <f ca="1">IFERROR(__xludf.DUMMYFUNCTION("""COMPUTED_VALUE"""),"Yǒurén xiǎng hē kāfēi ma?")</f>
        <v>Yǒurén xiǎng hē kāfēi ma?</v>
      </c>
    </row>
    <row r="36" spans="1:5" ht="14.25" customHeight="1">
      <c r="A36" s="3" t="s">
        <v>688</v>
      </c>
      <c r="B36" s="3" t="s">
        <v>689</v>
      </c>
      <c r="C36" s="4"/>
      <c r="D36" s="4" t="s">
        <v>690</v>
      </c>
      <c r="E36" s="5" t="str">
        <f ca="1">IFERROR(__xludf.DUMMYFUNCTION("""COMPUTED_VALUE"""),"Jīntiān shì xīngqíwǔ!")</f>
        <v>Jīntiān shì xīngqíwǔ!</v>
      </c>
    </row>
    <row r="37" spans="1:5" ht="14.25" customHeight="1">
      <c r="A37" s="3" t="s">
        <v>691</v>
      </c>
      <c r="B37" s="3" t="s">
        <v>692</v>
      </c>
      <c r="C37" s="4"/>
      <c r="D37" s="4"/>
      <c r="E37" s="8" t="str">
        <f ca="1">IFERROR(__xludf.DUMMYFUNCTION("""COMPUTED_VALUE"""),"Nǐ zhège zhōumò shàngbān ma?")</f>
        <v>Nǐ zhège zhōumò shàngbān ma?</v>
      </c>
    </row>
    <row r="38" spans="1:5" ht="14.25" customHeight="1">
      <c r="A38" s="3" t="s">
        <v>693</v>
      </c>
      <c r="B38" s="3" t="s">
        <v>694</v>
      </c>
      <c r="C38" s="4"/>
      <c r="D38" s="4" t="s">
        <v>695</v>
      </c>
      <c r="E38" s="5" t="str">
        <f ca="1">IFERROR(__xludf.DUMMYFUNCTION("""COMPUTED_VALUE"""),"Wǒ xiǎng qǐngjià.")</f>
        <v>Wǒ xiǎng qǐngjià.</v>
      </c>
    </row>
    <row r="39" spans="1:5" ht="14.25" customHeight="1">
      <c r="A39" s="21" t="s">
        <v>696</v>
      </c>
      <c r="B39" s="21" t="s">
        <v>697</v>
      </c>
      <c r="C39" s="22"/>
      <c r="D39" s="22"/>
      <c r="E39" s="6" t="str">
        <f ca="1">IFERROR(__xludf.DUMMYFUNCTION("""COMPUTED_VALUE"""),"Wǒ yǒuxiē jiāshì yào chǔlǐ.")</f>
        <v>Wǒ yǒuxiē jiāshì yào chǔlǐ.</v>
      </c>
    </row>
    <row r="40" spans="1:5" ht="14.25" customHeight="1">
      <c r="A40" s="3" t="s">
        <v>698</v>
      </c>
      <c r="B40" s="3" t="s">
        <v>699</v>
      </c>
      <c r="C40" s="4"/>
      <c r="D40" s="4" t="s">
        <v>700</v>
      </c>
      <c r="E40" s="6" t="str">
        <f ca="1">IFERROR(__xludf.DUMMYFUNCTION("""COMPUTED_VALUE"""),"Qǐng zài zhèlǐ qiānmíng.")</f>
        <v>Qǐng zài zhèlǐ qiānmíng.</v>
      </c>
    </row>
    <row r="41" spans="1:5" ht="14.25" customHeight="1">
      <c r="A41" s="3" t="s">
        <v>701</v>
      </c>
      <c r="B41" s="3" t="s">
        <v>702</v>
      </c>
      <c r="C41" s="4"/>
      <c r="D41" s="4"/>
      <c r="E41" s="5" t="str">
        <f ca="1">IFERROR(__xludf.DUMMYFUNCTION("""COMPUTED_VALUE"""),"Zhè fèn wénjiàn fēicháng zhòngyào.")</f>
        <v>Zhè fèn wénjiàn fēicháng zhòngyào.</v>
      </c>
    </row>
    <row r="42" spans="1:5" ht="14.25" customHeight="1">
      <c r="A42" s="3" t="s">
        <v>703</v>
      </c>
      <c r="B42" s="3" t="s">
        <v>704</v>
      </c>
      <c r="C42" s="4"/>
      <c r="D42" s="4" t="s">
        <v>705</v>
      </c>
      <c r="E42" s="4" t="str">
        <f ca="1">IFERROR(__xludf.DUMMYFUNCTION("""COMPUTED_VALUE"""),"Qǐng bùyào diūshī.")</f>
        <v>Qǐng bùyào diūshī.</v>
      </c>
    </row>
    <row r="43" spans="1:5" ht="14.25" customHeight="1">
      <c r="A43" s="3" t="s">
        <v>706</v>
      </c>
      <c r="B43" s="3" t="s">
        <v>707</v>
      </c>
      <c r="C43" s="4"/>
      <c r="D43" s="4"/>
      <c r="E43" s="5" t="str">
        <f ca="1">IFERROR(__xludf.DUMMYFUNCTION("""COMPUTED_VALUE"""),"Nǐ zài zhèlǐ gōngzuò duōjiǔle?")</f>
        <v>Nǐ zài zhèlǐ gōngzuò duōjiǔle?</v>
      </c>
    </row>
    <row r="44" spans="1:5" ht="14.25" customHeight="1">
      <c r="A44" s="3" t="s">
        <v>708</v>
      </c>
      <c r="B44" s="3" t="s">
        <v>709</v>
      </c>
      <c r="C44" s="4"/>
      <c r="D44" s="4" t="s">
        <v>710</v>
      </c>
      <c r="E44" s="4" t="str">
        <f ca="1">IFERROR(__xludf.DUMMYFUNCTION("""COMPUTED_VALUE"""),"Wǒ cái zài zhèlǐ gōngzuò yīgè yuè.")</f>
        <v>Wǒ cái zài zhèlǐ gōngzuò yīgè yuè.</v>
      </c>
    </row>
    <row r="45" spans="1:5" ht="14.25" customHeight="1">
      <c r="A45" s="3" t="s">
        <v>711</v>
      </c>
      <c r="B45" s="3" t="s">
        <v>712</v>
      </c>
      <c r="C45" s="4"/>
      <c r="D45" s="4"/>
      <c r="E45" s="5" t="str">
        <f ca="1">IFERROR(__xludf.DUMMYFUNCTION("""COMPUTED_VALUE"""),"Wǒmen gōngsī hěn bàng.")</f>
        <v>Wǒmen gōngsī hěn bàng.</v>
      </c>
    </row>
    <row r="46" spans="1:5" ht="14.25" customHeight="1">
      <c r="A46" s="3" t="s">
        <v>713</v>
      </c>
      <c r="B46" s="3" t="s">
        <v>714</v>
      </c>
      <c r="C46" s="4"/>
      <c r="D46" s="4" t="s">
        <v>715</v>
      </c>
      <c r="E46" s="4" t="str">
        <f ca="1">IFERROR(__xludf.DUMMYFUNCTION("""COMPUTED_VALUE"""),"Zhù nǐ jīntiān gōngzuò yúkuài.")</f>
        <v>Zhù nǐ jīntiān gōngzuò yúkuài.</v>
      </c>
    </row>
    <row r="47" spans="1:5" ht="14.25" customHeight="1">
      <c r="A47" s="3" t="s">
        <v>716</v>
      </c>
      <c r="B47" s="3" t="s">
        <v>717</v>
      </c>
      <c r="C47" s="4"/>
      <c r="D47" s="4"/>
      <c r="E47" s="4" t="str">
        <f ca="1">IFERROR(__xludf.DUMMYFUNCTION("""COMPUTED_VALUE"""),"Wǒmen jīn wǎn chūqù wán ma?")</f>
        <v>Wǒmen jīn wǎn chūqù wán ma?</v>
      </c>
    </row>
    <row r="48" spans="1:5" ht="14.25" customHeight="1">
      <c r="A48" s="3" t="s">
        <v>718</v>
      </c>
      <c r="B48" s="3" t="s">
        <v>719</v>
      </c>
      <c r="C48" s="4"/>
      <c r="D48" s="4" t="s">
        <v>720</v>
      </c>
      <c r="E48" s="4" t="str">
        <f ca="1">IFERROR(__xludf.DUMMYFUNCTION("""COMPUTED_VALUE"""),"Wǒ dé huí jiāle.")</f>
        <v>Wǒ dé huí jiāle.</v>
      </c>
    </row>
    <row r="49" spans="1:5" ht="14.25" customHeight="1">
      <c r="A49" s="3" t="s">
        <v>721</v>
      </c>
      <c r="B49" s="3" t="s">
        <v>722</v>
      </c>
      <c r="C49" s="4"/>
      <c r="D49" s="4"/>
      <c r="E49" s="5" t="str">
        <f ca="1">IFERROR(__xludf.DUMMYFUNCTION("""COMPUTED_VALUE"""),"Dàjiā zàijiàn.")</f>
        <v>Dàjiā zàijiàn.</v>
      </c>
    </row>
    <row r="50" spans="1:5" ht="14.25" customHeight="1">
      <c r="A50" s="3" t="s">
        <v>723</v>
      </c>
      <c r="B50" s="3" t="s">
        <v>724</v>
      </c>
      <c r="C50" s="4"/>
      <c r="D50" s="4" t="s">
        <v>725</v>
      </c>
      <c r="E50" s="6" t="str">
        <f ca="1">IFERROR(__xludf.DUMMYFUNCTION("""COMPUTED_VALUE"""),"Míngtiān jiàn.")</f>
        <v>Míngtiān jiàn.</v>
      </c>
    </row>
    <row r="51" spans="1:5" ht="14.25" customHeight="1">
      <c r="A51" s="3" t="s">
        <v>726</v>
      </c>
      <c r="B51" s="3" t="s">
        <v>727</v>
      </c>
      <c r="C51" s="4"/>
      <c r="D51" s="4"/>
      <c r="E51" s="6" t="str">
        <f ca="1">IFERROR(__xludf.DUMMYFUNCTION("""COMPUTED_VALUE"""),"Jìxù nǔlì!")</f>
        <v>Jìxù nǔlì!</v>
      </c>
    </row>
    <row r="52" spans="1:5" ht="14.25" customHeight="1">
      <c r="A52" s="4"/>
      <c r="B52" s="4"/>
      <c r="C52" s="4"/>
      <c r="D52" s="4" t="s">
        <v>728</v>
      </c>
    </row>
    <row r="53" spans="1:5" ht="14.25" customHeight="1">
      <c r="A53" s="4"/>
      <c r="B53" s="4"/>
      <c r="C53" s="4"/>
      <c r="D53" s="4"/>
      <c r="E53" s="5"/>
    </row>
    <row r="54" spans="1:5" ht="14.25" customHeight="1">
      <c r="A54" s="4"/>
      <c r="B54" s="4"/>
      <c r="C54" s="4"/>
      <c r="D54" s="4" t="s">
        <v>729</v>
      </c>
      <c r="E54" s="5"/>
    </row>
    <row r="55" spans="1:5" ht="14.25" customHeight="1">
      <c r="A55" s="4"/>
      <c r="B55" s="4"/>
      <c r="C55" s="4"/>
      <c r="D55" s="4"/>
      <c r="E55" s="5"/>
    </row>
    <row r="56" spans="1:5" ht="14.25" customHeight="1">
      <c r="A56" s="4"/>
      <c r="B56" s="4"/>
      <c r="C56" s="4"/>
      <c r="D56" s="4" t="s">
        <v>730</v>
      </c>
      <c r="E56" s="5"/>
    </row>
    <row r="57" spans="1:5" ht="14.25" customHeight="1">
      <c r="A57" s="4"/>
      <c r="B57" s="4"/>
      <c r="C57" s="4"/>
      <c r="D57" s="4"/>
      <c r="E57" s="5"/>
    </row>
    <row r="58" spans="1:5" ht="14.25" customHeight="1">
      <c r="A58" s="4"/>
      <c r="B58" s="4"/>
      <c r="C58" s="4"/>
      <c r="D58" s="4" t="s">
        <v>731</v>
      </c>
      <c r="E58" s="5"/>
    </row>
    <row r="59" spans="1:5" ht="14.25" customHeight="1">
      <c r="A59" s="4"/>
      <c r="B59" s="4"/>
      <c r="C59" s="4"/>
      <c r="D59" s="4"/>
      <c r="E59" s="5"/>
    </row>
    <row r="60" spans="1:5" ht="14.25" customHeight="1">
      <c r="A60" s="4"/>
      <c r="B60" s="4"/>
      <c r="C60" s="4"/>
      <c r="D60" s="4" t="s">
        <v>732</v>
      </c>
      <c r="E60" s="5"/>
    </row>
    <row r="61" spans="1:5" ht="14.25" customHeight="1">
      <c r="A61" s="4"/>
      <c r="B61" s="4"/>
      <c r="C61" s="4"/>
      <c r="D61" s="4"/>
      <c r="E61" s="5"/>
    </row>
    <row r="62" spans="1:5" ht="14.25" customHeight="1">
      <c r="A62" s="4"/>
      <c r="B62" s="4"/>
      <c r="C62" s="4"/>
      <c r="D62" s="4" t="s">
        <v>733</v>
      </c>
      <c r="E62" s="5"/>
    </row>
    <row r="63" spans="1:5" ht="14.25" customHeight="1">
      <c r="A63" s="4"/>
      <c r="B63" s="4"/>
      <c r="C63" s="4"/>
      <c r="D63" s="4"/>
      <c r="E63" s="5"/>
    </row>
    <row r="64" spans="1:5" ht="14.25" customHeight="1">
      <c r="A64" s="4"/>
      <c r="B64" s="4"/>
      <c r="C64" s="4"/>
      <c r="D64" s="4" t="s">
        <v>734</v>
      </c>
      <c r="E64" s="5"/>
    </row>
    <row r="65" spans="1:5" ht="14.25" customHeight="1">
      <c r="A65" s="4"/>
      <c r="B65" s="4"/>
      <c r="C65" s="4"/>
      <c r="D65" s="4"/>
      <c r="E65" s="5"/>
    </row>
    <row r="66" spans="1:5" ht="14.25" customHeight="1">
      <c r="A66" s="4"/>
      <c r="B66" s="4"/>
      <c r="C66" s="4"/>
      <c r="D66" s="4" t="s">
        <v>735</v>
      </c>
      <c r="E66" s="5"/>
    </row>
    <row r="67" spans="1:5" ht="14.25" customHeight="1">
      <c r="A67" s="4"/>
      <c r="B67" s="4"/>
      <c r="C67" s="4"/>
      <c r="D67" s="4"/>
      <c r="E67" s="5"/>
    </row>
    <row r="68" spans="1:5" ht="14.25" customHeight="1">
      <c r="A68" s="4"/>
      <c r="B68" s="4"/>
      <c r="C68" s="4"/>
      <c r="D68" s="4" t="s">
        <v>736</v>
      </c>
      <c r="E68" s="5"/>
    </row>
    <row r="69" spans="1:5" ht="14.25" customHeight="1">
      <c r="A69" s="4"/>
      <c r="B69" s="4"/>
      <c r="C69" s="4"/>
      <c r="D69" s="4"/>
      <c r="E69" s="5"/>
    </row>
    <row r="70" spans="1:5" ht="14.25" customHeight="1">
      <c r="A70" s="4"/>
      <c r="B70" s="4"/>
      <c r="C70" s="4"/>
      <c r="D70" s="4" t="s">
        <v>737</v>
      </c>
      <c r="E70" s="5"/>
    </row>
    <row r="71" spans="1:5" ht="14.25" customHeight="1">
      <c r="A71" s="4"/>
      <c r="B71" s="4"/>
      <c r="C71" s="4"/>
      <c r="D71" s="4"/>
      <c r="E71" s="5"/>
    </row>
    <row r="72" spans="1:5" ht="14.25" customHeight="1">
      <c r="A72" s="4"/>
      <c r="B72" s="4"/>
      <c r="C72" s="4"/>
      <c r="D72" s="4" t="s">
        <v>738</v>
      </c>
      <c r="E72" s="5"/>
    </row>
    <row r="73" spans="1:5" ht="14.25" customHeight="1">
      <c r="A73" s="4"/>
      <c r="B73" s="4"/>
      <c r="C73" s="4"/>
      <c r="D73" s="4"/>
      <c r="E73" s="5"/>
    </row>
    <row r="74" spans="1:5" ht="14.25" customHeight="1">
      <c r="A74" s="4"/>
      <c r="B74" s="4"/>
      <c r="C74" s="4"/>
      <c r="D74" s="4" t="s">
        <v>739</v>
      </c>
      <c r="E74" s="5"/>
    </row>
    <row r="75" spans="1:5" ht="14.25" customHeight="1">
      <c r="A75" s="4"/>
      <c r="B75" s="4"/>
      <c r="C75" s="4"/>
      <c r="D75" s="4"/>
      <c r="E75" s="5"/>
    </row>
    <row r="76" spans="1:5" ht="14.25" customHeight="1">
      <c r="A76" s="4"/>
      <c r="B76" s="4"/>
      <c r="C76" s="4"/>
      <c r="D76" s="4" t="s">
        <v>740</v>
      </c>
      <c r="E76" s="5"/>
    </row>
    <row r="77" spans="1:5" ht="14.25" customHeight="1">
      <c r="A77" s="4"/>
      <c r="B77" s="4"/>
      <c r="C77" s="4"/>
      <c r="D77" s="4"/>
      <c r="E77" s="5"/>
    </row>
    <row r="78" spans="1:5" ht="14.25" customHeight="1">
      <c r="A78" s="4"/>
      <c r="B78" s="4"/>
      <c r="C78" s="4"/>
      <c r="D78" s="4" t="s">
        <v>741</v>
      </c>
      <c r="E78" s="5"/>
    </row>
    <row r="79" spans="1:5" ht="14.25" customHeight="1">
      <c r="A79" s="4"/>
      <c r="B79" s="4"/>
      <c r="C79" s="4"/>
      <c r="D79" s="4"/>
      <c r="E79" s="5"/>
    </row>
    <row r="80" spans="1:5" ht="14.25" customHeight="1">
      <c r="A80" s="4"/>
      <c r="B80" s="4"/>
      <c r="C80" s="4"/>
      <c r="D80" s="4" t="s">
        <v>742</v>
      </c>
      <c r="E80" s="5"/>
    </row>
    <row r="81" spans="1:5" ht="14.25" customHeight="1">
      <c r="A81" s="4"/>
      <c r="B81" s="4"/>
      <c r="C81" s="4"/>
      <c r="D81" s="4"/>
      <c r="E81" s="5"/>
    </row>
    <row r="82" spans="1:5" ht="14.25" customHeight="1">
      <c r="A82" s="4"/>
      <c r="B82" s="4"/>
      <c r="C82" s="4"/>
      <c r="D82" s="4" t="s">
        <v>743</v>
      </c>
      <c r="E82" s="5"/>
    </row>
    <row r="83" spans="1:5" ht="14.25" customHeight="1">
      <c r="A83" s="4"/>
      <c r="B83" s="4"/>
      <c r="C83" s="4"/>
      <c r="D83" s="4"/>
      <c r="E83" s="5"/>
    </row>
    <row r="84" spans="1:5" ht="14.25" customHeight="1">
      <c r="A84" s="4"/>
      <c r="B84" s="4"/>
      <c r="C84" s="4"/>
      <c r="D84" s="4" t="s">
        <v>744</v>
      </c>
      <c r="E84" s="5"/>
    </row>
    <row r="85" spans="1:5" ht="14.25" customHeight="1">
      <c r="A85" s="4"/>
      <c r="B85" s="4"/>
      <c r="C85" s="4"/>
      <c r="D85" s="4"/>
      <c r="E85" s="5"/>
    </row>
    <row r="86" spans="1:5" ht="14.25" customHeight="1">
      <c r="A86" s="4"/>
      <c r="B86" s="4"/>
      <c r="C86" s="4"/>
      <c r="D86" s="4" t="s">
        <v>745</v>
      </c>
      <c r="E86" s="5"/>
    </row>
    <row r="87" spans="1:5" ht="14.25" customHeight="1">
      <c r="A87" s="4"/>
      <c r="B87" s="4"/>
      <c r="C87" s="4"/>
      <c r="D87" s="4"/>
      <c r="E87" s="5"/>
    </row>
    <row r="88" spans="1:5" ht="14.25" customHeight="1">
      <c r="A88" s="4"/>
      <c r="B88" s="4"/>
      <c r="C88" s="4"/>
      <c r="D88" s="4" t="s">
        <v>746</v>
      </c>
      <c r="E88" s="5"/>
    </row>
    <row r="89" spans="1:5" ht="14.25" customHeight="1">
      <c r="A89" s="4"/>
      <c r="B89" s="4"/>
      <c r="C89" s="4"/>
      <c r="D89" s="4"/>
      <c r="E89" s="5"/>
    </row>
    <row r="90" spans="1:5" ht="14.25" customHeight="1">
      <c r="A90" s="4"/>
      <c r="B90" s="4"/>
      <c r="C90" s="4"/>
      <c r="D90" s="4" t="s">
        <v>747</v>
      </c>
      <c r="E90" s="5"/>
    </row>
    <row r="91" spans="1:5" ht="14.25" customHeight="1">
      <c r="A91" s="4"/>
      <c r="B91" s="4"/>
      <c r="C91" s="4"/>
      <c r="D91" s="4"/>
      <c r="E91" s="5"/>
    </row>
    <row r="92" spans="1:5" ht="14.25" customHeight="1">
      <c r="A92" s="4"/>
      <c r="B92" s="4"/>
      <c r="C92" s="4"/>
      <c r="D92" s="4" t="s">
        <v>748</v>
      </c>
      <c r="E92" s="5"/>
    </row>
    <row r="93" spans="1:5" ht="14.25" customHeight="1">
      <c r="A93" s="4"/>
      <c r="B93" s="4"/>
      <c r="C93" s="4"/>
      <c r="D93" s="4"/>
      <c r="E93" s="5"/>
    </row>
    <row r="94" spans="1:5" ht="14.25" customHeight="1">
      <c r="A94" s="4"/>
      <c r="B94" s="4"/>
      <c r="C94" s="4"/>
      <c r="D94" s="4" t="s">
        <v>749</v>
      </c>
      <c r="E94" s="5"/>
    </row>
    <row r="95" spans="1:5" ht="14.25" customHeight="1">
      <c r="A95" s="4"/>
      <c r="B95" s="4"/>
      <c r="C95" s="4"/>
      <c r="D95" s="4"/>
      <c r="E95" s="5"/>
    </row>
    <row r="96" spans="1:5" ht="14.25" customHeight="1">
      <c r="A96" s="4"/>
      <c r="B96" s="4"/>
      <c r="C96" s="4"/>
      <c r="D96" s="4" t="s">
        <v>750</v>
      </c>
      <c r="E96" s="5"/>
    </row>
    <row r="97" spans="1:5" ht="14.25" customHeight="1">
      <c r="A97" s="4"/>
      <c r="B97" s="4"/>
      <c r="C97" s="4"/>
      <c r="D97" s="4"/>
      <c r="E97" s="5"/>
    </row>
    <row r="98" spans="1:5" ht="14.25" customHeight="1">
      <c r="A98" s="4"/>
      <c r="B98" s="4"/>
      <c r="C98" s="4"/>
      <c r="D98" s="4" t="s">
        <v>751</v>
      </c>
      <c r="E98" s="5"/>
    </row>
    <row r="99" spans="1:5" ht="14.25" customHeight="1">
      <c r="A99" s="4"/>
      <c r="B99" s="4"/>
      <c r="C99" s="4"/>
      <c r="D99" s="4"/>
      <c r="E99" s="5"/>
    </row>
    <row r="100" spans="1:5" ht="14.25" customHeight="1">
      <c r="A100" s="4"/>
      <c r="B100" s="4"/>
      <c r="C100" s="4"/>
      <c r="D100" s="4" t="s">
        <v>752</v>
      </c>
      <c r="E100" s="5"/>
    </row>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I96"/>
  <sheetViews>
    <sheetView workbookViewId="0">
      <pane ySplit="1" topLeftCell="A2" activePane="bottomLeft" state="frozen"/>
      <selection pane="bottomLeft" activeCell="B3" sqref="B3"/>
    </sheetView>
  </sheetViews>
  <sheetFormatPr defaultColWidth="14.44140625" defaultRowHeight="15" customHeight="1"/>
  <cols>
    <col min="1" max="2" width="56" customWidth="1"/>
    <col min="3" max="3" width="30.33203125" customWidth="1"/>
    <col min="4" max="4" width="46.5546875" customWidth="1"/>
    <col min="5" max="5" width="30.5546875" customWidth="1"/>
    <col min="6" max="9" width="15.44140625" customWidth="1"/>
  </cols>
  <sheetData>
    <row r="1" spans="1:9" ht="14.25" customHeight="1">
      <c r="A1" s="19" t="s">
        <v>753</v>
      </c>
      <c r="B1" s="20"/>
      <c r="C1" s="2"/>
      <c r="D1" s="2"/>
      <c r="E1" s="2"/>
      <c r="F1" s="2"/>
      <c r="G1" s="2"/>
      <c r="H1" s="2"/>
      <c r="I1" s="2"/>
    </row>
    <row r="2" spans="1:9" ht="14.25" customHeight="1">
      <c r="A2" s="3" t="s">
        <v>754</v>
      </c>
      <c r="B2" s="3" t="s">
        <v>755</v>
      </c>
      <c r="C2" s="23" t="s">
        <v>756</v>
      </c>
      <c r="D2" s="8" t="s">
        <v>757</v>
      </c>
      <c r="E2" s="5" t="str">
        <f ca="1">IFERROR(__xludf.DUMMYFUNCTION("FILTER(D1:D1000,D1:D1000&lt;&gt; """")"),"Wǒ gǎnjué bú shūfú.")</f>
        <v>Wǒ gǎnjué bú shūfú.</v>
      </c>
      <c r="F2" s="5" t="s">
        <v>758</v>
      </c>
      <c r="G2" s="5" t="s">
        <v>759</v>
      </c>
      <c r="H2" s="5" t="s">
        <v>760</v>
      </c>
      <c r="I2" s="5" t="s">
        <v>761</v>
      </c>
    </row>
    <row r="3" spans="1:9" ht="14.25" customHeight="1">
      <c r="A3" s="3" t="s">
        <v>762</v>
      </c>
      <c r="B3" s="3" t="s">
        <v>763</v>
      </c>
      <c r="C3" s="24"/>
      <c r="E3" s="6" t="str">
        <f ca="1">IFERROR(__xludf.DUMMYFUNCTION("""COMPUTED_VALUE"""),"Wǒ tóuténg.")</f>
        <v>Wǒ tóuténg.</v>
      </c>
    </row>
    <row r="4" spans="1:9" ht="14.25" customHeight="1">
      <c r="A4" s="3" t="s">
        <v>764</v>
      </c>
      <c r="B4" s="3" t="s">
        <v>765</v>
      </c>
      <c r="C4" s="25" t="s">
        <v>766</v>
      </c>
      <c r="D4" s="8" t="s">
        <v>767</v>
      </c>
      <c r="E4" s="5" t="str">
        <f ca="1">IFERROR(__xludf.DUMMYFUNCTION("""COMPUTED_VALUE"""),"Wǒ dùzǐ téng.")</f>
        <v>Wǒ dùzǐ téng.</v>
      </c>
      <c r="F4" s="5" t="s">
        <v>768</v>
      </c>
      <c r="G4" s="5" t="s">
        <v>769</v>
      </c>
      <c r="H4" s="5" t="s">
        <v>770</v>
      </c>
      <c r="I4" s="5" t="s">
        <v>771</v>
      </c>
    </row>
    <row r="5" spans="1:9" ht="14.25" customHeight="1">
      <c r="A5" s="3" t="s">
        <v>772</v>
      </c>
      <c r="B5" s="3" t="s">
        <v>773</v>
      </c>
      <c r="C5" s="25" t="s">
        <v>774</v>
      </c>
      <c r="D5" s="5"/>
      <c r="E5" s="5" t="str">
        <f ca="1">IFERROR(__xludf.DUMMYFUNCTION("""COMPUTED_VALUE"""),"Wǒ fāshāole.")</f>
        <v>Wǒ fāshāole.</v>
      </c>
      <c r="F5" s="5" t="s">
        <v>775</v>
      </c>
      <c r="G5" s="5" t="s">
        <v>776</v>
      </c>
      <c r="H5" s="5" t="s">
        <v>777</v>
      </c>
      <c r="I5" s="5" t="s">
        <v>778</v>
      </c>
    </row>
    <row r="6" spans="1:9" ht="14.25" customHeight="1">
      <c r="A6" s="3" t="s">
        <v>779</v>
      </c>
      <c r="B6" s="3" t="s">
        <v>780</v>
      </c>
      <c r="C6" s="25" t="s">
        <v>781</v>
      </c>
      <c r="D6" s="8" t="s">
        <v>782</v>
      </c>
      <c r="E6" s="5" t="str">
        <f ca="1">IFERROR(__xludf.DUMMYFUNCTION("""COMPUTED_VALUE"""),"Wǒ hóulóng tòng.")</f>
        <v>Wǒ hóulóng tòng.</v>
      </c>
      <c r="F6" s="5" t="s">
        <v>783</v>
      </c>
      <c r="G6" s="5" t="s">
        <v>784</v>
      </c>
      <c r="H6" s="5" t="s">
        <v>785</v>
      </c>
      <c r="I6" s="5" t="s">
        <v>786</v>
      </c>
    </row>
    <row r="7" spans="1:9" ht="14.25" customHeight="1">
      <c r="A7" s="3" t="s">
        <v>787</v>
      </c>
      <c r="B7" s="3" t="s">
        <v>788</v>
      </c>
      <c r="C7" s="25" t="s">
        <v>789</v>
      </c>
      <c r="D7" s="5"/>
      <c r="E7" s="5" t="str">
        <f ca="1">IFERROR(__xludf.DUMMYFUNCTION("""COMPUTED_VALUE"""),"Wǒ késòu dé hěn lìhài.")</f>
        <v>Wǒ késòu dé hěn lìhài.</v>
      </c>
      <c r="F7" s="5" t="s">
        <v>790</v>
      </c>
      <c r="G7" s="5" t="s">
        <v>791</v>
      </c>
      <c r="H7" s="5" t="s">
        <v>792</v>
      </c>
      <c r="I7" s="5" t="s">
        <v>786</v>
      </c>
    </row>
    <row r="8" spans="1:9" ht="14.25" customHeight="1">
      <c r="A8" s="3" t="s">
        <v>793</v>
      </c>
      <c r="B8" s="3" t="s">
        <v>794</v>
      </c>
      <c r="C8" s="25" t="s">
        <v>795</v>
      </c>
      <c r="D8" s="8" t="s">
        <v>796</v>
      </c>
      <c r="E8" s="5" t="str">
        <f ca="1">IFERROR(__xludf.DUMMYFUNCTION("""COMPUTED_VALUE"""),"Wǒliú bítì.")</f>
        <v>Wǒliú bítì.</v>
      </c>
      <c r="F8" s="5" t="s">
        <v>797</v>
      </c>
      <c r="G8" s="5" t="s">
        <v>798</v>
      </c>
      <c r="H8" s="5" t="s">
        <v>799</v>
      </c>
      <c r="I8" s="5" t="s">
        <v>800</v>
      </c>
    </row>
    <row r="9" spans="1:9" ht="14.25" customHeight="1">
      <c r="A9" s="3" t="s">
        <v>801</v>
      </c>
      <c r="B9" s="3" t="s">
        <v>802</v>
      </c>
      <c r="C9" s="25" t="s">
        <v>803</v>
      </c>
      <c r="D9" s="5"/>
      <c r="E9" s="5" t="str">
        <f ca="1">IFERROR(__xludf.DUMMYFUNCTION("""COMPUTED_VALUE"""),"Wǒ tóuyūn.")</f>
        <v>Wǒ tóuyūn.</v>
      </c>
      <c r="F9" s="5" t="s">
        <v>804</v>
      </c>
      <c r="G9" s="5" t="s">
        <v>805</v>
      </c>
      <c r="H9" s="5" t="s">
        <v>806</v>
      </c>
      <c r="I9" s="5" t="s">
        <v>807</v>
      </c>
    </row>
    <row r="10" spans="1:9" ht="14.25" customHeight="1">
      <c r="A10" s="3" t="s">
        <v>808</v>
      </c>
      <c r="B10" s="3" t="s">
        <v>809</v>
      </c>
      <c r="C10" s="25" t="s">
        <v>810</v>
      </c>
      <c r="D10" s="8" t="s">
        <v>811</v>
      </c>
      <c r="E10" s="5" t="str">
        <f ca="1">IFERROR(__xludf.DUMMYFUNCTION("""COMPUTED_VALUE"""),"Wǒ ěxīn.")</f>
        <v>Wǒ ěxīn.</v>
      </c>
      <c r="F10" s="5" t="s">
        <v>812</v>
      </c>
      <c r="G10" s="5" t="s">
        <v>813</v>
      </c>
      <c r="H10" s="5" t="s">
        <v>814</v>
      </c>
      <c r="I10" s="5" t="s">
        <v>786</v>
      </c>
    </row>
    <row r="11" spans="1:9" ht="14.25" customHeight="1">
      <c r="A11" s="3" t="s">
        <v>815</v>
      </c>
      <c r="B11" s="3" t="s">
        <v>816</v>
      </c>
      <c r="C11" s="25" t="s">
        <v>817</v>
      </c>
      <c r="D11" s="5"/>
      <c r="E11" s="5" t="str">
        <f ca="1">IFERROR(__xludf.DUMMYFUNCTION("""COMPUTED_VALUE"""),"Yàodiàn zài nǎlǐ?")</f>
        <v>Yàodiàn zài nǎlǐ?</v>
      </c>
      <c r="F11" s="5" t="s">
        <v>818</v>
      </c>
      <c r="G11" s="5" t="s">
        <v>819</v>
      </c>
      <c r="H11" s="5" t="s">
        <v>820</v>
      </c>
      <c r="I11" s="5" t="s">
        <v>786</v>
      </c>
    </row>
    <row r="12" spans="1:9" ht="14.25" customHeight="1">
      <c r="A12" s="3" t="s">
        <v>821</v>
      </c>
      <c r="B12" s="3" t="s">
        <v>822</v>
      </c>
      <c r="C12" s="24"/>
      <c r="D12" s="10" t="s">
        <v>823</v>
      </c>
      <c r="E12" s="6" t="str">
        <f ca="1">IFERROR(__xludf.DUMMYFUNCTION("""COMPUTED_VALUE"""),"Wǒ xū yāo mǎi gǎnmào yào.")</f>
        <v>Wǒ xū yāo mǎi gǎnmào yào.</v>
      </c>
    </row>
    <row r="13" spans="1:9" ht="14.25" customHeight="1">
      <c r="A13" s="3" t="s">
        <v>824</v>
      </c>
      <c r="B13" s="3" t="s">
        <v>825</v>
      </c>
      <c r="C13" s="24"/>
      <c r="E13" s="6" t="str">
        <f ca="1">IFERROR(__xludf.DUMMYFUNCTION("""COMPUTED_VALUE"""),"Nǐmen yǒu zhǐtòng yào ma?")</f>
        <v>Nǐmen yǒu zhǐtòng yào ma?</v>
      </c>
    </row>
    <row r="14" spans="1:9" ht="14.25" customHeight="1">
      <c r="A14" s="3" t="s">
        <v>826</v>
      </c>
      <c r="B14" s="3" t="s">
        <v>827</v>
      </c>
      <c r="C14" s="24"/>
      <c r="D14" s="10" t="s">
        <v>828</v>
      </c>
      <c r="E14" s="6" t="str">
        <f ca="1">IFERROR(__xludf.DUMMYFUNCTION("""COMPUTED_VALUE"""),"Zhè zhǒng yào yīnggāi zěnme fúyòng?")</f>
        <v>Zhè zhǒng yào yīnggāi zěnme fúyòng?</v>
      </c>
    </row>
    <row r="15" spans="1:9" ht="14.25" customHeight="1">
      <c r="A15" s="3" t="s">
        <v>829</v>
      </c>
      <c r="B15" s="3" t="s">
        <v>830</v>
      </c>
      <c r="C15" s="24"/>
      <c r="E15" s="6" t="str">
        <f ca="1">IFERROR(__xludf.DUMMYFUNCTION("""COMPUTED_VALUE"""),"Fàn qián háishì fàn hòu fúyòng?")</f>
        <v>Fàn qián háishì fàn hòu fúyòng?</v>
      </c>
    </row>
    <row r="16" spans="1:9" ht="14.25" customHeight="1">
      <c r="A16" s="3" t="s">
        <v>831</v>
      </c>
      <c r="B16" s="3" t="s">
        <v>832</v>
      </c>
      <c r="C16" s="24"/>
      <c r="D16" s="10" t="s">
        <v>833</v>
      </c>
      <c r="E16" s="6" t="str">
        <f ca="1">IFERROR(__xludf.DUMMYFUNCTION("""COMPUTED_VALUE"""),"Yītiān yìng gāi fúyòng jǐ cì?")</f>
        <v>Yītiān yìng gāi fúyòng jǐ cì?</v>
      </c>
    </row>
    <row r="17" spans="1:9" ht="14.25" customHeight="1">
      <c r="A17" s="3" t="s">
        <v>834</v>
      </c>
      <c r="B17" s="3" t="s">
        <v>835</v>
      </c>
      <c r="C17" s="24"/>
      <c r="E17" s="7" t="str">
        <f ca="1">IFERROR(__xludf.DUMMYFUNCTION("""COMPUTED_VALUE"""),"Wǒ xū yāo mǎi wéishēngsù C. ")</f>
        <v xml:space="preserve">Wǒ xū yāo mǎi wéishēngsù C. </v>
      </c>
    </row>
    <row r="18" spans="1:9" ht="14.25" customHeight="1">
      <c r="A18" s="3" t="s">
        <v>836</v>
      </c>
      <c r="B18" s="3" t="s">
        <v>837</v>
      </c>
      <c r="C18" s="26" t="s">
        <v>838</v>
      </c>
      <c r="D18" s="8" t="s">
        <v>839</v>
      </c>
      <c r="E18" s="5" t="str">
        <f ca="1">IFERROR(__xludf.DUMMYFUNCTION("""COMPUTED_VALUE"""),"Qǐng gěi wǒ yī hé.")</f>
        <v>Qǐng gěi wǒ yī hé.</v>
      </c>
      <c r="F18" s="5" t="s">
        <v>840</v>
      </c>
      <c r="G18" s="5" t="s">
        <v>841</v>
      </c>
      <c r="H18" s="5" t="s">
        <v>842</v>
      </c>
      <c r="I18" s="5" t="s">
        <v>843</v>
      </c>
    </row>
    <row r="19" spans="1:9" ht="14.25" customHeight="1">
      <c r="A19" s="3" t="s">
        <v>844</v>
      </c>
      <c r="B19" s="3" t="s">
        <v>845</v>
      </c>
      <c r="C19" s="4"/>
      <c r="D19" s="4"/>
      <c r="E19" s="4" t="str">
        <f ca="1">IFERROR(__xludf.DUMMYFUNCTION("""COMPUTED_VALUE"""),"Zhè zhǒng yào duōshǎo qián?")</f>
        <v>Zhè zhǒng yào duōshǎo qián?</v>
      </c>
      <c r="F19" s="4"/>
      <c r="G19" s="4"/>
      <c r="H19" s="4"/>
      <c r="I19" s="4"/>
    </row>
    <row r="20" spans="1:9" ht="14.25" customHeight="1">
      <c r="A20" s="3" t="s">
        <v>846</v>
      </c>
      <c r="B20" s="3" t="s">
        <v>847</v>
      </c>
      <c r="C20" s="25" t="s">
        <v>848</v>
      </c>
      <c r="D20" s="8" t="s">
        <v>849</v>
      </c>
      <c r="E20" s="5" t="str">
        <f ca="1">IFERROR(__xludf.DUMMYFUNCTION("""COMPUTED_VALUE"""),"Wǒ xūyào yīshēng chǔfāng ma?")</f>
        <v>Wǒ xūyào yīshēng chǔfāng ma?</v>
      </c>
      <c r="F20" s="5" t="s">
        <v>850</v>
      </c>
      <c r="G20" s="5" t="s">
        <v>851</v>
      </c>
      <c r="H20" s="5" t="s">
        <v>852</v>
      </c>
      <c r="I20" s="5" t="s">
        <v>786</v>
      </c>
    </row>
    <row r="21" spans="1:9" ht="14.25" customHeight="1">
      <c r="A21" s="3" t="s">
        <v>853</v>
      </c>
      <c r="B21" s="3" t="s">
        <v>854</v>
      </c>
      <c r="C21" s="24"/>
      <c r="E21" s="6" t="str">
        <f ca="1">IFERROR(__xludf.DUMMYFUNCTION("""COMPUTED_VALUE"""),"Wǒ duì zhè zhǒng yào guòmǐn.")</f>
        <v>Wǒ duì zhè zhǒng yào guòmǐn.</v>
      </c>
    </row>
    <row r="22" spans="1:9" ht="14.25" customHeight="1">
      <c r="A22" s="3" t="s">
        <v>855</v>
      </c>
      <c r="B22" s="3" t="s">
        <v>856</v>
      </c>
      <c r="C22" s="24"/>
      <c r="D22" s="10" t="s">
        <v>857</v>
      </c>
      <c r="E22" s="6" t="str">
        <f ca="1">IFERROR(__xludf.DUMMYFUNCTION("""COMPUTED_VALUE"""),"Zuìjìn de yīyuàn zài nǎlǐ?")</f>
        <v>Zuìjìn de yīyuàn zài nǎlǐ?</v>
      </c>
    </row>
    <row r="23" spans="1:9" ht="14.25" customHeight="1">
      <c r="A23" s="3" t="s">
        <v>858</v>
      </c>
      <c r="B23" s="3" t="s">
        <v>859</v>
      </c>
      <c r="C23" s="24"/>
      <c r="E23" s="6" t="str">
        <f ca="1">IFERROR(__xludf.DUMMYFUNCTION("""COMPUTED_VALUE"""),"Qǐng bāng wǒ jiào jiùhù chē!")</f>
        <v>Qǐng bāng wǒ jiào jiùhù chē!</v>
      </c>
    </row>
    <row r="24" spans="1:9" ht="14.25" customHeight="1">
      <c r="A24" s="3" t="s">
        <v>860</v>
      </c>
      <c r="B24" s="3" t="s">
        <v>861</v>
      </c>
      <c r="C24" s="24"/>
      <c r="D24" s="10" t="s">
        <v>862</v>
      </c>
      <c r="E24" s="6" t="str">
        <f ca="1">IFERROR(__xludf.DUMMYFUNCTION("""COMPUTED_VALUE"""),"Wǒ xiǎng kàn yīshēng.")</f>
        <v>Wǒ xiǎng kàn yīshēng.</v>
      </c>
    </row>
    <row r="25" spans="1:9" ht="14.25" customHeight="1">
      <c r="A25" s="3" t="s">
        <v>863</v>
      </c>
      <c r="B25" s="3" t="s">
        <v>864</v>
      </c>
      <c r="C25" s="24"/>
      <c r="E25" s="6" t="str">
        <f ca="1">IFERROR(__xludf.DUMMYFUNCTION("""COMPUTED_VALUE"""),"Yīshēng, wǒ zhèlǐ téng.")</f>
        <v>Yīshēng, wǒ zhèlǐ téng.</v>
      </c>
    </row>
    <row r="26" spans="1:9" ht="14.25" customHeight="1">
      <c r="A26" s="3" t="s">
        <v>865</v>
      </c>
      <c r="B26" s="3" t="s">
        <v>866</v>
      </c>
      <c r="C26" s="24"/>
      <c r="D26" s="10" t="s">
        <v>867</v>
      </c>
      <c r="E26" s="6" t="str">
        <f ca="1">IFERROR(__xludf.DUMMYFUNCTION("""COMPUTED_VALUE"""),"Wǒ téng duōjiǔle?")</f>
        <v>Wǒ téng duōjiǔle?</v>
      </c>
    </row>
    <row r="27" spans="1:9" ht="14.25" customHeight="1">
      <c r="A27" s="3" t="s">
        <v>868</v>
      </c>
      <c r="B27" s="3" t="s">
        <v>869</v>
      </c>
      <c r="C27" s="24"/>
      <c r="E27" s="6" t="str">
        <f ca="1">IFERROR(__xludf.DUMMYFUNCTION("""COMPUTED_VALUE"""),"Cóng jīntiān zǎoshang kāishǐ.")</f>
        <v>Cóng jīntiān zǎoshang kāishǐ.</v>
      </c>
    </row>
    <row r="28" spans="1:9" ht="14.25" customHeight="1">
      <c r="A28" s="3" t="s">
        <v>870</v>
      </c>
      <c r="B28" s="3" t="s">
        <v>871</v>
      </c>
      <c r="C28" s="24"/>
      <c r="D28" s="10" t="s">
        <v>872</v>
      </c>
      <c r="E28" s="6" t="str">
        <f ca="1">IFERROR(__xludf.DUMMYFUNCTION("""COMPUTED_VALUE"""),"Wǒ chīguò yàole ma? ")</f>
        <v xml:space="preserve">Wǒ chīguò yàole ma? </v>
      </c>
    </row>
    <row r="29" spans="1:9" ht="14.25" customHeight="1">
      <c r="A29" s="3" t="s">
        <v>873</v>
      </c>
      <c r="B29" s="3" t="s">
        <v>874</v>
      </c>
      <c r="C29" s="24"/>
      <c r="E29" s="6" t="str">
        <f ca="1">IFERROR(__xludf.DUMMYFUNCTION("""COMPUTED_VALUE"""),"Wǒ shénme dōu méi chī.")</f>
        <v>Wǒ shénme dōu méi chī.</v>
      </c>
    </row>
    <row r="30" spans="1:9" ht="14.25" customHeight="1">
      <c r="A30" s="3" t="s">
        <v>875</v>
      </c>
      <c r="B30" s="3" t="s">
        <v>876</v>
      </c>
      <c r="C30" s="24"/>
      <c r="D30" s="10" t="s">
        <v>877</v>
      </c>
      <c r="E30" s="6" t="str">
        <f ca="1">IFERROR(__xludf.DUMMYFUNCTION("""COMPUTED_VALUE"""),"Wǒ xūyào xiūxí. ")</f>
        <v xml:space="preserve">Wǒ xūyào xiūxí. </v>
      </c>
    </row>
    <row r="31" spans="1:9" ht="14.25" customHeight="1">
      <c r="A31" s="3" t="s">
        <v>878</v>
      </c>
      <c r="B31" s="3" t="s">
        <v>879</v>
      </c>
      <c r="C31" s="4"/>
      <c r="D31" s="4"/>
      <c r="E31" s="4" t="str">
        <f ca="1">IFERROR(__xludf.DUMMYFUNCTION("""COMPUTED_VALUE"""),"Duō hē shuǐ.")</f>
        <v>Duō hē shuǐ.</v>
      </c>
      <c r="F31" s="4"/>
      <c r="G31" s="4"/>
      <c r="H31" s="4"/>
      <c r="I31" s="4"/>
    </row>
    <row r="32" spans="1:9" ht="14.25" customHeight="1">
      <c r="A32" s="3" t="s">
        <v>880</v>
      </c>
      <c r="B32" s="3" t="s">
        <v>881</v>
      </c>
      <c r="C32" s="4"/>
      <c r="D32" s="4" t="s">
        <v>882</v>
      </c>
      <c r="E32" s="4" t="str">
        <f ca="1">IFERROR(__xludf.DUMMYFUNCTION("""COMPUTED_VALUE"""),"Bùyào chī lěngshí.")</f>
        <v>Bùyào chī lěngshí.</v>
      </c>
      <c r="F32" s="4"/>
      <c r="G32" s="4"/>
      <c r="H32" s="4"/>
      <c r="I32" s="4"/>
    </row>
    <row r="33" spans="1:9" ht="14.25" customHeight="1">
      <c r="A33" s="3" t="s">
        <v>883</v>
      </c>
      <c r="B33" s="3" t="s">
        <v>884</v>
      </c>
      <c r="C33" s="4"/>
      <c r="D33" s="4" t="s">
        <v>885</v>
      </c>
      <c r="E33" s="4" t="str">
        <f ca="1">IFERROR(__xludf.DUMMYFUNCTION("""COMPUTED_VALUE"""),"Wǒ xiànzài gǎnjué hǎoduōle.")</f>
        <v>Wǒ xiànzài gǎnjué hǎoduōle.</v>
      </c>
      <c r="F33" s="4"/>
      <c r="G33" s="4"/>
      <c r="H33" s="4"/>
      <c r="I33" s="4"/>
    </row>
    <row r="34" spans="1:9" ht="14.25" customHeight="1">
      <c r="A34" s="3" t="s">
        <v>886</v>
      </c>
      <c r="B34" s="3" t="s">
        <v>887</v>
      </c>
      <c r="C34" s="4"/>
      <c r="D34" s="4" t="s">
        <v>888</v>
      </c>
      <c r="E34" s="4" t="str">
        <f ca="1">IFERROR(__xludf.DUMMYFUNCTION("""COMPUTED_VALUE"""),"Wǒ háishì yǒudiǎn lèi.")</f>
        <v>Wǒ háishì yǒudiǎn lèi.</v>
      </c>
      <c r="F34" s="4"/>
      <c r="G34" s="4"/>
      <c r="H34" s="4"/>
      <c r="I34" s="4"/>
    </row>
    <row r="35" spans="1:9" ht="14.25" customHeight="1">
      <c r="A35" s="3" t="s">
        <v>889</v>
      </c>
      <c r="B35" s="3" t="s">
        <v>890</v>
      </c>
      <c r="C35" s="25" t="s">
        <v>891</v>
      </c>
      <c r="D35" s="8"/>
      <c r="E35" s="8" t="str">
        <f ca="1">IFERROR(__xludf.DUMMYFUNCTION("""COMPUTED_VALUE"""),"Wǒ bèi wénzǐ yǎole.")</f>
        <v>Wǒ bèi wénzǐ yǎole.</v>
      </c>
      <c r="F35" s="8" t="s">
        <v>892</v>
      </c>
      <c r="G35" s="8" t="s">
        <v>893</v>
      </c>
      <c r="H35" s="8" t="s">
        <v>894</v>
      </c>
      <c r="I35" s="8" t="s">
        <v>895</v>
      </c>
    </row>
    <row r="36" spans="1:9" ht="14.25" customHeight="1">
      <c r="A36" s="3" t="s">
        <v>896</v>
      </c>
      <c r="B36" s="3" t="s">
        <v>897</v>
      </c>
      <c r="C36" s="25" t="s">
        <v>898</v>
      </c>
      <c r="D36" s="8" t="s">
        <v>899</v>
      </c>
      <c r="E36" s="5" t="str">
        <f ca="1">IFERROR(__xludf.DUMMYFUNCTION("""COMPUTED_VALUE"""),"Nín yǒu zhǐ yǎng yàogāo ma?")</f>
        <v>Nín yǒu zhǐ yǎng yàogāo ma?</v>
      </c>
      <c r="F36" s="5" t="s">
        <v>900</v>
      </c>
      <c r="G36" s="5" t="s">
        <v>901</v>
      </c>
      <c r="H36" s="5" t="s">
        <v>902</v>
      </c>
      <c r="I36" s="5" t="s">
        <v>903</v>
      </c>
    </row>
    <row r="37" spans="1:9" ht="14.25" customHeight="1">
      <c r="A37" s="3" t="s">
        <v>904</v>
      </c>
      <c r="B37" s="3" t="s">
        <v>905</v>
      </c>
      <c r="C37" s="25" t="s">
        <v>906</v>
      </c>
      <c r="D37" s="8"/>
      <c r="E37" s="8" t="str">
        <f ca="1">IFERROR(__xludf.DUMMYFUNCTION("""COMPUTED_VALUE"""),"Wǒ de shǒu gē shāngle.")</f>
        <v>Wǒ de shǒu gē shāngle.</v>
      </c>
      <c r="F37" s="8" t="s">
        <v>907</v>
      </c>
      <c r="G37" s="8" t="s">
        <v>908</v>
      </c>
      <c r="H37" s="8" t="s">
        <v>909</v>
      </c>
      <c r="I37" s="8" t="s">
        <v>910</v>
      </c>
    </row>
    <row r="38" spans="1:9" ht="14.25" customHeight="1">
      <c r="A38" s="3" t="s">
        <v>911</v>
      </c>
      <c r="B38" s="3" t="s">
        <v>912</v>
      </c>
      <c r="C38" s="27"/>
      <c r="D38" s="8" t="s">
        <v>913</v>
      </c>
      <c r="E38" s="5" t="str">
        <f ca="1">IFERROR(__xludf.DUMMYFUNCTION("""COMPUTED_VALUE"""),"Wǒ kěyǐ yào gè chuàngkětiē ma?")</f>
        <v>Wǒ kěyǐ yào gè chuàngkětiē ma?</v>
      </c>
      <c r="F38" s="5"/>
      <c r="G38" s="5"/>
      <c r="H38" s="5"/>
      <c r="I38" s="5"/>
    </row>
    <row r="39" spans="1:9" ht="14.25" customHeight="1">
      <c r="A39" s="3" t="s">
        <v>914</v>
      </c>
      <c r="B39" s="3" t="s">
        <v>915</v>
      </c>
      <c r="C39" s="24"/>
      <c r="E39" s="6" t="str">
        <f ca="1">IFERROR(__xludf.DUMMYFUNCTION("""COMPUTED_VALUE"""),"Shāngkǒu shēn ma?")</f>
        <v>Shāngkǒu shēn ma?</v>
      </c>
    </row>
    <row r="40" spans="1:9" ht="14.25" customHeight="1">
      <c r="A40" s="3" t="s">
        <v>916</v>
      </c>
      <c r="B40" s="3" t="s">
        <v>917</v>
      </c>
      <c r="C40" s="24"/>
      <c r="D40" s="10" t="s">
        <v>918</v>
      </c>
      <c r="E40" s="6" t="str">
        <f ca="1">IFERROR(__xludf.DUMMYFUNCTION("""COMPUTED_VALUE"""),"Wǒ xūyào qīngjié shāngkǒu.")</f>
        <v>Wǒ xūyào qīngjié shāngkǒu.</v>
      </c>
    </row>
    <row r="41" spans="1:9" ht="14.25" customHeight="1">
      <c r="A41" s="3" t="s">
        <v>919</v>
      </c>
      <c r="B41" s="3" t="s">
        <v>920</v>
      </c>
      <c r="C41" s="26" t="s">
        <v>921</v>
      </c>
      <c r="D41" s="5"/>
      <c r="E41" s="5" t="str">
        <f ca="1">IFERROR(__xludf.DUMMYFUNCTION("""COMPUTED_VALUE"""),"Wǒ yá téng.")</f>
        <v>Wǒ yá téng.</v>
      </c>
      <c r="F41" s="5" t="s">
        <v>922</v>
      </c>
      <c r="G41" s="5" t="s">
        <v>923</v>
      </c>
      <c r="H41" s="5" t="s">
        <v>786</v>
      </c>
      <c r="I41" s="5" t="s">
        <v>924</v>
      </c>
    </row>
    <row r="42" spans="1:9" ht="14.25" customHeight="1">
      <c r="A42" s="3" t="s">
        <v>925</v>
      </c>
      <c r="B42" s="3" t="s">
        <v>926</v>
      </c>
      <c r="C42" s="4"/>
      <c r="D42" s="4" t="s">
        <v>927</v>
      </c>
      <c r="E42" s="4" t="str">
        <f ca="1">IFERROR(__xludf.DUMMYFUNCTION("""COMPUTED_VALUE"""),"Wǒ xūyào qù kàn yáyī.")</f>
        <v>Wǒ xūyào qù kàn yáyī.</v>
      </c>
      <c r="F42" s="4"/>
      <c r="G42" s="4"/>
      <c r="H42" s="4"/>
      <c r="I42" s="4"/>
    </row>
    <row r="43" spans="1:9" ht="14.25" customHeight="1">
      <c r="A43" s="3" t="s">
        <v>928</v>
      </c>
      <c r="B43" s="3" t="s">
        <v>929</v>
      </c>
      <c r="C43" s="26" t="s">
        <v>930</v>
      </c>
      <c r="D43" s="5"/>
      <c r="E43" s="5" t="str">
        <f ca="1">IFERROR(__xludf.DUMMYFUNCTION("""COMPUTED_VALUE"""),"Wǒ shì jìnshì yǎn.")</f>
        <v>Wǒ shì jìnshì yǎn.</v>
      </c>
      <c r="F43" s="5" t="s">
        <v>931</v>
      </c>
      <c r="G43" s="5" t="s">
        <v>932</v>
      </c>
      <c r="H43" s="5" t="s">
        <v>933</v>
      </c>
      <c r="I43" s="5" t="s">
        <v>934</v>
      </c>
    </row>
    <row r="44" spans="1:9" ht="14.25" customHeight="1">
      <c r="A44" s="3" t="s">
        <v>935</v>
      </c>
      <c r="B44" s="3" t="s">
        <v>936</v>
      </c>
      <c r="C44" s="4"/>
      <c r="D44" s="4" t="s">
        <v>937</v>
      </c>
      <c r="E44" s="4" t="str">
        <f ca="1">IFERROR(__xludf.DUMMYFUNCTION("""COMPUTED_VALUE"""),"Wǒ xūyào pèi fù xīn yǎnjìng.")</f>
        <v>Wǒ xūyào pèi fù xīn yǎnjìng.</v>
      </c>
      <c r="F44" s="4"/>
      <c r="G44" s="4"/>
      <c r="H44" s="4"/>
      <c r="I44" s="4"/>
    </row>
    <row r="45" spans="1:9" ht="14.25" customHeight="1">
      <c r="A45" s="3" t="s">
        <v>938</v>
      </c>
      <c r="B45" s="3" t="s">
        <v>939</v>
      </c>
      <c r="C45" s="25" t="s">
        <v>940</v>
      </c>
      <c r="D45" s="5"/>
      <c r="E45" s="5" t="str">
        <f ca="1">IFERROR(__xludf.DUMMYFUNCTION("""COMPUTED_VALUE"""),"Wǒ gǎnjué hǎo kùn.")</f>
        <v>Wǒ gǎnjué hǎo kùn.</v>
      </c>
      <c r="F45" s="5" t="s">
        <v>941</v>
      </c>
      <c r="G45" s="5" t="s">
        <v>942</v>
      </c>
      <c r="H45" s="5" t="s">
        <v>943</v>
      </c>
      <c r="I45" s="5" t="s">
        <v>944</v>
      </c>
    </row>
    <row r="46" spans="1:9" ht="14.25" customHeight="1">
      <c r="A46" s="3" t="s">
        <v>945</v>
      </c>
      <c r="B46" s="3" t="s">
        <v>946</v>
      </c>
      <c r="C46" s="4"/>
      <c r="D46" s="4" t="s">
        <v>947</v>
      </c>
      <c r="E46" s="4" t="str">
        <f ca="1">IFERROR(__xludf.DUMMYFUNCTION("""COMPUTED_VALUE"""),"Hǎohǎo xiūxí, zhèyàng nǐ jiù néng zǎorì kāngfù.")</f>
        <v>Hǎohǎo xiūxí, zhèyàng nǐ jiù néng zǎorì kāngfù.</v>
      </c>
      <c r="F46" s="4"/>
      <c r="G46" s="4"/>
      <c r="H46" s="4"/>
      <c r="I46" s="4"/>
    </row>
    <row r="47" spans="1:9" ht="14.25" customHeight="1">
      <c r="A47" s="3" t="s">
        <v>948</v>
      </c>
      <c r="B47" s="3" t="s">
        <v>949</v>
      </c>
      <c r="C47" s="4"/>
      <c r="D47" s="4"/>
      <c r="E47" s="4" t="str">
        <f ca="1">IFERROR(__xludf.DUMMYFUNCTION("""COMPUTED_VALUE"""),"Fēicháng gǎnxiè yīshēng.")</f>
        <v>Fēicháng gǎnxiè yīshēng.</v>
      </c>
      <c r="F47" s="4"/>
      <c r="G47" s="4"/>
      <c r="H47" s="4"/>
      <c r="I47" s="4"/>
    </row>
    <row r="48" spans="1:9" ht="14.25" customHeight="1">
      <c r="A48" s="3" t="s">
        <v>950</v>
      </c>
      <c r="B48" s="3" t="s">
        <v>951</v>
      </c>
      <c r="C48" s="4"/>
      <c r="D48" s="4" t="s">
        <v>952</v>
      </c>
      <c r="E48" s="4" t="str">
        <f ca="1">IFERROR(__xludf.DUMMYFUNCTION("""COMPUTED_VALUE"""),"Wǒ huì ànshí fúyào.")</f>
        <v>Wǒ huì ànshí fúyào.</v>
      </c>
      <c r="F48" s="4"/>
      <c r="G48" s="4"/>
      <c r="H48" s="4"/>
      <c r="I48" s="4"/>
    </row>
    <row r="49" spans="1:9" ht="14.25" customHeight="1">
      <c r="A49" s="3" t="s">
        <v>953</v>
      </c>
      <c r="B49" s="3" t="s">
        <v>954</v>
      </c>
      <c r="C49" s="5"/>
      <c r="D49" s="5"/>
      <c r="E49" s="5" t="str">
        <f ca="1">IFERROR(__xludf.DUMMYFUNCTION("""COMPUTED_VALUE"""),"Zhù nín zǎorì kāngfù.")</f>
        <v>Zhù nín zǎorì kāngfù.</v>
      </c>
      <c r="F49" s="5"/>
      <c r="G49" s="5"/>
      <c r="H49" s="5"/>
      <c r="I49" s="5"/>
    </row>
    <row r="50" spans="1:9" ht="14.25" customHeight="1">
      <c r="A50" s="3" t="s">
        <v>74</v>
      </c>
      <c r="B50" s="3" t="s">
        <v>955</v>
      </c>
      <c r="D50" s="10" t="s">
        <v>956</v>
      </c>
      <c r="E50" s="6" t="str">
        <f ca="1">IFERROR(__xludf.DUMMYFUNCTION("""COMPUTED_VALUE"""),"Zhùyì shēntǐ jiànkāng.")</f>
        <v>Zhùyì shēntǐ jiànkāng.</v>
      </c>
    </row>
    <row r="51" spans="1:9" ht="14.25" customHeight="1">
      <c r="A51" s="3" t="s">
        <v>957</v>
      </c>
      <c r="B51" s="3" t="s">
        <v>958</v>
      </c>
      <c r="E51" s="6" t="str">
        <f ca="1">IFERROR(__xludf.DUMMYFUNCTION("""COMPUTED_VALUE"""),"Jiànkāng zuì zhòngyào!")</f>
        <v>Jiànkāng zuì zhòngyào!</v>
      </c>
    </row>
    <row r="52" spans="1:9" ht="14.25" customHeight="1">
      <c r="A52" s="4"/>
      <c r="B52" s="4"/>
      <c r="D52" s="10" t="s">
        <v>959</v>
      </c>
    </row>
    <row r="53" spans="1:9" ht="14.25" customHeight="1">
      <c r="A53" s="4"/>
      <c r="B53" s="4"/>
      <c r="C53" s="28"/>
      <c r="D53" s="8" t="s">
        <v>960</v>
      </c>
      <c r="E53" s="5"/>
      <c r="F53" s="5"/>
      <c r="G53" s="5"/>
      <c r="H53" s="5"/>
      <c r="I53" s="5"/>
    </row>
    <row r="54" spans="1:9" ht="14.25" customHeight="1">
      <c r="A54" s="4"/>
      <c r="B54" s="4"/>
      <c r="C54" s="28"/>
      <c r="D54" s="8" t="s">
        <v>961</v>
      </c>
      <c r="E54" s="5"/>
      <c r="F54" s="5"/>
      <c r="G54" s="5"/>
      <c r="H54" s="5"/>
      <c r="I54" s="5"/>
    </row>
    <row r="55" spans="1:9" ht="14.25" customHeight="1">
      <c r="A55" s="4"/>
      <c r="B55" s="4"/>
      <c r="C55" s="28"/>
      <c r="D55" s="8" t="s">
        <v>962</v>
      </c>
      <c r="E55" s="5"/>
      <c r="F55" s="5"/>
      <c r="G55" s="5"/>
      <c r="H55" s="5"/>
      <c r="I55" s="5"/>
    </row>
    <row r="56" spans="1:9" ht="14.25" customHeight="1">
      <c r="A56" s="4"/>
      <c r="B56" s="4"/>
      <c r="C56" s="28"/>
      <c r="D56" s="8" t="s">
        <v>963</v>
      </c>
      <c r="E56" s="5"/>
      <c r="F56" s="5"/>
      <c r="G56" s="5"/>
      <c r="H56" s="5"/>
      <c r="I56" s="5"/>
    </row>
    <row r="57" spans="1:9" ht="14.25" customHeight="1">
      <c r="A57" s="4"/>
      <c r="B57" s="4"/>
      <c r="C57" s="28"/>
      <c r="D57" s="5"/>
      <c r="E57" s="5"/>
      <c r="F57" s="5"/>
      <c r="G57" s="5"/>
      <c r="H57" s="5"/>
      <c r="I57" s="5"/>
    </row>
    <row r="58" spans="1:9" ht="14.25" customHeight="1">
      <c r="A58" s="4"/>
      <c r="B58" s="4"/>
      <c r="C58" s="28"/>
      <c r="D58" s="8" t="s">
        <v>964</v>
      </c>
      <c r="E58" s="5"/>
      <c r="F58" s="5"/>
      <c r="G58" s="5"/>
      <c r="H58" s="5"/>
      <c r="I58" s="5"/>
    </row>
    <row r="59" spans="1:9" ht="14.25" customHeight="1">
      <c r="A59" s="4"/>
      <c r="B59" s="4"/>
      <c r="C59" s="28"/>
      <c r="D59" s="5"/>
      <c r="E59" s="5"/>
      <c r="F59" s="5"/>
      <c r="G59" s="5"/>
      <c r="H59" s="5"/>
      <c r="I59" s="5"/>
    </row>
    <row r="60" spans="1:9" ht="14.25" customHeight="1">
      <c r="A60" s="4"/>
      <c r="B60" s="4"/>
      <c r="C60" s="28"/>
      <c r="D60" s="8" t="s">
        <v>965</v>
      </c>
      <c r="E60" s="5"/>
      <c r="F60" s="5"/>
      <c r="G60" s="5"/>
      <c r="H60" s="5"/>
      <c r="I60" s="5"/>
    </row>
    <row r="61" spans="1:9" ht="14.25" customHeight="1">
      <c r="A61" s="4"/>
      <c r="B61" s="4"/>
      <c r="C61" s="28"/>
      <c r="D61" s="5"/>
      <c r="E61" s="5"/>
      <c r="F61" s="5"/>
      <c r="G61" s="5"/>
      <c r="H61" s="5"/>
      <c r="I61" s="5"/>
    </row>
    <row r="62" spans="1:9" ht="14.25" customHeight="1">
      <c r="A62" s="4"/>
      <c r="B62" s="4"/>
      <c r="C62" s="28"/>
      <c r="D62" s="8" t="s">
        <v>966</v>
      </c>
      <c r="E62" s="5"/>
      <c r="F62" s="5"/>
      <c r="G62" s="5"/>
      <c r="H62" s="5"/>
      <c r="I62" s="5"/>
    </row>
    <row r="63" spans="1:9" ht="14.25" customHeight="1">
      <c r="A63" s="4"/>
      <c r="B63" s="4"/>
      <c r="C63" s="28"/>
      <c r="D63" s="5"/>
      <c r="E63" s="5"/>
      <c r="F63" s="5"/>
      <c r="G63" s="5"/>
      <c r="H63" s="5"/>
      <c r="I63" s="5"/>
    </row>
    <row r="64" spans="1:9" ht="14.25" customHeight="1">
      <c r="A64" s="4"/>
      <c r="B64" s="4"/>
      <c r="C64" s="28"/>
      <c r="D64" s="8" t="s">
        <v>967</v>
      </c>
      <c r="E64" s="5"/>
      <c r="F64" s="5"/>
      <c r="G64" s="5"/>
      <c r="H64" s="5"/>
      <c r="I64" s="5"/>
    </row>
    <row r="65" spans="1:9" ht="14.25" customHeight="1">
      <c r="A65" s="4"/>
      <c r="B65" s="4"/>
      <c r="C65" s="28"/>
      <c r="D65" s="5"/>
      <c r="E65" s="5"/>
      <c r="F65" s="5"/>
      <c r="G65" s="5"/>
      <c r="H65" s="5"/>
      <c r="I65" s="5"/>
    </row>
    <row r="66" spans="1:9" ht="14.25" customHeight="1">
      <c r="A66" s="4"/>
      <c r="B66" s="4"/>
      <c r="C66" s="28"/>
      <c r="D66" s="8" t="s">
        <v>968</v>
      </c>
      <c r="E66" s="5"/>
      <c r="F66" s="5"/>
      <c r="G66" s="5"/>
      <c r="H66" s="5"/>
      <c r="I66" s="5"/>
    </row>
    <row r="67" spans="1:9" ht="14.25" customHeight="1">
      <c r="A67" s="4"/>
      <c r="B67" s="4"/>
      <c r="C67" s="28"/>
      <c r="D67" s="5"/>
      <c r="E67" s="5"/>
      <c r="F67" s="5"/>
      <c r="G67" s="5"/>
      <c r="H67" s="5"/>
      <c r="I67" s="5"/>
    </row>
    <row r="68" spans="1:9" ht="14.25" customHeight="1">
      <c r="A68" s="4"/>
      <c r="B68" s="4"/>
      <c r="C68" s="28"/>
      <c r="D68" s="8" t="s">
        <v>969</v>
      </c>
      <c r="E68" s="5"/>
      <c r="F68" s="5"/>
      <c r="G68" s="5"/>
      <c r="H68" s="5"/>
      <c r="I68" s="5"/>
    </row>
    <row r="69" spans="1:9" ht="14.25" customHeight="1">
      <c r="A69" s="4"/>
      <c r="B69" s="4"/>
      <c r="C69" s="28"/>
      <c r="D69" s="5"/>
      <c r="E69" s="5"/>
      <c r="F69" s="5"/>
      <c r="G69" s="5"/>
      <c r="H69" s="5"/>
      <c r="I69" s="5"/>
    </row>
    <row r="70" spans="1:9" ht="14.25" customHeight="1">
      <c r="A70" s="4"/>
      <c r="B70" s="4"/>
      <c r="C70" s="28"/>
      <c r="D70" s="8" t="s">
        <v>970</v>
      </c>
      <c r="E70" s="5"/>
      <c r="F70" s="5"/>
      <c r="G70" s="5"/>
      <c r="H70" s="5"/>
      <c r="I70" s="5"/>
    </row>
    <row r="71" spans="1:9" ht="14.25" customHeight="1">
      <c r="A71" s="4"/>
      <c r="B71" s="4"/>
      <c r="C71" s="28"/>
      <c r="D71" s="5"/>
      <c r="E71" s="5"/>
      <c r="F71" s="5"/>
      <c r="G71" s="5"/>
      <c r="H71" s="5"/>
      <c r="I71" s="5"/>
    </row>
    <row r="72" spans="1:9" ht="14.25" customHeight="1">
      <c r="A72" s="4"/>
      <c r="B72" s="4"/>
      <c r="C72" s="28"/>
      <c r="D72" s="8" t="s">
        <v>971</v>
      </c>
      <c r="E72" s="5"/>
      <c r="F72" s="5"/>
      <c r="G72" s="5"/>
      <c r="H72" s="5"/>
      <c r="I72" s="5"/>
    </row>
    <row r="73" spans="1:9" ht="14.25" customHeight="1">
      <c r="A73" s="4"/>
      <c r="B73" s="4"/>
      <c r="C73" s="28"/>
      <c r="D73" s="5"/>
      <c r="E73" s="5"/>
      <c r="F73" s="5"/>
      <c r="G73" s="5"/>
      <c r="H73" s="5"/>
      <c r="I73" s="5"/>
    </row>
    <row r="74" spans="1:9" ht="14.25" customHeight="1">
      <c r="A74" s="4"/>
      <c r="B74" s="4"/>
      <c r="C74" s="28"/>
      <c r="D74" s="8" t="s">
        <v>972</v>
      </c>
      <c r="E74" s="5"/>
      <c r="F74" s="5"/>
      <c r="G74" s="5"/>
      <c r="H74" s="5"/>
      <c r="I74" s="5"/>
    </row>
    <row r="75" spans="1:9" ht="14.25" customHeight="1">
      <c r="A75" s="4"/>
      <c r="B75" s="4"/>
      <c r="C75" s="28"/>
      <c r="D75" s="5"/>
      <c r="E75" s="5"/>
      <c r="F75" s="5"/>
      <c r="G75" s="5"/>
      <c r="H75" s="5"/>
      <c r="I75" s="5"/>
    </row>
    <row r="76" spans="1:9" ht="14.25" customHeight="1">
      <c r="A76" s="4"/>
      <c r="B76" s="4"/>
      <c r="C76" s="28"/>
      <c r="D76" s="8" t="s">
        <v>973</v>
      </c>
      <c r="E76" s="5"/>
      <c r="F76" s="5"/>
      <c r="G76" s="5"/>
      <c r="H76" s="5"/>
      <c r="I76" s="5"/>
    </row>
    <row r="77" spans="1:9" ht="14.25" customHeight="1">
      <c r="A77" s="4"/>
      <c r="B77" s="4"/>
      <c r="C77" s="28"/>
      <c r="D77" s="8" t="s">
        <v>974</v>
      </c>
      <c r="E77" s="5"/>
      <c r="F77" s="5"/>
      <c r="G77" s="5"/>
      <c r="H77" s="5"/>
      <c r="I77" s="5"/>
    </row>
    <row r="78" spans="1:9" ht="14.25" customHeight="1">
      <c r="A78" s="4"/>
      <c r="B78" s="4"/>
      <c r="C78" s="28"/>
      <c r="E78" s="5"/>
      <c r="F78" s="5"/>
      <c r="G78" s="5"/>
      <c r="H78" s="5"/>
      <c r="I78" s="5"/>
    </row>
    <row r="79" spans="1:9" ht="14.25" customHeight="1">
      <c r="A79" s="4"/>
      <c r="B79" s="4"/>
      <c r="C79" s="28"/>
      <c r="D79" s="5"/>
      <c r="E79" s="5"/>
      <c r="F79" s="5"/>
      <c r="G79" s="5"/>
      <c r="H79" s="5"/>
      <c r="I79" s="5"/>
    </row>
    <row r="80" spans="1:9" ht="14.25" customHeight="1">
      <c r="A80" s="4"/>
      <c r="B80" s="4"/>
      <c r="C80" s="28"/>
      <c r="D80" s="8" t="s">
        <v>975</v>
      </c>
      <c r="E80" s="5"/>
      <c r="F80" s="5"/>
      <c r="G80" s="5"/>
      <c r="H80" s="5"/>
      <c r="I80" s="5"/>
    </row>
    <row r="81" spans="1:9" ht="14.25" customHeight="1">
      <c r="A81" s="4"/>
      <c r="B81" s="4"/>
      <c r="C81" s="28"/>
      <c r="D81" s="5"/>
      <c r="E81" s="5"/>
      <c r="F81" s="5"/>
      <c r="G81" s="5"/>
      <c r="H81" s="5"/>
      <c r="I81" s="5"/>
    </row>
    <row r="82" spans="1:9" ht="14.25" customHeight="1">
      <c r="A82" s="4"/>
      <c r="B82" s="4"/>
      <c r="C82" s="28"/>
      <c r="D82" s="8" t="s">
        <v>976</v>
      </c>
      <c r="E82" s="5"/>
      <c r="F82" s="5"/>
      <c r="G82" s="5"/>
      <c r="H82" s="5"/>
      <c r="I82" s="5"/>
    </row>
    <row r="83" spans="1:9" ht="14.25" customHeight="1">
      <c r="A83" s="4"/>
      <c r="B83" s="4"/>
      <c r="C83" s="28"/>
      <c r="D83" s="5"/>
      <c r="E83" s="5"/>
      <c r="F83" s="5"/>
      <c r="G83" s="5"/>
      <c r="H83" s="5"/>
      <c r="I83" s="5"/>
    </row>
    <row r="84" spans="1:9" ht="14.25" customHeight="1">
      <c r="A84" s="4"/>
      <c r="B84" s="4"/>
      <c r="C84" s="28"/>
      <c r="D84" s="8" t="s">
        <v>977</v>
      </c>
      <c r="E84" s="5"/>
      <c r="F84" s="5"/>
      <c r="G84" s="5"/>
      <c r="H84" s="5"/>
      <c r="I84" s="5"/>
    </row>
    <row r="85" spans="1:9" ht="14.25" customHeight="1">
      <c r="A85" s="4"/>
      <c r="B85" s="4"/>
      <c r="C85" s="28"/>
      <c r="D85" s="5"/>
      <c r="E85" s="5"/>
      <c r="F85" s="5"/>
      <c r="G85" s="5"/>
      <c r="H85" s="5"/>
      <c r="I85" s="5"/>
    </row>
    <row r="86" spans="1:9" ht="14.25" customHeight="1">
      <c r="A86" s="4"/>
      <c r="B86" s="4"/>
      <c r="C86" s="28"/>
      <c r="D86" s="8" t="s">
        <v>978</v>
      </c>
      <c r="E86" s="5"/>
      <c r="F86" s="5"/>
      <c r="G86" s="5"/>
      <c r="H86" s="5"/>
      <c r="I86" s="5"/>
    </row>
    <row r="87" spans="1:9" ht="14.25" customHeight="1">
      <c r="A87" s="4"/>
      <c r="B87" s="4"/>
      <c r="C87" s="28"/>
      <c r="D87" s="5"/>
      <c r="E87" s="5"/>
      <c r="F87" s="5"/>
      <c r="G87" s="5"/>
      <c r="H87" s="5"/>
      <c r="I87" s="5"/>
    </row>
    <row r="88" spans="1:9" ht="14.25" customHeight="1">
      <c r="A88" s="4"/>
      <c r="B88" s="4"/>
      <c r="C88" s="28"/>
      <c r="D88" s="8" t="s">
        <v>979</v>
      </c>
      <c r="E88" s="5"/>
      <c r="F88" s="5"/>
      <c r="G88" s="5"/>
      <c r="H88" s="5"/>
      <c r="I88" s="5"/>
    </row>
    <row r="89" spans="1:9" ht="14.25" customHeight="1">
      <c r="A89" s="4"/>
      <c r="B89" s="4"/>
      <c r="C89" s="28"/>
      <c r="D89" s="5"/>
      <c r="E89" s="5"/>
      <c r="F89" s="5"/>
      <c r="G89" s="5"/>
      <c r="H89" s="5"/>
      <c r="I89" s="5"/>
    </row>
    <row r="90" spans="1:9" ht="14.25" customHeight="1">
      <c r="A90" s="4"/>
      <c r="B90" s="4"/>
      <c r="C90" s="28"/>
      <c r="D90" s="8" t="s">
        <v>980</v>
      </c>
      <c r="E90" s="5"/>
      <c r="F90" s="5"/>
      <c r="G90" s="5"/>
      <c r="H90" s="5"/>
      <c r="I90" s="5"/>
    </row>
    <row r="91" spans="1:9" ht="14.25" customHeight="1">
      <c r="A91" s="4"/>
      <c r="B91" s="4"/>
      <c r="C91" s="28"/>
      <c r="D91" s="5"/>
      <c r="E91" s="5"/>
      <c r="F91" s="5"/>
      <c r="G91" s="5"/>
      <c r="H91" s="5"/>
      <c r="I91" s="5"/>
    </row>
    <row r="92" spans="1:9" ht="14.25" customHeight="1">
      <c r="A92" s="4"/>
      <c r="B92" s="4"/>
      <c r="C92" s="28"/>
      <c r="D92" s="8" t="s">
        <v>981</v>
      </c>
      <c r="E92" s="5"/>
      <c r="F92" s="5"/>
      <c r="G92" s="5"/>
      <c r="H92" s="5"/>
      <c r="I92" s="5"/>
    </row>
    <row r="93" spans="1:9" ht="14.25" customHeight="1">
      <c r="A93" s="4"/>
      <c r="B93" s="4"/>
      <c r="C93" s="28"/>
      <c r="D93" s="5"/>
      <c r="E93" s="5"/>
      <c r="F93" s="5"/>
      <c r="G93" s="5"/>
      <c r="H93" s="5"/>
      <c r="I93" s="5"/>
    </row>
    <row r="94" spans="1:9" ht="14.25" customHeight="1">
      <c r="A94" s="4"/>
      <c r="B94" s="4"/>
      <c r="C94" s="28"/>
      <c r="D94" s="8" t="s">
        <v>982</v>
      </c>
      <c r="E94" s="5"/>
      <c r="F94" s="5"/>
      <c r="G94" s="5"/>
      <c r="H94" s="5"/>
      <c r="I94" s="5"/>
    </row>
    <row r="95" spans="1:9" ht="14.25" customHeight="1">
      <c r="A95" s="4"/>
      <c r="B95" s="4"/>
      <c r="C95" s="28"/>
      <c r="D95" s="8"/>
      <c r="E95" s="5"/>
      <c r="F95" s="5"/>
      <c r="G95" s="5"/>
      <c r="H95" s="5"/>
      <c r="I95" s="5"/>
    </row>
    <row r="96" spans="1:9" ht="14.25" customHeight="1">
      <c r="A96" s="4"/>
      <c r="B96" s="4"/>
      <c r="C96" s="28"/>
      <c r="D96" s="8"/>
      <c r="E96" s="5"/>
      <c r="F96" s="5"/>
      <c r="G96" s="5"/>
      <c r="H96" s="5"/>
      <c r="I96" s="5"/>
    </row>
  </sheetData>
  <autoFilter ref="D1:D96"/>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H98"/>
  <sheetViews>
    <sheetView workbookViewId="0">
      <pane ySplit="1" topLeftCell="A2" activePane="bottomLeft" state="frozen"/>
      <selection pane="bottomLeft" activeCell="B3" sqref="B3"/>
    </sheetView>
  </sheetViews>
  <sheetFormatPr defaultColWidth="14.44140625" defaultRowHeight="15" customHeight="1"/>
  <cols>
    <col min="1" max="1" width="60.109375" customWidth="1"/>
    <col min="2" max="2" width="53.109375" customWidth="1"/>
    <col min="3" max="3" width="37" customWidth="1"/>
    <col min="4" max="4" width="33.44140625" customWidth="1"/>
    <col min="5" max="5" width="56.88671875" customWidth="1"/>
    <col min="6" max="8" width="33.44140625" customWidth="1"/>
  </cols>
  <sheetData>
    <row r="1" spans="1:8" ht="14.25" customHeight="1">
      <c r="A1" s="29" t="s">
        <v>983</v>
      </c>
      <c r="B1" s="30"/>
      <c r="C1" s="31" t="s">
        <v>984</v>
      </c>
      <c r="D1" s="31"/>
      <c r="E1" s="2"/>
      <c r="F1" s="31" t="s">
        <v>985</v>
      </c>
      <c r="G1" s="31" t="s">
        <v>986</v>
      </c>
      <c r="H1" s="32"/>
    </row>
    <row r="2" spans="1:8" ht="14.25" customHeight="1">
      <c r="A2" s="17" t="s">
        <v>987</v>
      </c>
      <c r="B2" s="17" t="s">
        <v>988</v>
      </c>
      <c r="C2" s="18"/>
      <c r="D2" s="18" t="s">
        <v>989</v>
      </c>
      <c r="E2" s="5" t="str">
        <f ca="1">IFERROR(__xludf.DUMMYFUNCTION("FILTER(D1:D1002,D1:D1002&lt;&gt; """")"),"Jīntiān tiānqì zěnme yàng?")</f>
        <v>Jīntiān tiānqì zěnme yàng?</v>
      </c>
      <c r="F2" s="18"/>
      <c r="G2" s="18"/>
      <c r="H2" s="4"/>
    </row>
    <row r="3" spans="1:8" ht="14.25" customHeight="1">
      <c r="A3" s="17" t="s">
        <v>990</v>
      </c>
      <c r="B3" s="17" t="s">
        <v>991</v>
      </c>
      <c r="C3" s="18"/>
      <c r="D3" s="18"/>
      <c r="E3" s="6" t="str">
        <f ca="1">IFERROR(__xludf.DUMMYFUNCTION("""COMPUTED_VALUE"""),"Jīntiān tiānqì zhēn hǎo.")</f>
        <v>Jīntiān tiānqì zhēn hǎo.</v>
      </c>
      <c r="F3" s="18"/>
      <c r="G3" s="18"/>
      <c r="H3" s="4"/>
    </row>
    <row r="4" spans="1:8" ht="14.25" customHeight="1">
      <c r="A4" s="17" t="s">
        <v>992</v>
      </c>
      <c r="B4" s="17" t="s">
        <v>993</v>
      </c>
      <c r="C4" s="18"/>
      <c r="D4" s="18" t="s">
        <v>994</v>
      </c>
      <c r="E4" s="5" t="str">
        <f ca="1">IFERROR(__xludf.DUMMYFUNCTION("""COMPUTED_VALUE"""),"Yángguāng zhēn cànlàn!")</f>
        <v>Yángguāng zhēn cànlàn!</v>
      </c>
      <c r="F4" s="18"/>
      <c r="G4" s="18"/>
      <c r="H4" s="4"/>
    </row>
    <row r="5" spans="1:8" ht="14.25" customHeight="1">
      <c r="A5" s="17" t="s">
        <v>995</v>
      </c>
      <c r="B5" s="17" t="s">
        <v>996</v>
      </c>
      <c r="C5" s="18"/>
      <c r="D5" s="18"/>
      <c r="E5" s="5" t="str">
        <f ca="1">IFERROR(__xludf.DUMMYFUNCTION("""COMPUTED_VALUE"""),"Xià yǔle.")</f>
        <v>Xià yǔle.</v>
      </c>
      <c r="F5" s="18"/>
      <c r="G5" s="18"/>
      <c r="H5" s="4"/>
    </row>
    <row r="6" spans="1:8" ht="14.25" customHeight="1">
      <c r="A6" s="17" t="s">
        <v>997</v>
      </c>
      <c r="B6" s="17" t="s">
        <v>998</v>
      </c>
      <c r="C6" s="18"/>
      <c r="D6" s="18" t="s">
        <v>999</v>
      </c>
      <c r="E6" s="5" t="str">
        <f ca="1">IFERROR(__xludf.DUMMYFUNCTION("""COMPUTED_VALUE"""),"Yǔ xià dé hěn dà!")</f>
        <v>Yǔ xià dé hěn dà!</v>
      </c>
      <c r="F6" s="18"/>
      <c r="G6" s="18"/>
      <c r="H6" s="4"/>
    </row>
    <row r="7" spans="1:8" ht="14.25" customHeight="1">
      <c r="A7" s="17" t="s">
        <v>1000</v>
      </c>
      <c r="B7" s="17" t="s">
        <v>1001</v>
      </c>
      <c r="C7" s="18"/>
      <c r="D7" s="18"/>
      <c r="E7" s="5" t="str">
        <f ca="1">IFERROR(__xludf.DUMMYFUNCTION("""COMPUTED_VALUE"""),"Yào xià yǔle.")</f>
        <v>Yào xià yǔle.</v>
      </c>
      <c r="F7" s="18"/>
      <c r="G7" s="18"/>
      <c r="H7" s="4"/>
    </row>
    <row r="8" spans="1:8" ht="14.25" customHeight="1">
      <c r="A8" s="17" t="s">
        <v>1002</v>
      </c>
      <c r="B8" s="17" t="s">
        <v>1003</v>
      </c>
      <c r="C8" s="18" t="s">
        <v>1004</v>
      </c>
      <c r="D8" s="18" t="s">
        <v>1005</v>
      </c>
      <c r="E8" s="5" t="str">
        <f ca="1">IFERROR(__xludf.DUMMYFUNCTION("""COMPUTED_VALUE"""),"Bié wàngle dài sǎn.")</f>
        <v>Bié wàngle dài sǎn.</v>
      </c>
      <c r="F8" s="18" t="s">
        <v>1006</v>
      </c>
      <c r="G8" s="33" t="s">
        <v>1007</v>
      </c>
      <c r="H8" s="4"/>
    </row>
    <row r="9" spans="1:8" ht="14.25" customHeight="1">
      <c r="A9" s="17" t="s">
        <v>1008</v>
      </c>
      <c r="B9" s="17" t="s">
        <v>1009</v>
      </c>
      <c r="C9" s="18"/>
      <c r="D9" s="18"/>
      <c r="E9" s="5" t="str">
        <f ca="1">IFERROR(__xludf.DUMMYFUNCTION("""COMPUTED_VALUE"""),"Yǒu bàofēngyǔ ma?")</f>
        <v>Yǒu bàofēngyǔ ma?</v>
      </c>
      <c r="F9" s="18"/>
      <c r="G9" s="18"/>
      <c r="H9" s="4"/>
    </row>
    <row r="10" spans="1:8" ht="14.25" customHeight="1">
      <c r="A10" s="17" t="s">
        <v>1010</v>
      </c>
      <c r="B10" s="17" t="s">
        <v>1011</v>
      </c>
      <c r="C10" s="18" t="s">
        <v>1012</v>
      </c>
      <c r="D10" s="18" t="s">
        <v>1013</v>
      </c>
      <c r="E10" s="5" t="str">
        <f ca="1">IFERROR(__xludf.DUMMYFUNCTION("""COMPUTED_VALUE"""),"Fēng guā dé hěn dà.")</f>
        <v>Fēng guā dé hěn dà.</v>
      </c>
      <c r="F10" s="18" t="s">
        <v>1014</v>
      </c>
      <c r="G10" s="18" t="s">
        <v>1015</v>
      </c>
      <c r="H10" s="4"/>
    </row>
    <row r="11" spans="1:8" ht="14.25" customHeight="1">
      <c r="A11" s="17" t="s">
        <v>1016</v>
      </c>
      <c r="B11" s="17" t="s">
        <v>1017</v>
      </c>
      <c r="C11" s="18" t="s">
        <v>1018</v>
      </c>
      <c r="D11" s="33"/>
      <c r="E11" s="5" t="str">
        <f ca="1">IFERROR(__xludf.DUMMYFUNCTION("""COMPUTED_VALUE"""),"Tiān hēile.")</f>
        <v>Tiān hēile.</v>
      </c>
      <c r="F11" s="33" t="s">
        <v>1019</v>
      </c>
      <c r="G11" s="33" t="s">
        <v>1020</v>
      </c>
      <c r="H11" s="4"/>
    </row>
    <row r="12" spans="1:8" ht="14.25" customHeight="1">
      <c r="A12" s="17" t="s">
        <v>1021</v>
      </c>
      <c r="B12" s="17" t="s">
        <v>1022</v>
      </c>
      <c r="C12" s="18"/>
      <c r="D12" s="18" t="s">
        <v>1023</v>
      </c>
      <c r="E12" s="6" t="str">
        <f ca="1">IFERROR(__xludf.DUMMYFUNCTION("""COMPUTED_VALUE"""),"Jīntiān zǎoshang hěn liángshuǎng.")</f>
        <v>Jīntiān zǎoshang hěn liángshuǎng.</v>
      </c>
      <c r="F12" s="18"/>
      <c r="G12" s="18"/>
      <c r="H12" s="4"/>
    </row>
    <row r="13" spans="1:8" ht="14.25" customHeight="1">
      <c r="A13" s="17" t="s">
        <v>1024</v>
      </c>
      <c r="B13" s="17" t="s">
        <v>1025</v>
      </c>
      <c r="C13" s="18" t="s">
        <v>1026</v>
      </c>
      <c r="D13" s="18"/>
      <c r="E13" s="6" t="str">
        <f ca="1">IFERROR(__xludf.DUMMYFUNCTION("""COMPUTED_VALUE"""),"Yǒu cǎihóng!")</f>
        <v>Yǒu cǎihóng!</v>
      </c>
      <c r="F13" s="18"/>
      <c r="G13" s="18"/>
      <c r="H13" s="4"/>
    </row>
    <row r="14" spans="1:8" ht="14.25" customHeight="1">
      <c r="A14" s="17" t="s">
        <v>1027</v>
      </c>
      <c r="B14" s="17" t="s">
        <v>1028</v>
      </c>
      <c r="C14" s="18"/>
      <c r="D14" s="18" t="s">
        <v>1029</v>
      </c>
      <c r="E14" s="6" t="str">
        <f ca="1">IFERROR(__xludf.DUMMYFUNCTION("""COMPUTED_VALUE"""),"Wǒ xǐhuān xià yǔ.")</f>
        <v>Wǒ xǐhuān xià yǔ.</v>
      </c>
      <c r="F14" s="18"/>
      <c r="G14" s="18"/>
      <c r="H14" s="4"/>
    </row>
    <row r="15" spans="1:8" ht="14.25" customHeight="1">
      <c r="A15" s="17" t="s">
        <v>1030</v>
      </c>
      <c r="B15" s="17" t="s">
        <v>1031</v>
      </c>
      <c r="C15" s="18"/>
      <c r="D15" s="18"/>
      <c r="E15" s="6" t="str">
        <f ca="1">IFERROR(__xludf.DUMMYFUNCTION("""COMPUTED_VALUE"""),"Wǒ bù xǐhuān rè.")</f>
        <v>Wǒ bù xǐhuān rè.</v>
      </c>
      <c r="F15" s="18"/>
      <c r="G15" s="18"/>
      <c r="H15" s="4"/>
    </row>
    <row r="16" spans="1:8" ht="14.25" customHeight="1">
      <c r="A16" s="17" t="s">
        <v>1032</v>
      </c>
      <c r="B16" s="17" t="s">
        <v>1033</v>
      </c>
      <c r="C16" s="18"/>
      <c r="D16" s="18" t="s">
        <v>1034</v>
      </c>
      <c r="E16" s="6" t="str">
        <f ca="1">IFERROR(__xludf.DUMMYFUNCTION("""COMPUTED_VALUE"""),"Wǒmen qù yóuyǒng ba, tài rèle!")</f>
        <v>Wǒmen qù yóuyǒng ba, tài rèle!</v>
      </c>
      <c r="F16" s="18"/>
      <c r="G16" s="18"/>
      <c r="H16" s="4"/>
    </row>
    <row r="17" spans="1:8" ht="14.25" customHeight="1">
      <c r="A17" s="17" t="s">
        <v>1035</v>
      </c>
      <c r="B17" s="17" t="s">
        <v>1036</v>
      </c>
      <c r="C17" s="18" t="s">
        <v>1037</v>
      </c>
      <c r="D17" s="18"/>
      <c r="E17" s="7" t="str">
        <f ca="1">IFERROR(__xludf.DUMMYFUNCTION("""COMPUTED_VALUE"""),"Lù bèi yānle.(Nǐ zhīdào, fēilǜbīn jīngcháng fāshēng hóngshuǐ.)")</f>
        <v>Lù bèi yānle.(Nǐ zhīdào, fēilǜbīn jīngcháng fāshēng hóngshuǐ.)</v>
      </c>
      <c r="F17" s="18"/>
      <c r="G17" s="18"/>
      <c r="H17" s="18"/>
    </row>
    <row r="18" spans="1:8" ht="14.25" customHeight="1">
      <c r="A18" s="17" t="s">
        <v>1038</v>
      </c>
      <c r="B18" s="17" t="s">
        <v>1039</v>
      </c>
      <c r="C18" s="18"/>
      <c r="D18" s="18" t="s">
        <v>1040</v>
      </c>
      <c r="E18" s="5" t="str">
        <f ca="1">IFERROR(__xludf.DUMMYFUNCTION("""COMPUTED_VALUE"""),"Xiǎoxīn bié lín shī.")</f>
        <v>Xiǎoxīn bié lín shī.</v>
      </c>
      <c r="F18" s="18"/>
      <c r="G18" s="18"/>
      <c r="H18" s="4"/>
    </row>
    <row r="19" spans="1:8" ht="14.25" customHeight="1">
      <c r="A19" s="17" t="s">
        <v>1041</v>
      </c>
      <c r="B19" s="17" t="s">
        <v>1042</v>
      </c>
      <c r="C19" s="18" t="s">
        <v>1043</v>
      </c>
      <c r="D19" s="33"/>
      <c r="E19" s="4" t="str">
        <f ca="1">IFERROR(__xludf.DUMMYFUNCTION("""COMPUTED_VALUE"""),"Dǎléi shǎndiànle!")</f>
        <v>Dǎléi shǎndiànle!</v>
      </c>
      <c r="F19" s="33" t="s">
        <v>1044</v>
      </c>
      <c r="G19" s="33" t="s">
        <v>1045</v>
      </c>
      <c r="H19" s="4"/>
    </row>
    <row r="20" spans="1:8" ht="14.25" customHeight="1">
      <c r="A20" s="17" t="s">
        <v>1046</v>
      </c>
      <c r="B20" s="17" t="s">
        <v>1047</v>
      </c>
      <c r="C20" s="18"/>
      <c r="D20" s="18" t="s">
        <v>1048</v>
      </c>
      <c r="E20" s="5" t="str">
        <f ca="1">IFERROR(__xludf.DUMMYFUNCTION("""COMPUTED_VALUE"""),"Míngtiān huì shì qíngtiān ma?")</f>
        <v>Míngtiān huì shì qíngtiān ma?</v>
      </c>
      <c r="F20" s="18"/>
      <c r="G20" s="18"/>
      <c r="H20" s="4"/>
    </row>
    <row r="21" spans="1:8" ht="14.25" customHeight="1">
      <c r="A21" s="17" t="s">
        <v>1049</v>
      </c>
      <c r="B21" s="17" t="s">
        <v>1050</v>
      </c>
      <c r="C21" s="18" t="s">
        <v>1051</v>
      </c>
      <c r="D21" s="33"/>
      <c r="E21" s="6" t="str">
        <f ca="1">IFERROR(__xludf.DUMMYFUNCTION("""COMPUTED_VALUE"""),"Shīdù tài gāole.")</f>
        <v>Shīdù tài gāole.</v>
      </c>
      <c r="F21" s="33" t="s">
        <v>1052</v>
      </c>
      <c r="G21" s="33" t="s">
        <v>1053</v>
      </c>
      <c r="H21" s="4"/>
    </row>
    <row r="22" spans="1:8" ht="14.25" customHeight="1">
      <c r="A22" s="17" t="s">
        <v>1054</v>
      </c>
      <c r="B22" s="17" t="s">
        <v>1055</v>
      </c>
      <c r="C22" s="18"/>
      <c r="D22" s="18" t="s">
        <v>1056</v>
      </c>
      <c r="E22" s="6" t="str">
        <f ca="1">IFERROR(__xludf.DUMMYFUNCTION("""COMPUTED_VALUE"""),"Wǒ xiǎng qù gōngyuán sànbù.")</f>
        <v>Wǒ xiǎng qù gōngyuán sànbù.</v>
      </c>
      <c r="F22" s="18"/>
      <c r="G22" s="18"/>
      <c r="H22" s="4"/>
    </row>
    <row r="23" spans="1:8" ht="14.25" customHeight="1">
      <c r="A23" s="17" t="s">
        <v>1057</v>
      </c>
      <c r="B23" s="17" t="s">
        <v>1058</v>
      </c>
      <c r="C23" s="18"/>
      <c r="D23" s="18"/>
      <c r="E23" s="6" t="str">
        <f ca="1">IFERROR(__xludf.DUMMYFUNCTION("""COMPUTED_VALUE"""),"Wǒ kěyǐ kāi fēngshàn ma?")</f>
        <v>Wǒ kěyǐ kāi fēngshàn ma?</v>
      </c>
      <c r="F23" s="18"/>
      <c r="G23" s="18"/>
      <c r="H23" s="4"/>
    </row>
    <row r="24" spans="1:8" ht="14.25" customHeight="1">
      <c r="A24" s="17" t="s">
        <v>1059</v>
      </c>
      <c r="B24" s="17" t="s">
        <v>1060</v>
      </c>
      <c r="C24" s="18"/>
      <c r="D24" s="18" t="s">
        <v>1061</v>
      </c>
      <c r="E24" s="6" t="str">
        <f ca="1">IFERROR(__xludf.DUMMYFUNCTION("""COMPUTED_VALUE"""),"Nǐmen yǒu kòng diào ma?")</f>
        <v>Nǐmen yǒu kòng diào ma?</v>
      </c>
      <c r="F24" s="18"/>
      <c r="G24" s="18"/>
      <c r="H24" s="4"/>
    </row>
    <row r="25" spans="1:8" ht="14.25" customHeight="1">
      <c r="A25" s="17" t="s">
        <v>1062</v>
      </c>
      <c r="B25" s="17" t="s">
        <v>1063</v>
      </c>
      <c r="C25" s="18" t="s">
        <v>1064</v>
      </c>
      <c r="D25" s="33"/>
      <c r="E25" s="6" t="str">
        <f ca="1">IFERROR(__xludf.DUMMYFUNCTION("""COMPUTED_VALUE"""),"Diàoshàn zài zhuǎn.")</f>
        <v>Diàoshàn zài zhuǎn.</v>
      </c>
      <c r="F25" s="33" t="s">
        <v>1065</v>
      </c>
      <c r="G25" s="33" t="s">
        <v>1066</v>
      </c>
      <c r="H25" s="4"/>
    </row>
    <row r="26" spans="1:8" ht="14.25" customHeight="1">
      <c r="A26" s="17" t="s">
        <v>1067</v>
      </c>
      <c r="B26" s="17" t="s">
        <v>1068</v>
      </c>
      <c r="C26" s="18"/>
      <c r="D26" s="18" t="s">
        <v>1069</v>
      </c>
      <c r="E26" s="6" t="str">
        <f ca="1">IFERROR(__xludf.DUMMYFUNCTION("""COMPUTED_VALUE"""),"Wǒ xiǎng xǐ gè zǎo.")</f>
        <v>Wǒ xiǎng xǐ gè zǎo.</v>
      </c>
      <c r="F26" s="18"/>
      <c r="G26" s="18"/>
      <c r="H26" s="4"/>
    </row>
    <row r="27" spans="1:8" ht="14.25" customHeight="1">
      <c r="A27" s="17" t="s">
        <v>1070</v>
      </c>
      <c r="B27" s="17" t="s">
        <v>1071</v>
      </c>
      <c r="C27" s="18"/>
      <c r="D27" s="18"/>
      <c r="E27" s="6" t="str">
        <f ca="1">IFERROR(__xludf.DUMMYFUNCTION("""COMPUTED_VALUE"""),"Rè shuǐ háishì lěngshuǐ?")</f>
        <v>Rè shuǐ háishì lěngshuǐ?</v>
      </c>
      <c r="F27" s="18"/>
      <c r="G27" s="18"/>
      <c r="H27" s="4"/>
    </row>
    <row r="28" spans="1:8" ht="14.25" customHeight="1">
      <c r="A28" s="17" t="s">
        <v>1072</v>
      </c>
      <c r="B28" s="17" t="s">
        <v>1073</v>
      </c>
      <c r="C28" s="18" t="s">
        <v>1074</v>
      </c>
      <c r="D28" s="34" t="s">
        <v>1075</v>
      </c>
      <c r="E28" s="6" t="str">
        <f ca="1">IFERROR(__xludf.DUMMYFUNCTION("""COMPUTED_VALUE"""),"Dēng huàile.")</f>
        <v>Dēng huàile.</v>
      </c>
      <c r="F28" s="33" t="s">
        <v>1076</v>
      </c>
      <c r="G28" s="33" t="s">
        <v>1077</v>
      </c>
      <c r="H28" s="4"/>
    </row>
    <row r="29" spans="1:8" ht="14.25" customHeight="1">
      <c r="A29" s="17" t="s">
        <v>1078</v>
      </c>
      <c r="B29" s="17" t="s">
        <v>1079</v>
      </c>
      <c r="C29" s="18"/>
      <c r="D29" s="18"/>
      <c r="E29" s="6" t="str">
        <f ca="1">IFERROR(__xludf.DUMMYFUNCTION("""COMPUTED_VALUE"""),"Mén suǒle.")</f>
        <v>Mén suǒle.</v>
      </c>
      <c r="F29" s="18"/>
      <c r="G29" s="18"/>
      <c r="H29" s="4"/>
    </row>
    <row r="30" spans="1:8" ht="14.25" customHeight="1">
      <c r="A30" s="17" t="s">
        <v>1080</v>
      </c>
      <c r="B30" s="17" t="s">
        <v>1081</v>
      </c>
      <c r="C30" s="18"/>
      <c r="D30" s="18" t="s">
        <v>1082</v>
      </c>
      <c r="E30" s="6" t="str">
        <f ca="1">IFERROR(__xludf.DUMMYFUNCTION("""COMPUTED_VALUE"""),"Wǒ kěyǐ jiè yàoshi ma?")</f>
        <v>Wǒ kěyǐ jiè yàoshi ma?</v>
      </c>
      <c r="F30" s="18"/>
      <c r="G30" s="18"/>
      <c r="H30" s="4"/>
    </row>
    <row r="31" spans="1:8" ht="14.25" customHeight="1">
      <c r="A31" s="17" t="s">
        <v>1083</v>
      </c>
      <c r="B31" s="17" t="s">
        <v>1084</v>
      </c>
      <c r="C31" s="18"/>
      <c r="D31" s="18"/>
      <c r="E31" s="4" t="str">
        <f ca="1">IFERROR(__xludf.DUMMYFUNCTION("""COMPUTED_VALUE"""),"Lèsè yīnggāi fàng zài nǎlǐ? ")</f>
        <v xml:space="preserve">Lèsè yīnggāi fàng zài nǎlǐ? </v>
      </c>
      <c r="F31" s="18"/>
      <c r="G31" s="18"/>
      <c r="H31" s="4"/>
    </row>
    <row r="32" spans="1:8" ht="14.25" customHeight="1">
      <c r="A32" s="17" t="s">
        <v>1085</v>
      </c>
      <c r="B32" s="17" t="s">
        <v>1086</v>
      </c>
      <c r="C32" s="18"/>
      <c r="D32" s="18" t="s">
        <v>1087</v>
      </c>
      <c r="E32" s="4" t="str">
        <f ca="1">IFERROR(__xludf.DUMMYFUNCTION("""COMPUTED_VALUE"""),"Nǎinai, wǒ lái bāng nín dǎsǎo fángzǐ ba.")</f>
        <v>Nǎinai, wǒ lái bāng nín dǎsǎo fángzǐ ba.</v>
      </c>
      <c r="F32" s="18"/>
      <c r="G32" s="18"/>
      <c r="H32" s="4"/>
    </row>
    <row r="33" spans="1:8" ht="14.25" customHeight="1">
      <c r="A33" s="17" t="s">
        <v>1088</v>
      </c>
      <c r="B33" s="17" t="s">
        <v>1089</v>
      </c>
      <c r="C33" s="18"/>
      <c r="D33" s="18"/>
      <c r="E33" s="4" t="str">
        <f ca="1">IFERROR(__xludf.DUMMYFUNCTION("""COMPUTED_VALUE"""),"Sǎodì!")</f>
        <v>Sǎodì!</v>
      </c>
      <c r="F33" s="18"/>
      <c r="G33" s="18"/>
      <c r="H33" s="4"/>
    </row>
    <row r="34" spans="1:8" ht="14.25" customHeight="1">
      <c r="A34" s="17" t="s">
        <v>1090</v>
      </c>
      <c r="B34" s="17" t="s">
        <v>1091</v>
      </c>
      <c r="C34" s="18" t="s">
        <v>1092</v>
      </c>
      <c r="D34" s="34" t="s">
        <v>1093</v>
      </c>
      <c r="E34" s="4" t="str">
        <f ca="1">IFERROR(__xludf.DUMMYFUNCTION("""COMPUTED_VALUE"""),"Wǒ zài cā zhuōzǐ.")</f>
        <v>Wǒ zài cā zhuōzǐ.</v>
      </c>
      <c r="F34" s="33" t="s">
        <v>1094</v>
      </c>
      <c r="G34" s="33" t="s">
        <v>1095</v>
      </c>
      <c r="H34" s="4"/>
    </row>
    <row r="35" spans="1:8" ht="14.25" customHeight="1">
      <c r="A35" s="17" t="s">
        <v>1096</v>
      </c>
      <c r="B35" s="17" t="s">
        <v>1097</v>
      </c>
      <c r="C35" s="18"/>
      <c r="D35" s="18"/>
      <c r="E35" s="8" t="str">
        <f ca="1">IFERROR(__xludf.DUMMYFUNCTION("""COMPUTED_VALUE"""),"Yǒu zhǐ wénzǐ!")</f>
        <v>Yǒu zhǐ wénzǐ!</v>
      </c>
      <c r="F35" s="18"/>
      <c r="G35" s="18"/>
      <c r="H35" s="4"/>
    </row>
    <row r="36" spans="1:8" ht="14.25" customHeight="1">
      <c r="A36" s="17" t="s">
        <v>1098</v>
      </c>
      <c r="B36" s="17" t="s">
        <v>1099</v>
      </c>
      <c r="C36" s="18" t="s">
        <v>1100</v>
      </c>
      <c r="D36" s="34" t="s">
        <v>1101</v>
      </c>
      <c r="E36" s="5" t="str">
        <f ca="1">IFERROR(__xludf.DUMMYFUNCTION("""COMPUTED_VALUE"""),"Wǒ hàipà zhāngláng.")</f>
        <v>Wǒ hàipà zhāngláng.</v>
      </c>
      <c r="F36" s="33" t="s">
        <v>1102</v>
      </c>
      <c r="G36" s="33" t="s">
        <v>1103</v>
      </c>
      <c r="H36" s="4"/>
    </row>
    <row r="37" spans="1:8" ht="14.25" customHeight="1">
      <c r="A37" s="17" t="s">
        <v>1104</v>
      </c>
      <c r="B37" s="17" t="s">
        <v>1105</v>
      </c>
      <c r="C37" s="18" t="s">
        <v>1106</v>
      </c>
      <c r="D37" s="33"/>
      <c r="E37" s="8" t="str">
        <f ca="1">IFERROR(__xludf.DUMMYFUNCTION("""COMPUTED_VALUE"""),"Gǒu zài jiào.")</f>
        <v>Gǒu zài jiào.</v>
      </c>
      <c r="F37" s="33" t="s">
        <v>1107</v>
      </c>
      <c r="G37" s="33" t="s">
        <v>1108</v>
      </c>
      <c r="H37" s="4"/>
    </row>
    <row r="38" spans="1:8" ht="14.25" customHeight="1">
      <c r="A38" s="17" t="s">
        <v>1109</v>
      </c>
      <c r="B38" s="17" t="s">
        <v>1110</v>
      </c>
      <c r="C38" s="18"/>
      <c r="D38" s="18" t="s">
        <v>1111</v>
      </c>
      <c r="E38" s="5" t="str">
        <f ca="1">IFERROR(__xludf.DUMMYFUNCTION("""COMPUTED_VALUE"""),"Māo zhēn kě'ài.")</f>
        <v>Māo zhēn kě'ài.</v>
      </c>
      <c r="F38" s="18"/>
      <c r="G38" s="18"/>
      <c r="H38" s="4"/>
    </row>
    <row r="39" spans="1:8" ht="14.25" customHeight="1">
      <c r="A39" s="17" t="s">
        <v>1112</v>
      </c>
      <c r="B39" s="17" t="s">
        <v>1113</v>
      </c>
      <c r="C39" s="18"/>
      <c r="D39" s="18"/>
      <c r="E39" s="6" t="str">
        <f ca="1">IFERROR(__xludf.DUMMYFUNCTION("""COMPUTED_VALUE"""),"Wǒ xiǎng zhǒng kē shù.")</f>
        <v>Wǒ xiǎng zhǒng kē shù.</v>
      </c>
      <c r="F39" s="18"/>
      <c r="G39" s="18"/>
      <c r="H39" s="4"/>
    </row>
    <row r="40" spans="1:8" ht="14.25" customHeight="1">
      <c r="A40" s="17" t="s">
        <v>1114</v>
      </c>
      <c r="B40" s="17" t="s">
        <v>1115</v>
      </c>
      <c r="C40" s="18" t="s">
        <v>1116</v>
      </c>
      <c r="D40" s="34" t="s">
        <v>1117</v>
      </c>
      <c r="E40" s="6" t="str">
        <f ca="1">IFERROR(__xludf.DUMMYFUNCTION("""COMPUTED_VALUE"""),"Wǒmen lái jiāo huā ba.")</f>
        <v>Wǒmen lái jiāo huā ba.</v>
      </c>
      <c r="F40" s="33" t="s">
        <v>1118</v>
      </c>
      <c r="G40" s="33" t="s">
        <v>1119</v>
      </c>
      <c r="H40" s="4"/>
    </row>
    <row r="41" spans="1:8" ht="14.25" customHeight="1">
      <c r="A41" s="17" t="s">
        <v>1120</v>
      </c>
      <c r="B41" s="17" t="s">
        <v>1121</v>
      </c>
      <c r="C41" s="18" t="s">
        <v>1122</v>
      </c>
      <c r="D41" s="18"/>
      <c r="E41" s="5" t="str">
        <f ca="1">IFERROR(__xludf.DUMMYFUNCTION("""COMPUTED_VALUE"""),"Cǎo zhǎng dé tài gāole.")</f>
        <v>Cǎo zhǎng dé tài gāole.</v>
      </c>
      <c r="F41" s="18"/>
      <c r="G41" s="18"/>
      <c r="H41" s="4"/>
    </row>
    <row r="42" spans="1:8" ht="14.25" customHeight="1">
      <c r="A42" s="17" t="s">
        <v>1123</v>
      </c>
      <c r="B42" s="17" t="s">
        <v>1124</v>
      </c>
      <c r="C42" s="18"/>
      <c r="D42" s="18" t="s">
        <v>1125</v>
      </c>
      <c r="E42" s="4" t="str">
        <f ca="1">IFERROR(__xludf.DUMMYFUNCTION("""COMPUTED_VALUE"""),"Wǒ xiǎng shuìjiàole.")</f>
        <v>Wǒ xiǎng shuìjiàole.</v>
      </c>
      <c r="F42" s="18"/>
      <c r="G42" s="18"/>
      <c r="H42" s="4"/>
    </row>
    <row r="43" spans="1:8" ht="14.25" customHeight="1">
      <c r="A43" s="17" t="s">
        <v>1126</v>
      </c>
      <c r="B43" s="17" t="s">
        <v>1127</v>
      </c>
      <c r="C43" s="18"/>
      <c r="D43" s="18"/>
      <c r="E43" s="5" t="str">
        <f ca="1">IFERROR(__xludf.DUMMYFUNCTION("""COMPUTED_VALUE"""),"Guān dēng.")</f>
        <v>Guān dēng.</v>
      </c>
      <c r="F43" s="18"/>
      <c r="G43" s="18"/>
      <c r="H43" s="4"/>
    </row>
    <row r="44" spans="1:8" ht="14.25" customHeight="1">
      <c r="A44" s="17" t="s">
        <v>81</v>
      </c>
      <c r="B44" s="17" t="s">
        <v>1128</v>
      </c>
      <c r="C44" s="18"/>
      <c r="D44" s="18" t="s">
        <v>1129</v>
      </c>
      <c r="E44" s="4" t="str">
        <f ca="1">IFERROR(__xludf.DUMMYFUNCTION("""COMPUTED_VALUE"""),"Wǎn'ān.")</f>
        <v>Wǎn'ān.</v>
      </c>
      <c r="F44" s="18"/>
      <c r="G44" s="18"/>
      <c r="H44" s="4"/>
    </row>
    <row r="45" spans="1:8" ht="14.25" customHeight="1">
      <c r="A45" s="17" t="s">
        <v>1130</v>
      </c>
      <c r="B45" s="17" t="s">
        <v>1131</v>
      </c>
      <c r="C45" s="18"/>
      <c r="D45" s="18"/>
      <c r="E45" s="5" t="str">
        <f ca="1">IFERROR(__xludf.DUMMYFUNCTION("""COMPUTED_VALUE"""),"Xiànzài jǐ diǎnle?")</f>
        <v>Xiànzài jǐ diǎnle?</v>
      </c>
      <c r="F45" s="18"/>
      <c r="G45" s="18"/>
      <c r="H45" s="4"/>
    </row>
    <row r="46" spans="1:8" ht="14.25" customHeight="1">
      <c r="A46" s="17" t="s">
        <v>1132</v>
      </c>
      <c r="B46" s="17" t="s">
        <v>1133</v>
      </c>
      <c r="C46" s="18"/>
      <c r="D46" s="18" t="s">
        <v>1134</v>
      </c>
      <c r="E46" s="4" t="str">
        <f ca="1">IFERROR(__xludf.DUMMYFUNCTION("""COMPUTED_VALUE"""),"Zǎoshang hǎo, wǒmen qǐchuáng ba!")</f>
        <v>Zǎoshang hǎo, wǒmen qǐchuáng ba!</v>
      </c>
      <c r="F46" s="18"/>
      <c r="G46" s="18"/>
      <c r="H46" s="4"/>
    </row>
    <row r="47" spans="1:8" ht="14.25" customHeight="1">
      <c r="A47" s="17" t="s">
        <v>1135</v>
      </c>
      <c r="B47" s="17" t="s">
        <v>1136</v>
      </c>
      <c r="C47" s="18" t="s">
        <v>1137</v>
      </c>
      <c r="D47" s="18"/>
      <c r="E47" s="4" t="str">
        <f ca="1">IFERROR(__xludf.DUMMYFUNCTION("""COMPUTED_VALUE"""),"Wǒ zài shuāyá.")</f>
        <v>Wǒ zài shuāyá.</v>
      </c>
      <c r="F47" s="18" t="s">
        <v>1138</v>
      </c>
      <c r="G47" s="18" t="s">
        <v>1139</v>
      </c>
      <c r="H47" s="4"/>
    </row>
    <row r="48" spans="1:8" ht="14.25" customHeight="1">
      <c r="A48" s="17" t="s">
        <v>1140</v>
      </c>
      <c r="B48" s="17" t="s">
        <v>1141</v>
      </c>
      <c r="C48" s="18"/>
      <c r="D48" s="18" t="s">
        <v>1142</v>
      </c>
      <c r="E48" s="4" t="str">
        <f ca="1">IFERROR(__xludf.DUMMYFUNCTION("""COMPUTED_VALUE"""),"Wǒ yào qù shàngxué.")</f>
        <v>Wǒ yào qù shàngxué.</v>
      </c>
      <c r="F48" s="18"/>
      <c r="G48" s="18"/>
      <c r="H48" s="4"/>
    </row>
    <row r="49" spans="1:8" ht="14.25" customHeight="1">
      <c r="A49" s="17" t="s">
        <v>1143</v>
      </c>
      <c r="B49" s="17" t="s">
        <v>1144</v>
      </c>
      <c r="C49" s="18"/>
      <c r="D49" s="18"/>
      <c r="E49" s="5" t="str">
        <f ca="1">IFERROR(__xludf.DUMMYFUNCTION("""COMPUTED_VALUE"""),"Jīntiān zhēnshi màncháng de yītiān.")</f>
        <v>Jīntiān zhēnshi màncháng de yītiān.</v>
      </c>
      <c r="F49" s="18"/>
      <c r="G49" s="18"/>
      <c r="H49" s="4"/>
    </row>
    <row r="50" spans="1:8" ht="14.25" customHeight="1">
      <c r="A50" s="17" t="s">
        <v>1145</v>
      </c>
      <c r="B50" s="17" t="s">
        <v>1146</v>
      </c>
      <c r="C50" s="18" t="s">
        <v>1147</v>
      </c>
      <c r="D50" s="18" t="s">
        <v>1148</v>
      </c>
      <c r="E50" s="6" t="str">
        <f ca="1">IFERROR(__xludf.DUMMYFUNCTION("""COMPUTED_VALUE"""),"Wǒ gǎnjué hǎo píngjìng.")</f>
        <v>Wǒ gǎnjué hǎo píngjìng.</v>
      </c>
      <c r="F50" s="18"/>
      <c r="G50" s="18"/>
      <c r="H50" s="4"/>
    </row>
    <row r="51" spans="1:8" ht="14.25" customHeight="1">
      <c r="A51" s="17" t="s">
        <v>1149</v>
      </c>
      <c r="B51" s="17" t="s">
        <v>1150</v>
      </c>
      <c r="C51" s="18"/>
      <c r="D51" s="18"/>
      <c r="E51" s="6" t="str">
        <f ca="1">IFERROR(__xludf.DUMMYFUNCTION("""COMPUTED_VALUE"""),"Fēilǜbīn zhēn bàng!")</f>
        <v>Fēilǜbīn zhēn bàng!</v>
      </c>
      <c r="F51" s="18"/>
      <c r="G51" s="18"/>
      <c r="H51" s="4"/>
    </row>
    <row r="52" spans="1:8" ht="14.25" customHeight="1">
      <c r="A52" s="18"/>
      <c r="B52" s="18"/>
      <c r="C52" s="18"/>
      <c r="D52" s="18" t="s">
        <v>1151</v>
      </c>
      <c r="F52" s="18"/>
      <c r="G52" s="18"/>
      <c r="H52" s="4"/>
    </row>
    <row r="53" spans="1:8" ht="14.25" customHeight="1">
      <c r="A53" s="18"/>
      <c r="B53" s="18"/>
      <c r="C53" s="18"/>
      <c r="D53" s="18"/>
      <c r="E53" s="5"/>
      <c r="F53" s="18"/>
      <c r="G53" s="18"/>
      <c r="H53" s="4"/>
    </row>
    <row r="54" spans="1:8" ht="14.25" customHeight="1">
      <c r="A54" s="18"/>
      <c r="B54" s="18"/>
      <c r="C54" s="18"/>
      <c r="D54" s="18" t="s">
        <v>1152</v>
      </c>
      <c r="E54" s="5"/>
      <c r="F54" s="18"/>
      <c r="G54" s="18"/>
      <c r="H54" s="4"/>
    </row>
    <row r="55" spans="1:8" ht="14.25" customHeight="1">
      <c r="A55" s="18"/>
      <c r="B55" s="18"/>
      <c r="C55" s="18"/>
      <c r="D55" s="18"/>
      <c r="E55" s="5"/>
      <c r="F55" s="18"/>
      <c r="G55" s="18"/>
      <c r="H55" s="4"/>
    </row>
    <row r="56" spans="1:8" ht="14.25" customHeight="1">
      <c r="A56" s="18"/>
      <c r="B56" s="18"/>
      <c r="C56" s="18"/>
      <c r="D56" s="18" t="s">
        <v>1153</v>
      </c>
      <c r="E56" s="5"/>
      <c r="F56" s="18"/>
      <c r="G56" s="18"/>
      <c r="H56" s="4"/>
    </row>
    <row r="57" spans="1:8" ht="14.25" customHeight="1">
      <c r="A57" s="18"/>
      <c r="B57" s="18"/>
      <c r="C57" s="18"/>
      <c r="D57" s="18"/>
      <c r="E57" s="5"/>
      <c r="F57" s="18"/>
      <c r="G57" s="18"/>
      <c r="H57" s="4"/>
    </row>
    <row r="58" spans="1:8" ht="14.25" customHeight="1">
      <c r="A58" s="18"/>
      <c r="B58" s="18"/>
      <c r="C58" s="18"/>
      <c r="D58" s="18" t="s">
        <v>1154</v>
      </c>
      <c r="E58" s="5"/>
      <c r="F58" s="18"/>
      <c r="G58" s="18"/>
      <c r="H58" s="4"/>
    </row>
    <row r="59" spans="1:8" ht="14.25" customHeight="1">
      <c r="A59" s="18"/>
      <c r="B59" s="18"/>
      <c r="C59" s="18"/>
      <c r="D59" s="18"/>
      <c r="F59" s="18"/>
      <c r="G59" s="18"/>
      <c r="H59" s="4"/>
    </row>
    <row r="60" spans="1:8" ht="14.25" customHeight="1">
      <c r="A60" s="18"/>
      <c r="B60" s="18"/>
      <c r="C60" s="18"/>
      <c r="D60" s="18" t="s">
        <v>1155</v>
      </c>
      <c r="E60" s="5"/>
      <c r="F60" s="18"/>
      <c r="G60" s="18"/>
      <c r="H60" s="4"/>
    </row>
    <row r="61" spans="1:8" ht="14.25" customHeight="1">
      <c r="A61" s="18"/>
      <c r="B61" s="18"/>
      <c r="C61" s="18"/>
      <c r="D61" s="18" t="s">
        <v>1156</v>
      </c>
      <c r="E61" s="5"/>
      <c r="F61" s="18"/>
      <c r="G61" s="18"/>
      <c r="H61" s="4"/>
    </row>
    <row r="62" spans="1:8" ht="14.25" customHeight="1">
      <c r="A62" s="18"/>
      <c r="B62" s="18"/>
      <c r="C62" s="18"/>
      <c r="D62" s="18" t="s">
        <v>1157</v>
      </c>
      <c r="E62" s="5"/>
      <c r="F62" s="18"/>
      <c r="G62" s="18"/>
      <c r="H62" s="4"/>
    </row>
    <row r="63" spans="1:8" ht="14.25" customHeight="1">
      <c r="A63" s="18"/>
      <c r="B63" s="18"/>
      <c r="C63" s="18"/>
      <c r="D63" s="18"/>
      <c r="E63" s="5"/>
      <c r="F63" s="18"/>
      <c r="G63" s="18"/>
      <c r="H63" s="4"/>
    </row>
    <row r="64" spans="1:8" ht="14.25" customHeight="1">
      <c r="A64" s="18"/>
      <c r="B64" s="18"/>
      <c r="C64" s="18"/>
      <c r="D64" s="18" t="s">
        <v>1158</v>
      </c>
      <c r="E64" s="5"/>
      <c r="F64" s="18"/>
      <c r="G64" s="18"/>
      <c r="H64" s="4"/>
    </row>
    <row r="65" spans="1:8" ht="14.25" customHeight="1">
      <c r="A65" s="18"/>
      <c r="B65" s="18"/>
      <c r="C65" s="18"/>
      <c r="D65" s="18"/>
      <c r="E65" s="5"/>
      <c r="F65" s="18"/>
      <c r="G65" s="18"/>
      <c r="H65" s="4"/>
    </row>
    <row r="66" spans="1:8" ht="14.25" customHeight="1">
      <c r="A66" s="18"/>
      <c r="B66" s="18"/>
      <c r="C66" s="18"/>
      <c r="D66" s="18" t="s">
        <v>1159</v>
      </c>
      <c r="E66" s="5"/>
      <c r="F66" s="18"/>
      <c r="G66" s="18"/>
      <c r="H66" s="4"/>
    </row>
    <row r="67" spans="1:8" ht="14.25" customHeight="1">
      <c r="A67" s="18"/>
      <c r="B67" s="18"/>
      <c r="C67" s="18"/>
      <c r="D67" s="18"/>
      <c r="E67" s="5"/>
      <c r="F67" s="18"/>
      <c r="G67" s="18"/>
      <c r="H67" s="4"/>
    </row>
    <row r="68" spans="1:8" ht="14.25" customHeight="1">
      <c r="A68" s="18"/>
      <c r="B68" s="18"/>
      <c r="C68" s="18"/>
      <c r="D68" s="18" t="s">
        <v>1160</v>
      </c>
      <c r="E68" s="5"/>
      <c r="F68" s="18"/>
      <c r="G68" s="18"/>
      <c r="H68" s="4"/>
    </row>
    <row r="69" spans="1:8" ht="14.25" customHeight="1">
      <c r="A69" s="18"/>
      <c r="B69" s="18"/>
      <c r="C69" s="18"/>
      <c r="D69" s="18"/>
      <c r="E69" s="5"/>
      <c r="F69" s="18"/>
      <c r="G69" s="18"/>
      <c r="H69" s="4"/>
    </row>
    <row r="70" spans="1:8" ht="14.25" customHeight="1">
      <c r="A70" s="18"/>
      <c r="B70" s="18"/>
      <c r="C70" s="18"/>
      <c r="D70" s="18" t="s">
        <v>1161</v>
      </c>
      <c r="E70" s="5"/>
      <c r="F70" s="18"/>
      <c r="G70" s="18"/>
      <c r="H70" s="4"/>
    </row>
    <row r="71" spans="1:8" ht="14.25" customHeight="1">
      <c r="A71" s="18"/>
      <c r="B71" s="18"/>
      <c r="C71" s="18"/>
      <c r="D71" s="18"/>
      <c r="E71" s="5"/>
      <c r="F71" s="18"/>
      <c r="G71" s="18"/>
      <c r="H71" s="4"/>
    </row>
    <row r="72" spans="1:8" ht="14.25" customHeight="1">
      <c r="A72" s="18"/>
      <c r="B72" s="18"/>
      <c r="C72" s="18"/>
      <c r="D72" s="18" t="s">
        <v>1162</v>
      </c>
      <c r="E72" s="5"/>
      <c r="F72" s="18"/>
      <c r="G72" s="18"/>
      <c r="H72" s="4"/>
    </row>
    <row r="73" spans="1:8" ht="14.25" customHeight="1">
      <c r="A73" s="18"/>
      <c r="B73" s="18"/>
      <c r="C73" s="18"/>
      <c r="D73" s="18"/>
      <c r="E73" s="5"/>
      <c r="F73" s="18"/>
      <c r="G73" s="18"/>
      <c r="H73" s="4"/>
    </row>
    <row r="74" spans="1:8" ht="14.25" customHeight="1">
      <c r="A74" s="18"/>
      <c r="B74" s="18"/>
      <c r="C74" s="18"/>
      <c r="D74" s="18" t="s">
        <v>1163</v>
      </c>
      <c r="E74" s="5"/>
      <c r="F74" s="18"/>
      <c r="G74" s="18"/>
      <c r="H74" s="4"/>
    </row>
    <row r="75" spans="1:8" ht="14.25" customHeight="1">
      <c r="A75" s="18"/>
      <c r="B75" s="18"/>
      <c r="C75" s="18"/>
      <c r="D75" s="18"/>
      <c r="E75" s="5"/>
      <c r="F75" s="18"/>
      <c r="G75" s="18"/>
      <c r="H75" s="4"/>
    </row>
    <row r="76" spans="1:8" ht="14.25" customHeight="1">
      <c r="A76" s="18"/>
      <c r="B76" s="18"/>
      <c r="C76" s="18"/>
      <c r="D76" s="18" t="s">
        <v>1164</v>
      </c>
      <c r="E76" s="5"/>
      <c r="F76" s="18"/>
      <c r="G76" s="18"/>
      <c r="H76" s="4"/>
    </row>
    <row r="77" spans="1:8" ht="14.25" customHeight="1">
      <c r="A77" s="18"/>
      <c r="B77" s="18"/>
      <c r="C77" s="18"/>
      <c r="D77" s="18"/>
      <c r="E77" s="5"/>
      <c r="F77" s="18"/>
      <c r="G77" s="18"/>
      <c r="H77" s="4"/>
    </row>
    <row r="78" spans="1:8" ht="14.25" customHeight="1">
      <c r="A78" s="18"/>
      <c r="B78" s="18"/>
      <c r="C78" s="18"/>
      <c r="D78" s="18" t="s">
        <v>1165</v>
      </c>
      <c r="E78" s="5"/>
      <c r="F78" s="18"/>
      <c r="G78" s="18"/>
      <c r="H78" s="4"/>
    </row>
    <row r="79" spans="1:8" ht="14.25" customHeight="1">
      <c r="A79" s="18"/>
      <c r="B79" s="18"/>
      <c r="C79" s="18"/>
      <c r="D79" s="18"/>
      <c r="E79" s="5"/>
      <c r="F79" s="18"/>
      <c r="G79" s="18"/>
      <c r="H79" s="4"/>
    </row>
    <row r="80" spans="1:8" ht="14.25" customHeight="1">
      <c r="A80" s="18"/>
      <c r="B80" s="18"/>
      <c r="C80" s="18"/>
      <c r="D80" s="18" t="s">
        <v>1166</v>
      </c>
      <c r="E80" s="5"/>
      <c r="F80" s="18"/>
      <c r="G80" s="18"/>
      <c r="H80" s="4"/>
    </row>
    <row r="81" spans="1:8" ht="14.25" customHeight="1">
      <c r="A81" s="18"/>
      <c r="B81" s="18"/>
      <c r="C81" s="18"/>
      <c r="D81" s="18"/>
      <c r="E81" s="5"/>
      <c r="F81" s="18"/>
      <c r="G81" s="18"/>
      <c r="H81" s="4"/>
    </row>
    <row r="82" spans="1:8" ht="14.25" customHeight="1">
      <c r="A82" s="18"/>
      <c r="B82" s="18"/>
      <c r="C82" s="18"/>
      <c r="D82" s="18" t="s">
        <v>1167</v>
      </c>
      <c r="E82" s="5"/>
      <c r="F82" s="18"/>
      <c r="G82" s="18"/>
      <c r="H82" s="4"/>
    </row>
    <row r="83" spans="1:8" ht="14.25" customHeight="1">
      <c r="A83" s="18"/>
      <c r="B83" s="18"/>
      <c r="C83" s="18"/>
      <c r="D83" s="18"/>
      <c r="E83" s="5"/>
      <c r="F83" s="18"/>
      <c r="G83" s="18"/>
      <c r="H83" s="4"/>
    </row>
    <row r="84" spans="1:8" ht="14.25" customHeight="1">
      <c r="A84" s="18"/>
      <c r="B84" s="18"/>
      <c r="C84" s="18"/>
      <c r="D84" s="18" t="s">
        <v>132</v>
      </c>
      <c r="E84" s="5"/>
      <c r="F84" s="18"/>
      <c r="G84" s="18"/>
      <c r="H84" s="4"/>
    </row>
    <row r="85" spans="1:8" ht="14.25" customHeight="1">
      <c r="A85" s="18"/>
      <c r="B85" s="18"/>
      <c r="C85" s="18"/>
      <c r="D85" s="18"/>
      <c r="E85" s="5"/>
      <c r="F85" s="18"/>
      <c r="G85" s="18"/>
      <c r="H85" s="4"/>
    </row>
    <row r="86" spans="1:8" ht="14.25" customHeight="1">
      <c r="A86" s="18"/>
      <c r="B86" s="18"/>
      <c r="C86" s="18"/>
      <c r="D86" s="18" t="s">
        <v>1168</v>
      </c>
      <c r="E86" s="5"/>
      <c r="F86" s="18"/>
      <c r="G86" s="18"/>
      <c r="H86" s="4"/>
    </row>
    <row r="87" spans="1:8" ht="14.25" customHeight="1">
      <c r="A87" s="18"/>
      <c r="B87" s="18"/>
      <c r="C87" s="18"/>
      <c r="D87" s="18"/>
      <c r="E87" s="5"/>
      <c r="F87" s="18"/>
      <c r="G87" s="18"/>
      <c r="H87" s="4"/>
    </row>
    <row r="88" spans="1:8" ht="14.25" customHeight="1">
      <c r="A88" s="18"/>
      <c r="B88" s="18"/>
      <c r="C88" s="18"/>
      <c r="D88" s="18" t="s">
        <v>1169</v>
      </c>
      <c r="E88" s="5"/>
      <c r="F88" s="18"/>
      <c r="G88" s="18"/>
      <c r="H88" s="4"/>
    </row>
    <row r="89" spans="1:8" ht="14.25" customHeight="1">
      <c r="A89" s="18"/>
      <c r="B89" s="18"/>
      <c r="C89" s="18"/>
      <c r="D89" s="18"/>
      <c r="E89" s="5"/>
      <c r="F89" s="18"/>
      <c r="G89" s="18"/>
      <c r="H89" s="4"/>
    </row>
    <row r="90" spans="1:8" ht="14.25" customHeight="1">
      <c r="A90" s="18"/>
      <c r="B90" s="18"/>
      <c r="C90" s="18"/>
      <c r="D90" s="18" t="s">
        <v>1170</v>
      </c>
      <c r="E90" s="5"/>
      <c r="F90" s="18"/>
      <c r="G90" s="18"/>
      <c r="H90" s="4"/>
    </row>
    <row r="91" spans="1:8" ht="14.25" customHeight="1">
      <c r="A91" s="18"/>
      <c r="B91" s="18"/>
      <c r="C91" s="18"/>
      <c r="D91" s="18"/>
      <c r="E91" s="5"/>
      <c r="F91" s="18"/>
      <c r="G91" s="18"/>
      <c r="H91" s="4"/>
    </row>
    <row r="92" spans="1:8" ht="14.25" customHeight="1">
      <c r="A92" s="18"/>
      <c r="B92" s="18"/>
      <c r="C92" s="18"/>
      <c r="D92" s="18" t="s">
        <v>1171</v>
      </c>
      <c r="E92" s="5"/>
      <c r="F92" s="18"/>
      <c r="G92" s="18"/>
      <c r="H92" s="4"/>
    </row>
    <row r="93" spans="1:8" ht="14.25" customHeight="1">
      <c r="A93" s="18"/>
      <c r="B93" s="18"/>
      <c r="C93" s="18"/>
      <c r="D93" s="18"/>
      <c r="E93" s="5"/>
      <c r="F93" s="18"/>
      <c r="G93" s="18"/>
      <c r="H93" s="4"/>
    </row>
    <row r="94" spans="1:8" ht="14.25" customHeight="1">
      <c r="A94" s="18"/>
      <c r="B94" s="18"/>
      <c r="C94" s="18"/>
      <c r="D94" s="18" t="s">
        <v>1172</v>
      </c>
      <c r="E94" s="5"/>
      <c r="F94" s="18"/>
      <c r="G94" s="18"/>
      <c r="H94" s="4"/>
    </row>
    <row r="95" spans="1:8" ht="14.25" customHeight="1">
      <c r="A95" s="18"/>
      <c r="B95" s="18"/>
      <c r="C95" s="18"/>
      <c r="D95" s="18"/>
      <c r="E95" s="5"/>
      <c r="F95" s="18"/>
      <c r="G95" s="18"/>
      <c r="H95" s="4"/>
    </row>
    <row r="96" spans="1:8" ht="14.25" customHeight="1">
      <c r="A96" s="18"/>
      <c r="B96" s="18"/>
      <c r="C96" s="18"/>
      <c r="D96" s="18" t="s">
        <v>1173</v>
      </c>
      <c r="E96" s="5"/>
      <c r="F96" s="18"/>
      <c r="G96" s="18"/>
      <c r="H96" s="4"/>
    </row>
    <row r="97" spans="1:8" ht="14.25" customHeight="1">
      <c r="A97" s="18"/>
      <c r="B97" s="18"/>
      <c r="C97" s="18"/>
      <c r="D97" s="18"/>
      <c r="E97" s="5"/>
      <c r="F97" s="18"/>
      <c r="G97" s="18"/>
      <c r="H97" s="4"/>
    </row>
    <row r="98" spans="1:8" ht="14.25" customHeight="1">
      <c r="A98" s="18"/>
      <c r="B98" s="18"/>
      <c r="C98" s="18"/>
      <c r="D98" s="18" t="s">
        <v>1174</v>
      </c>
      <c r="E98" s="5"/>
      <c r="F98" s="18"/>
      <c r="G98" s="18"/>
      <c r="H98" s="4"/>
    </row>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47.6640625" customWidth="1"/>
    <col min="5" max="5" width="56.88671875" customWidth="1"/>
  </cols>
  <sheetData>
    <row r="1" spans="1:5" ht="14.25" customHeight="1">
      <c r="A1" s="19" t="s">
        <v>1175</v>
      </c>
      <c r="B1" s="20"/>
      <c r="C1" s="2"/>
      <c r="D1" s="2"/>
      <c r="E1" s="2"/>
    </row>
    <row r="2" spans="1:5" ht="14.25" customHeight="1">
      <c r="A2" s="3" t="s">
        <v>1176</v>
      </c>
      <c r="B2" s="3" t="s">
        <v>1177</v>
      </c>
      <c r="C2" s="4"/>
      <c r="D2" s="4" t="s">
        <v>1178</v>
      </c>
      <c r="E2" s="5" t="str">
        <f ca="1">IFERROR(__xludf.DUMMYFUNCTION("FILTER(D1:D1002,D1:D1002&lt;&gt; """")"),"Nǐ kòngxián shíjiān xǐhuān zuò shénme?")</f>
        <v>Nǐ kòngxián shíjiān xǐhuān zuò shénme?</v>
      </c>
    </row>
    <row r="3" spans="1:5" ht="14.25" customHeight="1">
      <c r="A3" s="3" t="s">
        <v>1179</v>
      </c>
      <c r="B3" s="3" t="s">
        <v>1180</v>
      </c>
      <c r="C3" s="4"/>
      <c r="D3" s="4"/>
      <c r="E3" s="6" t="str">
        <f ca="1">IFERROR(__xludf.DUMMYFUNCTION("""COMPUTED_VALUE"""),"Wǒ xǐhuān tīng yīnyuè.")</f>
        <v>Wǒ xǐhuān tīng yīnyuè.</v>
      </c>
    </row>
    <row r="4" spans="1:5" ht="14.25" customHeight="1">
      <c r="A4" s="17" t="s">
        <v>1181</v>
      </c>
      <c r="B4" s="35" t="s">
        <v>1182</v>
      </c>
      <c r="C4" s="36"/>
      <c r="D4" s="36" t="s">
        <v>1183</v>
      </c>
      <c r="E4" s="5" t="str">
        <f ca="1">IFERROR(__xludf.DUMMYFUNCTION("""COMPUTED_VALUE"""),"Nǐ xǐhuān chàng kǎlā OK ma?(Fēilǜbīn rén chāo ài chàng kǎlā OK!)")</f>
        <v>Nǐ xǐhuān chàng kǎlā OK ma?(Fēilǜbīn rén chāo ài chàng kǎlā OK!)</v>
      </c>
    </row>
    <row r="5" spans="1:5" ht="14.25" customHeight="1">
      <c r="A5" s="3" t="s">
        <v>1184</v>
      </c>
      <c r="B5" s="3" t="s">
        <v>1185</v>
      </c>
      <c r="C5" s="4"/>
      <c r="D5" s="4"/>
      <c r="E5" s="5" t="str">
        <f ca="1">IFERROR(__xludf.DUMMYFUNCTION("""COMPUTED_VALUE"""),"Nǐ chàng dé zhēn hǎotīng!")</f>
        <v>Nǐ chàng dé zhēn hǎotīng!</v>
      </c>
    </row>
    <row r="6" spans="1:5" ht="14.25" customHeight="1">
      <c r="A6" s="3" t="s">
        <v>1186</v>
      </c>
      <c r="B6" s="3" t="s">
        <v>1187</v>
      </c>
      <c r="C6" s="4"/>
      <c r="D6" s="4" t="s">
        <v>1188</v>
      </c>
      <c r="E6" s="5" t="str">
        <f ca="1">IFERROR(__xludf.DUMMYFUNCTION("""COMPUTED_VALUE"""),"Wǒ xǐhuān kàn dònghuà piàn.")</f>
        <v>Wǒ xǐhuān kàn dònghuà piàn.</v>
      </c>
    </row>
    <row r="7" spans="1:5" ht="14.25" customHeight="1">
      <c r="A7" s="3" t="s">
        <v>1189</v>
      </c>
      <c r="B7" s="3" t="s">
        <v>1190</v>
      </c>
      <c r="C7" s="4" t="s">
        <v>1191</v>
      </c>
      <c r="D7" s="4"/>
      <c r="E7" s="5" t="str">
        <f ca="1">IFERROR(__xludf.DUMMYFUNCTION("""COMPUTED_VALUE"""),"Zhè bù diànyǐng jiào shénme míngzì?")</f>
        <v>Zhè bù diànyǐng jiào shénme míngzì?</v>
      </c>
    </row>
    <row r="8" spans="1:5" ht="14.25" customHeight="1">
      <c r="A8" s="3" t="s">
        <v>1192</v>
      </c>
      <c r="B8" s="3" t="s">
        <v>1193</v>
      </c>
      <c r="C8" s="4"/>
      <c r="D8" s="4" t="s">
        <v>1194</v>
      </c>
      <c r="E8" s="5" t="str">
        <f ca="1">IFERROR(__xludf.DUMMYFUNCTION("""COMPUTED_VALUE"""),"Wǒ xǐhuān wán diànzǐ yóuxì.")</f>
        <v>Wǒ xǐhuān wán diànzǐ yóuxì.</v>
      </c>
    </row>
    <row r="9" spans="1:5" ht="14.25" customHeight="1">
      <c r="A9" s="3" t="s">
        <v>1195</v>
      </c>
      <c r="B9" s="3" t="s">
        <v>1196</v>
      </c>
      <c r="C9" s="4"/>
      <c r="D9" s="4"/>
      <c r="E9" s="5" t="str">
        <f ca="1">IFERROR(__xludf.DUMMYFUNCTION("""COMPUTED_VALUE"""),"Nǐ wán Roblox ma?")</f>
        <v>Nǐ wán Roblox ma?</v>
      </c>
    </row>
    <row r="10" spans="1:5" ht="14.25" customHeight="1">
      <c r="A10" s="3" t="s">
        <v>1197</v>
      </c>
      <c r="B10" s="3" t="s">
        <v>1198</v>
      </c>
      <c r="C10" s="4"/>
      <c r="D10" s="4" t="s">
        <v>1199</v>
      </c>
      <c r="E10" s="5" t="str">
        <f ca="1">IFERROR(__xludf.DUMMYFUNCTION("""COMPUTED_VALUE"""),"Wǒ xǐhuān dǎ lánqiú.")</f>
        <v>Wǒ xǐhuān dǎ lánqiú.</v>
      </c>
    </row>
    <row r="11" spans="1:5" ht="14.25" customHeight="1">
      <c r="A11" s="3" t="s">
        <v>1200</v>
      </c>
      <c r="B11" s="3" t="s">
        <v>1201</v>
      </c>
      <c r="C11" s="4"/>
      <c r="D11" s="4"/>
      <c r="E11" s="5" t="str">
        <f ca="1">IFERROR(__xludf.DUMMYFUNCTION("""COMPUTED_VALUE"""),"Lánqiú chǎng zài nǎlǐ?")</f>
        <v>Lánqiú chǎng zài nǎlǐ?</v>
      </c>
    </row>
    <row r="12" spans="1:5" ht="14.25" customHeight="1">
      <c r="A12" s="3" t="s">
        <v>1202</v>
      </c>
      <c r="B12" s="3" t="s">
        <v>1203</v>
      </c>
      <c r="C12" s="4"/>
      <c r="D12" s="4" t="s">
        <v>1204</v>
      </c>
      <c r="E12" s="6" t="str">
        <f ca="1">IFERROR(__xludf.DUMMYFUNCTION("""COMPUTED_VALUE"""),"Wǒ kěyǐ hé nǐ yīqǐ dǎ ma?")</f>
        <v>Wǒ kěyǐ hé nǐ yīqǐ dǎ ma?</v>
      </c>
    </row>
    <row r="13" spans="1:5" ht="14.25" customHeight="1">
      <c r="A13" s="3" t="s">
        <v>1205</v>
      </c>
      <c r="B13" s="3" t="s">
        <v>1206</v>
      </c>
      <c r="C13" s="4"/>
      <c r="D13" s="4"/>
      <c r="E13" s="6" t="str">
        <f ca="1">IFERROR(__xludf.DUMMYFUNCTION("""COMPUTED_VALUE"""),"Nǎ duì yíngle?")</f>
        <v>Nǎ duì yíngle?</v>
      </c>
    </row>
    <row r="14" spans="1:5" ht="14.25" customHeight="1">
      <c r="A14" s="3" t="s">
        <v>1207</v>
      </c>
      <c r="B14" s="3" t="s">
        <v>1208</v>
      </c>
      <c r="C14" s="4"/>
      <c r="D14" s="4" t="s">
        <v>1209</v>
      </c>
      <c r="E14" s="6" t="str">
        <f ca="1">IFERROR(__xludf.DUMMYFUNCTION("""COMPUTED_VALUE"""),"Nǐ yùndòng zhēn bàng!")</f>
        <v>Nǐ yùndòng zhēn bàng!</v>
      </c>
    </row>
    <row r="15" spans="1:5" ht="14.25" customHeight="1">
      <c r="A15" s="3" t="s">
        <v>1210</v>
      </c>
      <c r="B15" s="3" t="s">
        <v>1211</v>
      </c>
      <c r="C15" s="4"/>
      <c r="D15" s="4"/>
      <c r="E15" s="6" t="str">
        <f ca="1">IFERROR(__xludf.DUMMYFUNCTION("""COMPUTED_VALUE"""),"Wǒ xǐhuān lǚxíng.")</f>
        <v>Wǒ xǐhuān lǚxíng.</v>
      </c>
    </row>
    <row r="16" spans="1:5" ht="14.25" customHeight="1">
      <c r="A16" s="3" t="s">
        <v>1212</v>
      </c>
      <c r="B16" s="3" t="s">
        <v>1213</v>
      </c>
      <c r="C16" s="4"/>
      <c r="D16" s="4" t="s">
        <v>1214</v>
      </c>
      <c r="E16" s="6" t="str">
        <f ca="1">IFERROR(__xludf.DUMMYFUNCTION("""COMPUTED_VALUE"""),"Nǐ qùguò zhǎngtān dǎo ma?")</f>
        <v>Nǐ qùguò zhǎngtān dǎo ma?</v>
      </c>
    </row>
    <row r="17" spans="1:5" ht="14.25" customHeight="1">
      <c r="A17" s="3" t="s">
        <v>1215</v>
      </c>
      <c r="B17" s="3" t="s">
        <v>1216</v>
      </c>
      <c r="C17" s="4"/>
      <c r="D17" s="4"/>
      <c r="E17" s="6" t="str">
        <f ca="1">IFERROR(__xludf.DUMMYFUNCTION("""COMPUTED_VALUE"""),"Nàlǐ dì hǎitān hěn měi.")</f>
        <v>Nàlǐ dì hǎitān hěn měi.</v>
      </c>
    </row>
    <row r="18" spans="1:5" ht="14.25" customHeight="1">
      <c r="A18" s="3" t="s">
        <v>1217</v>
      </c>
      <c r="B18" s="3" t="s">
        <v>1218</v>
      </c>
      <c r="C18" s="4"/>
      <c r="D18" s="4" t="s">
        <v>1219</v>
      </c>
      <c r="E18" s="5" t="str">
        <f ca="1">IFERROR(__xludf.DUMMYFUNCTION("""COMPUTED_VALUE"""),"Wǒ xǐhuān huà huà.")</f>
        <v>Wǒ xǐhuān huà huà.</v>
      </c>
    </row>
    <row r="19" spans="1:5" ht="14.25" customHeight="1">
      <c r="A19" s="3" t="s">
        <v>1220</v>
      </c>
      <c r="B19" s="3" t="s">
        <v>1221</v>
      </c>
      <c r="C19" s="4"/>
      <c r="D19" s="4"/>
      <c r="E19" s="4" t="str">
        <f ca="1">IFERROR(__xludf.DUMMYFUNCTION("""COMPUTED_VALUE"""),"Kàn kàn wǒ de huà!")</f>
        <v>Kàn kàn wǒ de huà!</v>
      </c>
    </row>
    <row r="20" spans="1:5" ht="14.25" customHeight="1">
      <c r="A20" s="3" t="s">
        <v>1222</v>
      </c>
      <c r="B20" s="3" t="s">
        <v>1223</v>
      </c>
      <c r="C20" s="4"/>
      <c r="D20" s="4" t="s">
        <v>1224</v>
      </c>
      <c r="E20" s="5" t="str">
        <f ca="1">IFERROR(__xludf.DUMMYFUNCTION("""COMPUTED_VALUE"""),"Wǒ xǐhuān dúshū.")</f>
        <v>Wǒ xǐhuān dúshū.</v>
      </c>
    </row>
    <row r="21" spans="1:5" ht="14.25" customHeight="1">
      <c r="A21" s="3" t="s">
        <v>1225</v>
      </c>
      <c r="B21" s="3" t="s">
        <v>1226</v>
      </c>
      <c r="C21" s="4"/>
      <c r="D21" s="4"/>
      <c r="E21" s="6" t="str">
        <f ca="1">IFERROR(__xludf.DUMMYFUNCTION("""COMPUTED_VALUE"""),"Nǐ yǒu mànhuà shū ma?")</f>
        <v>Nǐ yǒu mànhuà shū ma?</v>
      </c>
    </row>
    <row r="22" spans="1:5" ht="14.25" customHeight="1">
      <c r="A22" s="3" t="s">
        <v>1227</v>
      </c>
      <c r="B22" s="3" t="s">
        <v>1228</v>
      </c>
      <c r="C22" s="4"/>
      <c r="D22" s="4" t="s">
        <v>1229</v>
      </c>
      <c r="E22" s="6" t="str">
        <f ca="1">IFERROR(__xludf.DUMMYFUNCTION("""COMPUTED_VALUE"""),"Wǒ xǐhuān tiàowǔ.")</f>
        <v>Wǒ xǐhuān tiàowǔ.</v>
      </c>
    </row>
    <row r="23" spans="1:5" ht="14.25" customHeight="1">
      <c r="A23" s="3" t="s">
        <v>1230</v>
      </c>
      <c r="B23" s="3" t="s">
        <v>1231</v>
      </c>
      <c r="C23" s="4"/>
      <c r="D23" s="4"/>
      <c r="E23" s="6" t="str">
        <f ca="1">IFERROR(__xludf.DUMMYFUNCTION("""COMPUTED_VALUE"""),"Zhè shǒu gē zài TikTok shàng hěn huǒ.")</f>
        <v>Zhè shǒu gē zài TikTok shàng hěn huǒ.</v>
      </c>
    </row>
    <row r="24" spans="1:5" ht="14.25" customHeight="1">
      <c r="A24" s="3" t="s">
        <v>1232</v>
      </c>
      <c r="B24" s="3" t="s">
        <v>1233</v>
      </c>
      <c r="C24" s="4"/>
      <c r="D24" s="4" t="s">
        <v>1234</v>
      </c>
      <c r="E24" s="6" t="str">
        <f ca="1">IFERROR(__xludf.DUMMYFUNCTION("""COMPUTED_VALUE"""),"Wǒmen yīqǐ pāi zhāng zhào ba!")</f>
        <v>Wǒmen yīqǐ pāi zhāng zhào ba!</v>
      </c>
    </row>
    <row r="25" spans="1:5" ht="14.25" customHeight="1">
      <c r="A25" s="3" t="s">
        <v>1235</v>
      </c>
      <c r="B25" s="3" t="s">
        <v>1236</v>
      </c>
      <c r="C25" s="4"/>
      <c r="D25" s="4"/>
      <c r="E25" s="6" t="str">
        <f ca="1">IFERROR(__xludf.DUMMYFUNCTION("""COMPUTED_VALUE"""),"Xiào yīgè!")</f>
        <v>Xiào yīgè!</v>
      </c>
    </row>
    <row r="26" spans="1:5" ht="14.25" customHeight="1">
      <c r="A26" s="3" t="s">
        <v>1237</v>
      </c>
      <c r="B26" s="3" t="s">
        <v>1238</v>
      </c>
      <c r="C26" s="4"/>
      <c r="D26" s="4" t="s">
        <v>1239</v>
      </c>
      <c r="E26" s="6" t="str">
        <f ca="1">IFERROR(__xludf.DUMMYFUNCTION("""COMPUTED_VALUE"""),"Gěi wǒ fā zhāng zhàopiàn!")</f>
        <v>Gěi wǒ fā zhāng zhàopiàn!</v>
      </c>
    </row>
    <row r="27" spans="1:5" ht="14.25" customHeight="1">
      <c r="A27" s="3" t="s">
        <v>1240</v>
      </c>
      <c r="B27" s="3" t="s">
        <v>1241</v>
      </c>
      <c r="C27" s="4"/>
      <c r="D27" s="4"/>
      <c r="E27" s="6" t="str">
        <f ca="1">IFERROR(__xludf.DUMMYFUNCTION("""COMPUTED_VALUE"""),"Nǐ yǒu Facebook ma?")</f>
        <v>Nǐ yǒu Facebook ma?</v>
      </c>
    </row>
    <row r="28" spans="1:5" ht="14.25" customHeight="1">
      <c r="A28" s="3" t="s">
        <v>1242</v>
      </c>
      <c r="B28" s="3" t="s">
        <v>1243</v>
      </c>
      <c r="C28" s="4"/>
      <c r="D28" s="4" t="s">
        <v>1244</v>
      </c>
      <c r="E28" s="6" t="str">
        <f ca="1">IFERROR(__xludf.DUMMYFUNCTION("""COMPUTED_VALUE"""),"Jiā wǒ hǎoyǒu ba!")</f>
        <v>Jiā wǒ hǎoyǒu ba!</v>
      </c>
    </row>
    <row r="29" spans="1:5" ht="14.25" customHeight="1">
      <c r="A29" s="3" t="s">
        <v>1245</v>
      </c>
      <c r="B29" s="3" t="s">
        <v>1246</v>
      </c>
      <c r="C29" s="4"/>
      <c r="D29" s="4"/>
      <c r="E29" s="37" t="str">
        <f ca="1">IFERROR(__xludf.DUMMYFUNCTION("""COMPUTED_VALUE"""),"Nǐ zhēn yōumò!")</f>
        <v>Nǐ zhēn yōumò!</v>
      </c>
    </row>
    <row r="30" spans="1:5" ht="14.25" customHeight="1">
      <c r="A30" s="3" t="s">
        <v>1247</v>
      </c>
      <c r="B30" s="3" t="s">
        <v>1248</v>
      </c>
      <c r="C30" s="4"/>
      <c r="D30" s="4" t="s">
        <v>1249</v>
      </c>
      <c r="E30" s="6" t="str">
        <f ca="1">IFERROR(__xludf.DUMMYFUNCTION("""COMPUTED_VALUE""")," Xièxiè nǐ péi wǒ wán.")</f>
        <v xml:space="preserve"> Xièxiè nǐ péi wǒ wán.</v>
      </c>
    </row>
    <row r="31" spans="1:5" ht="14.25" customHeight="1">
      <c r="A31" s="3" t="s">
        <v>1250</v>
      </c>
      <c r="B31" s="3" t="s">
        <v>1251</v>
      </c>
      <c r="C31" s="4"/>
      <c r="D31" s="4"/>
      <c r="E31" s="4" t="str">
        <f ca="1">IFERROR(__xludf.DUMMYFUNCTION("""COMPUTED_VALUE""")," Wǒ jīntiān hǎo kāixīn!")</f>
        <v xml:space="preserve"> Wǒ jīntiān hǎo kāixīn!</v>
      </c>
    </row>
    <row r="32" spans="1:5" ht="14.25" customHeight="1">
      <c r="A32" s="3" t="s">
        <v>1252</v>
      </c>
      <c r="B32" s="3" t="s">
        <v>1253</v>
      </c>
      <c r="C32" s="4"/>
      <c r="D32" s="4" t="s">
        <v>1254</v>
      </c>
      <c r="E32" s="4" t="str">
        <f ca="1">IFERROR(__xludf.DUMMYFUNCTION("""COMPUTED_VALUE"""),"Nǐ shì wǒ zuì hǎo de péngyǒu.")</f>
        <v>Nǐ shì wǒ zuì hǎo de péngyǒu.</v>
      </c>
    </row>
    <row r="33" spans="1:5" ht="14.25" customHeight="1">
      <c r="A33" s="3" t="s">
        <v>1255</v>
      </c>
      <c r="B33" s="3" t="s">
        <v>1256</v>
      </c>
      <c r="C33" s="4"/>
      <c r="D33" s="4"/>
      <c r="E33" s="4" t="str">
        <f ca="1">IFERROR(__xludf.DUMMYFUNCTION("""COMPUTED_VALUE"""),"Bié wàngle wǒ.")</f>
        <v>Bié wàngle wǒ.</v>
      </c>
    </row>
    <row r="34" spans="1:5" ht="14.25" customHeight="1">
      <c r="A34" s="3" t="s">
        <v>1257</v>
      </c>
      <c r="B34" s="3" t="s">
        <v>1258</v>
      </c>
      <c r="C34" s="4"/>
      <c r="D34" s="4" t="s">
        <v>1259</v>
      </c>
      <c r="E34" s="4" t="str">
        <f ca="1">IFERROR(__xludf.DUMMYFUNCTION("""COMPUTED_VALUE"""),"Nǐ zuì xǐhuān de yánsè shì shénme?")</f>
        <v>Nǐ zuì xǐhuān de yánsè shì shénme?</v>
      </c>
    </row>
    <row r="35" spans="1:5" ht="14.25" customHeight="1">
      <c r="A35" s="3" t="s">
        <v>1260</v>
      </c>
      <c r="B35" s="3" t="s">
        <v>1261</v>
      </c>
      <c r="C35" s="4"/>
      <c r="D35" s="4"/>
      <c r="E35" s="8" t="str">
        <f ca="1">IFERROR(__xludf.DUMMYFUNCTION("""COMPUTED_VALUE"""),"Wǒ xǐhuān lǜsè.")</f>
        <v>Wǒ xǐhuān lǜsè.</v>
      </c>
    </row>
    <row r="36" spans="1:5" ht="14.25" customHeight="1">
      <c r="A36" s="3" t="s">
        <v>1262</v>
      </c>
      <c r="B36" s="3" t="s">
        <v>1263</v>
      </c>
      <c r="C36" s="4"/>
      <c r="D36" s="4" t="s">
        <v>1264</v>
      </c>
      <c r="E36" s="5" t="str">
        <f ca="1">IFERROR(__xludf.DUMMYFUNCTION("""COMPUTED_VALUE"""),"Nǐ zuì xǐhuān de shíwù shì shénme?")</f>
        <v>Nǐ zuì xǐhuān de shíwù shì shénme?</v>
      </c>
    </row>
    <row r="37" spans="1:5" ht="14.25" customHeight="1">
      <c r="A37" s="3" t="s">
        <v>1265</v>
      </c>
      <c r="B37" s="3" t="s">
        <v>1266</v>
      </c>
      <c r="C37" s="4"/>
      <c r="D37" s="4"/>
      <c r="E37" s="8" t="str">
        <f ca="1">IFERROR(__xludf.DUMMYFUNCTION("""COMPUTED_VALUE"""),"Wǒ xǐhuān bīngqílín.")</f>
        <v>Wǒ xǐhuān bīngqílín.</v>
      </c>
    </row>
    <row r="38" spans="1:5" ht="14.25" customHeight="1">
      <c r="A38" s="3" t="s">
        <v>1267</v>
      </c>
      <c r="B38" s="3" t="s">
        <v>1268</v>
      </c>
      <c r="C38" s="4"/>
      <c r="D38" s="4" t="s">
        <v>1269</v>
      </c>
      <c r="E38" s="5" t="str">
        <f ca="1">IFERROR(__xludf.DUMMYFUNCTION("""COMPUTED_VALUE"""),"Xiǎng qù chī bīngqílín ma?")</f>
        <v>Xiǎng qù chī bīngqílín ma?</v>
      </c>
    </row>
    <row r="39" spans="1:5" ht="14.25" customHeight="1">
      <c r="A39" s="3" t="s">
        <v>1270</v>
      </c>
      <c r="B39" s="3" t="s">
        <v>1271</v>
      </c>
      <c r="C39" s="4"/>
      <c r="D39" s="4"/>
      <c r="E39" s="6" t="str">
        <f ca="1">IFERROR(__xludf.DUMMYFUNCTION("""COMPUTED_VALUE"""),"Nǐ zuì xǐhuān de chāojí yīngxióng shì shéi?")</f>
        <v>Nǐ zuì xǐhuān de chāojí yīngxióng shì shéi?</v>
      </c>
    </row>
    <row r="40" spans="1:5" ht="14.25" customHeight="1">
      <c r="A40" s="3" t="s">
        <v>1272</v>
      </c>
      <c r="B40" s="3" t="s">
        <v>1273</v>
      </c>
      <c r="C40" s="4"/>
      <c r="D40" s="4" t="s">
        <v>1274</v>
      </c>
      <c r="E40" s="6" t="str">
        <f ca="1">IFERROR(__xludf.DUMMYFUNCTION("""COMPUTED_VALUE"""),"Wǒ xǐhuān zhīzhū xiá.")</f>
        <v>Wǒ xǐhuān zhīzhū xiá.</v>
      </c>
    </row>
    <row r="41" spans="1:5" ht="14.25" customHeight="1">
      <c r="A41" s="3" t="s">
        <v>1275</v>
      </c>
      <c r="B41" s="3" t="s">
        <v>1276</v>
      </c>
      <c r="C41" s="4"/>
      <c r="D41" s="4"/>
      <c r="E41" s="5" t="str">
        <f ca="1">IFERROR(__xludf.DUMMYFUNCTION("""COMPUTED_VALUE"""),"Nǐ xǐhuān yǎng chǒngwù ma?")</f>
        <v>Nǐ xǐhuān yǎng chǒngwù ma?</v>
      </c>
    </row>
    <row r="42" spans="1:5" ht="14.25" customHeight="1">
      <c r="A42" s="3" t="s">
        <v>1277</v>
      </c>
      <c r="B42" s="3" t="s">
        <v>1278</v>
      </c>
      <c r="C42" s="4"/>
      <c r="D42" s="4" t="s">
        <v>1279</v>
      </c>
      <c r="E42" s="4" t="str">
        <f ca="1">IFERROR(__xludf.DUMMYFUNCTION("""COMPUTED_VALUE"""),"Wǒ xiǎng yǎng yī zhǐ gǒu.")</f>
        <v>Wǒ xiǎng yǎng yī zhǐ gǒu.</v>
      </c>
    </row>
    <row r="43" spans="1:5" ht="14.25" customHeight="1">
      <c r="A43" s="3" t="s">
        <v>1280</v>
      </c>
      <c r="B43" s="3" t="s">
        <v>1281</v>
      </c>
      <c r="C43" s="4"/>
      <c r="D43" s="4"/>
      <c r="E43" s="5" t="str">
        <f ca="1">IFERROR(__xludf.DUMMYFUNCTION("""COMPUTED_VALUE"""),"Nǐ de gǒu jiào shénme míngzì?")</f>
        <v>Nǐ de gǒu jiào shénme míngzì?</v>
      </c>
    </row>
    <row r="44" spans="1:5" ht="14.25" customHeight="1">
      <c r="A44" s="3" t="s">
        <v>1282</v>
      </c>
      <c r="B44" s="3" t="s">
        <v>1283</v>
      </c>
      <c r="C44" s="4"/>
      <c r="D44" s="4" t="s">
        <v>1284</v>
      </c>
      <c r="E44" s="4" t="str">
        <f ca="1">IFERROR(__xludf.DUMMYFUNCTION("""COMPUTED_VALUE"""),"Tā duōdàle?")</f>
        <v>Tā duōdàle?</v>
      </c>
    </row>
    <row r="45" spans="1:5" ht="14.25" customHeight="1">
      <c r="A45" s="3" t="s">
        <v>1285</v>
      </c>
      <c r="B45" s="3" t="s">
        <v>1286</v>
      </c>
      <c r="C45" s="4" t="s">
        <v>1287</v>
      </c>
      <c r="D45" s="4"/>
      <c r="E45" s="5" t="str">
        <f ca="1">IFERROR(__xludf.DUMMYFUNCTION("""COMPUTED_VALUE"""),"Tā huì yǎo rén ma?")</f>
        <v>Tā huì yǎo rén ma?</v>
      </c>
    </row>
    <row r="46" spans="1:5" ht="14.25" customHeight="1">
      <c r="A46" s="3" t="s">
        <v>1288</v>
      </c>
      <c r="B46" s="3" t="s">
        <v>1289</v>
      </c>
      <c r="C46" s="4" t="s">
        <v>1290</v>
      </c>
      <c r="D46" s="4" t="s">
        <v>1291</v>
      </c>
      <c r="E46" s="4" t="str">
        <f ca="1">IFERROR(__xludf.DUMMYFUNCTION("""COMPUTED_VALUE"""),"Wǒ xǐhuān sànbù.")</f>
        <v>Wǒ xǐhuān sànbù.</v>
      </c>
    </row>
    <row r="47" spans="1:5" ht="14.25" customHeight="1">
      <c r="A47" s="3" t="s">
        <v>1292</v>
      </c>
      <c r="B47" s="3" t="s">
        <v>1293</v>
      </c>
      <c r="C47" s="4"/>
      <c r="D47" s="4"/>
      <c r="E47" s="4" t="str">
        <f ca="1">IFERROR(__xludf.DUMMYFUNCTION("""COMPUTED_VALUE"""),"Zhè fùjìn yǒu yóu lèyuán ma?")</f>
        <v>Zhè fùjìn yǒu yóu lèyuán ma?</v>
      </c>
    </row>
    <row r="48" spans="1:5" ht="14.25" customHeight="1">
      <c r="A48" s="3" t="s">
        <v>1294</v>
      </c>
      <c r="B48" s="3" t="s">
        <v>1295</v>
      </c>
      <c r="C48" s="4"/>
      <c r="D48" s="4" t="s">
        <v>1296</v>
      </c>
      <c r="E48" s="4" t="str">
        <f ca="1">IFERROR(__xludf.DUMMYFUNCTION("""COMPUTED_VALUE"""),"Wǒ xǐhuān zuò guòshānchē.")</f>
        <v>Wǒ xǐhuān zuò guòshānchē.</v>
      </c>
    </row>
    <row r="49" spans="1:5" ht="14.25" customHeight="1">
      <c r="A49" s="3" t="s">
        <v>1297</v>
      </c>
      <c r="B49" s="3" t="s">
        <v>1298</v>
      </c>
      <c r="C49" s="4" t="s">
        <v>1299</v>
      </c>
      <c r="D49" s="4"/>
      <c r="E49" s="5" t="str">
        <f ca="1">IFERROR(__xludf.DUMMYFUNCTION("""COMPUTED_VALUE"""),"Nǐ zhēn yǒnggǎn!")</f>
        <v>Nǐ zhēn yǒnggǎn!</v>
      </c>
    </row>
    <row r="50" spans="1:5" ht="14.25" customHeight="1">
      <c r="A50" s="3" t="s">
        <v>1300</v>
      </c>
      <c r="B50" s="3" t="s">
        <v>1301</v>
      </c>
      <c r="C50" s="4"/>
      <c r="D50" s="4" t="s">
        <v>1302</v>
      </c>
      <c r="E50" s="6" t="str">
        <f ca="1">IFERROR(__xludf.DUMMYFUNCTION("""COMPUTED_VALUE"""),"Wǒmen hái huì zài jiànmiàn ma?")</f>
        <v>Wǒmen hái huì zài jiànmiàn ma?</v>
      </c>
    </row>
    <row r="51" spans="1:5" ht="14.25" customHeight="1">
      <c r="A51" s="3" t="s">
        <v>1303</v>
      </c>
      <c r="B51" s="3" t="s">
        <v>1304</v>
      </c>
      <c r="C51" s="4"/>
      <c r="D51" s="4"/>
      <c r="E51" s="6" t="str">
        <f ca="1">IFERROR(__xludf.DUMMYFUNCTION("""COMPUTED_VALUE"""),"Jìdé gěi wǒ fā duǎnxìn!")</f>
        <v>Jìdé gěi wǒ fā duǎnxìn!</v>
      </c>
    </row>
    <row r="52" spans="1:5" ht="14.25" customHeight="1">
      <c r="A52" s="4"/>
      <c r="B52" s="4"/>
      <c r="C52" s="4"/>
      <c r="D52" s="4" t="s">
        <v>1305</v>
      </c>
    </row>
    <row r="53" spans="1:5" ht="14.25" customHeight="1">
      <c r="A53" s="4"/>
      <c r="B53" s="4"/>
      <c r="C53" s="4"/>
      <c r="D53" s="4"/>
      <c r="E53" s="5"/>
    </row>
    <row r="54" spans="1:5" ht="14.25" customHeight="1">
      <c r="A54" s="4"/>
      <c r="B54" s="4"/>
      <c r="C54" s="4"/>
      <c r="D54" s="4" t="s">
        <v>1306</v>
      </c>
      <c r="E54" s="5"/>
    </row>
    <row r="55" spans="1:5" ht="14.25" customHeight="1">
      <c r="A55" s="4"/>
      <c r="B55" s="4"/>
      <c r="C55" s="4"/>
      <c r="D55" s="4" t="s">
        <v>1307</v>
      </c>
      <c r="E55" s="5"/>
    </row>
    <row r="56" spans="1:5" ht="14.25" customHeight="1">
      <c r="A56" s="4"/>
      <c r="B56" s="4"/>
      <c r="C56" s="4"/>
      <c r="D56" s="4" t="s">
        <v>1308</v>
      </c>
      <c r="E56" s="5"/>
    </row>
    <row r="57" spans="1:5" ht="14.25" customHeight="1">
      <c r="A57" s="4"/>
      <c r="B57" s="4"/>
      <c r="C57" s="4"/>
      <c r="D57" s="4" t="s">
        <v>1309</v>
      </c>
      <c r="E57" s="5"/>
    </row>
    <row r="58" spans="1:5" ht="14.25" customHeight="1">
      <c r="A58" s="4"/>
      <c r="B58" s="4"/>
      <c r="C58" s="4"/>
      <c r="D58" s="4" t="s">
        <v>1310</v>
      </c>
      <c r="E58" s="5"/>
    </row>
    <row r="59" spans="1:5" ht="14.25" customHeight="1">
      <c r="A59" s="4"/>
      <c r="B59" s="4"/>
      <c r="C59" s="4"/>
      <c r="D59" s="4"/>
    </row>
    <row r="60" spans="1:5" ht="14.25" customHeight="1">
      <c r="A60" s="4"/>
      <c r="B60" s="4"/>
      <c r="C60" s="4"/>
      <c r="D60" s="4" t="s">
        <v>1311</v>
      </c>
      <c r="E60" s="5"/>
    </row>
    <row r="61" spans="1:5" ht="14.25" customHeight="1">
      <c r="A61" s="4"/>
      <c r="B61" s="4"/>
      <c r="C61" s="4"/>
      <c r="D61" s="4"/>
      <c r="E61" s="5"/>
    </row>
    <row r="62" spans="1:5" ht="14.25" customHeight="1">
      <c r="A62" s="4"/>
      <c r="B62" s="4"/>
      <c r="C62" s="4"/>
      <c r="D62" s="4" t="s">
        <v>1312</v>
      </c>
      <c r="E62" s="5"/>
    </row>
    <row r="63" spans="1:5" ht="14.25" customHeight="1">
      <c r="A63" s="4"/>
      <c r="B63" s="4"/>
      <c r="C63" s="4"/>
      <c r="D63" s="4"/>
      <c r="E63" s="5"/>
    </row>
    <row r="64" spans="1:5" ht="14.25" customHeight="1">
      <c r="A64" s="4"/>
      <c r="B64" s="4"/>
      <c r="C64" s="4"/>
      <c r="D64" s="4" t="s">
        <v>1313</v>
      </c>
      <c r="E64" s="5"/>
    </row>
    <row r="65" spans="1:5" ht="14.25" customHeight="1">
      <c r="A65" s="4"/>
      <c r="B65" s="4"/>
      <c r="C65" s="4"/>
      <c r="D65" s="4"/>
      <c r="E65" s="5"/>
    </row>
    <row r="66" spans="1:5" ht="14.25" customHeight="1">
      <c r="A66" s="4"/>
      <c r="B66" s="4"/>
      <c r="C66" s="4"/>
      <c r="D66" s="4" t="s">
        <v>1314</v>
      </c>
      <c r="E66" s="5"/>
    </row>
    <row r="67" spans="1:5" ht="14.25" customHeight="1">
      <c r="A67" s="4"/>
      <c r="B67" s="4"/>
      <c r="C67" s="4"/>
      <c r="D67" s="4"/>
      <c r="E67" s="5"/>
    </row>
    <row r="68" spans="1:5" ht="14.25" customHeight="1">
      <c r="A68" s="4"/>
      <c r="B68" s="4"/>
      <c r="C68" s="4"/>
      <c r="D68" s="4" t="s">
        <v>1315</v>
      </c>
      <c r="E68" s="5"/>
    </row>
    <row r="69" spans="1:5" ht="14.25" customHeight="1">
      <c r="A69" s="4"/>
      <c r="B69" s="4"/>
      <c r="C69" s="4"/>
      <c r="D69" s="4"/>
      <c r="E69" s="5"/>
    </row>
    <row r="70" spans="1:5" ht="14.25" customHeight="1">
      <c r="A70" s="4"/>
      <c r="B70" s="4"/>
      <c r="C70" s="4"/>
      <c r="D70" s="4" t="s">
        <v>1316</v>
      </c>
      <c r="E70" s="5"/>
    </row>
    <row r="71" spans="1:5" ht="14.25" customHeight="1">
      <c r="A71" s="4"/>
      <c r="B71" s="4"/>
      <c r="C71" s="4"/>
      <c r="D71" s="4"/>
      <c r="E71" s="5"/>
    </row>
    <row r="72" spans="1:5" ht="14.25" customHeight="1">
      <c r="A72" s="4"/>
      <c r="B72" s="4"/>
      <c r="C72" s="4"/>
      <c r="D72" s="4" t="s">
        <v>1317</v>
      </c>
      <c r="E72" s="5"/>
    </row>
    <row r="73" spans="1:5" ht="14.25" customHeight="1">
      <c r="A73" s="4"/>
      <c r="B73" s="4"/>
      <c r="C73" s="4"/>
      <c r="D73" s="4"/>
      <c r="E73" s="5"/>
    </row>
    <row r="74" spans="1:5" ht="14.25" customHeight="1">
      <c r="A74" s="4"/>
      <c r="B74" s="4"/>
      <c r="C74" s="4"/>
      <c r="D74" s="4" t="s">
        <v>1318</v>
      </c>
      <c r="E74" s="5"/>
    </row>
    <row r="75" spans="1:5" ht="14.25" customHeight="1">
      <c r="A75" s="4"/>
      <c r="B75" s="4"/>
      <c r="C75" s="4"/>
      <c r="D75" s="4"/>
      <c r="E75" s="5"/>
    </row>
    <row r="76" spans="1:5" ht="14.25" customHeight="1">
      <c r="A76" s="4"/>
      <c r="B76" s="4"/>
      <c r="C76" s="4"/>
      <c r="D76" s="4" t="s">
        <v>1319</v>
      </c>
      <c r="E76" s="5"/>
    </row>
    <row r="77" spans="1:5" ht="14.25" customHeight="1">
      <c r="A77" s="4"/>
      <c r="B77" s="4"/>
      <c r="C77" s="4"/>
      <c r="D77" s="4"/>
      <c r="E77" s="5"/>
    </row>
    <row r="78" spans="1:5" ht="14.25" customHeight="1">
      <c r="A78" s="4"/>
      <c r="B78" s="4"/>
      <c r="C78" s="4"/>
      <c r="D78" s="4" t="s">
        <v>1320</v>
      </c>
      <c r="E78" s="5"/>
    </row>
    <row r="79" spans="1:5" ht="14.25" customHeight="1">
      <c r="A79" s="4"/>
      <c r="B79" s="4"/>
      <c r="C79" s="4"/>
      <c r="D79" s="4"/>
      <c r="E79" s="5"/>
    </row>
    <row r="80" spans="1:5" ht="14.25" customHeight="1">
      <c r="A80" s="4"/>
      <c r="B80" s="4"/>
      <c r="C80" s="4"/>
      <c r="D80" s="4" t="s">
        <v>1321</v>
      </c>
      <c r="E80" s="5"/>
    </row>
    <row r="81" spans="1:5" ht="14.25" customHeight="1">
      <c r="A81" s="4"/>
      <c r="B81" s="4"/>
      <c r="C81" s="4"/>
      <c r="D81" s="4"/>
      <c r="E81" s="5"/>
    </row>
    <row r="82" spans="1:5" ht="14.25" customHeight="1">
      <c r="A82" s="4"/>
      <c r="B82" s="4"/>
      <c r="C82" s="4"/>
      <c r="D82" s="4" t="s">
        <v>1322</v>
      </c>
      <c r="E82" s="5"/>
    </row>
    <row r="83" spans="1:5" ht="14.25" customHeight="1">
      <c r="A83" s="4"/>
      <c r="B83" s="4"/>
      <c r="C83" s="4"/>
      <c r="D83" s="4"/>
      <c r="E83" s="5"/>
    </row>
    <row r="84" spans="1:5" ht="14.25" customHeight="1">
      <c r="A84" s="4"/>
      <c r="B84" s="4"/>
      <c r="C84" s="4"/>
      <c r="D84" s="4" t="s">
        <v>1323</v>
      </c>
      <c r="E84" s="5"/>
    </row>
    <row r="85" spans="1:5" ht="14.25" customHeight="1">
      <c r="A85" s="4"/>
      <c r="B85" s="4"/>
      <c r="C85" s="4"/>
      <c r="D85" s="4"/>
      <c r="E85" s="5"/>
    </row>
    <row r="86" spans="1:5" ht="14.25" customHeight="1">
      <c r="A86" s="4"/>
      <c r="B86" s="4"/>
      <c r="C86" s="4"/>
      <c r="D86" s="4" t="s">
        <v>1324</v>
      </c>
      <c r="E86" s="5"/>
    </row>
    <row r="87" spans="1:5" ht="14.25" customHeight="1">
      <c r="A87" s="4"/>
      <c r="B87" s="4"/>
      <c r="C87" s="4"/>
      <c r="D87" s="4"/>
      <c r="E87" s="5"/>
    </row>
    <row r="88" spans="1:5" ht="14.25" customHeight="1">
      <c r="A88" s="4"/>
      <c r="B88" s="4"/>
      <c r="C88" s="4"/>
      <c r="D88" s="4" t="s">
        <v>1325</v>
      </c>
      <c r="E88" s="5"/>
    </row>
    <row r="89" spans="1:5" ht="14.25" customHeight="1">
      <c r="A89" s="4"/>
      <c r="B89" s="4"/>
      <c r="C89" s="4"/>
      <c r="D89" s="4"/>
      <c r="E89" s="5"/>
    </row>
    <row r="90" spans="1:5" ht="14.25" customHeight="1">
      <c r="A90" s="4"/>
      <c r="B90" s="4"/>
      <c r="C90" s="4"/>
      <c r="D90" s="4" t="s">
        <v>1326</v>
      </c>
      <c r="E90" s="5"/>
    </row>
    <row r="91" spans="1:5" ht="14.25" customHeight="1">
      <c r="A91" s="4"/>
      <c r="B91" s="4"/>
      <c r="C91" s="4"/>
      <c r="D91" s="4"/>
      <c r="E91" s="5"/>
    </row>
    <row r="92" spans="1:5" ht="14.25" customHeight="1">
      <c r="A92" s="4"/>
      <c r="B92" s="4"/>
      <c r="C92" s="4"/>
      <c r="D92" s="4" t="s">
        <v>1327</v>
      </c>
      <c r="E92" s="5"/>
    </row>
    <row r="93" spans="1:5" ht="14.25" customHeight="1">
      <c r="A93" s="4"/>
      <c r="B93" s="4"/>
      <c r="C93" s="4"/>
      <c r="D93" s="4"/>
      <c r="E93" s="5"/>
    </row>
    <row r="94" spans="1:5" ht="14.25" customHeight="1">
      <c r="A94" s="4"/>
      <c r="B94" s="4"/>
      <c r="C94" s="4"/>
      <c r="D94" s="4" t="s">
        <v>1328</v>
      </c>
      <c r="E94" s="5"/>
    </row>
    <row r="95" spans="1:5" ht="14.25" customHeight="1">
      <c r="A95" s="4"/>
      <c r="B95" s="4"/>
      <c r="C95" s="4"/>
      <c r="D95" s="4"/>
      <c r="E95" s="5"/>
    </row>
    <row r="96" spans="1:5" ht="14.25" customHeight="1">
      <c r="A96" s="4"/>
      <c r="B96" s="4"/>
      <c r="C96" s="4"/>
      <c r="D96" s="4" t="s">
        <v>1329</v>
      </c>
      <c r="E96" s="5"/>
    </row>
    <row r="97" spans="1:5" ht="14.25" customHeight="1">
      <c r="A97" s="4"/>
      <c r="B97" s="4"/>
      <c r="C97" s="4"/>
      <c r="D97" s="4"/>
      <c r="E97" s="5"/>
    </row>
    <row r="98" spans="1:5" ht="14.25" customHeight="1">
      <c r="A98" s="4"/>
      <c r="B98" s="4"/>
      <c r="C98" s="4"/>
      <c r="D98" s="4"/>
      <c r="E98" s="5"/>
    </row>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
  <sheetViews>
    <sheetView workbookViewId="0">
      <pane ySplit="1" topLeftCell="A2" activePane="bottomLeft" state="frozen"/>
      <selection pane="bottomLeft" activeCell="B3" sqref="B3"/>
    </sheetView>
  </sheetViews>
  <sheetFormatPr defaultColWidth="14.44140625" defaultRowHeight="15" customHeight="1"/>
  <cols>
    <col min="1" max="1" width="45.5546875" customWidth="1"/>
    <col min="2" max="2" width="73.5546875" customWidth="1"/>
    <col min="3" max="3" width="47.5546875" customWidth="1"/>
    <col min="4" max="4" width="73.5546875" customWidth="1"/>
    <col min="5" max="5" width="56.88671875" customWidth="1"/>
  </cols>
  <sheetData>
    <row r="1" spans="1:5" ht="14.25" customHeight="1">
      <c r="A1" s="19" t="s">
        <v>1330</v>
      </c>
      <c r="B1" s="38"/>
      <c r="C1" s="39"/>
      <c r="D1" s="39"/>
      <c r="E1" s="2"/>
    </row>
    <row r="2" spans="1:5" ht="14.25" customHeight="1">
      <c r="A2" s="3" t="s">
        <v>1331</v>
      </c>
      <c r="B2" s="3" t="s">
        <v>1332</v>
      </c>
      <c r="C2" s="4"/>
      <c r="D2" s="4" t="s">
        <v>1333</v>
      </c>
      <c r="E2" s="5" t="str">
        <f ca="1">IFERROR(__xludf.DUMMYFUNCTION("FILTER(D1:D1012,D1:D1012&lt;&gt; """")"),"Zhè shì wǒ de jiārén.")</f>
        <v>Zhè shì wǒ de jiārén.</v>
      </c>
    </row>
    <row r="3" spans="1:5" ht="14.25" customHeight="1">
      <c r="A3" s="3" t="s">
        <v>1334</v>
      </c>
      <c r="B3" s="3" t="s">
        <v>1335</v>
      </c>
      <c r="C3" s="4"/>
      <c r="D3" s="4"/>
      <c r="E3" s="6" t="str">
        <f ca="1">IFERROR(__xludf.DUMMYFUNCTION("""COMPUTED_VALUE"""),"Wǒ fēicháng ài wǒ de fùmǔ.")</f>
        <v>Wǒ fēicháng ài wǒ de fùmǔ.</v>
      </c>
    </row>
    <row r="4" spans="1:5" ht="14.25" customHeight="1">
      <c r="A4" s="17" t="s">
        <v>1336</v>
      </c>
      <c r="B4" s="17" t="s">
        <v>1337</v>
      </c>
      <c r="C4" s="18"/>
      <c r="D4" s="18" t="s">
        <v>1338</v>
      </c>
      <c r="E4" s="5" t="str">
        <f ca="1">IFERROR(__xludf.DUMMYFUNCTION("""COMPUTED_VALUE"""),"Wǒ bàba jiào shénme míngzì?")</f>
        <v>Wǒ bàba jiào shénme míngzì?</v>
      </c>
    </row>
    <row r="5" spans="1:5" ht="14.25" customHeight="1">
      <c r="A5" s="17" t="s">
        <v>1339</v>
      </c>
      <c r="B5" s="17" t="s">
        <v>1340</v>
      </c>
      <c r="C5" s="18"/>
      <c r="D5" s="18"/>
      <c r="E5" s="5" t="str">
        <f ca="1">IFERROR(__xludf.DUMMYFUNCTION("""COMPUTED_VALUE"""),"Wǒ māmā zài zuò fàn.")</f>
        <v>Wǒ māmā zài zuò fàn.</v>
      </c>
    </row>
    <row r="6" spans="1:5" ht="14.25" customHeight="1">
      <c r="A6" s="17" t="s">
        <v>1341</v>
      </c>
      <c r="B6" s="17" t="s">
        <v>1342</v>
      </c>
      <c r="C6" s="18"/>
      <c r="D6" s="18" t="s">
        <v>1343</v>
      </c>
      <c r="E6" s="5" t="str">
        <f ca="1">IFERROR(__xludf.DUMMYFUNCTION("""COMPUTED_VALUE"""),"Wǒ yǒu yīgè gēgē.")</f>
        <v>Wǒ yǒu yīgè gēgē.</v>
      </c>
    </row>
    <row r="7" spans="1:5" ht="14.25" customHeight="1">
      <c r="A7" s="17" t="s">
        <v>1344</v>
      </c>
      <c r="B7" s="17" t="s">
        <v>1345</v>
      </c>
      <c r="C7" s="18"/>
      <c r="D7" s="18"/>
      <c r="E7" s="5" t="str">
        <f ca="1">IFERROR(__xludf.DUMMYFUNCTION("""COMPUTED_VALUE"""),"Wǒ jiějiě hěn piàoliang.")</f>
        <v>Wǒ jiějiě hěn piàoliang.</v>
      </c>
    </row>
    <row r="8" spans="1:5" ht="14.25" customHeight="1">
      <c r="A8" s="17" t="s">
        <v>1346</v>
      </c>
      <c r="B8" s="17" t="s">
        <v>1347</v>
      </c>
      <c r="C8" s="18"/>
      <c r="D8" s="18" t="s">
        <v>1348</v>
      </c>
      <c r="E8" s="5" t="str">
        <f ca="1">IFERROR(__xludf.DUMMYFUNCTION("""COMPUTED_VALUE"""),"Wǒ zuìxiǎo de dìdì mèimei hái xiǎo.")</f>
        <v>Wǒ zuìxiǎo de dìdì mèimei hái xiǎo.</v>
      </c>
    </row>
    <row r="9" spans="1:5" ht="14.25" customHeight="1">
      <c r="A9" s="17" t="s">
        <v>1349</v>
      </c>
      <c r="B9" s="17" t="s">
        <v>1350</v>
      </c>
      <c r="C9" s="18"/>
      <c r="D9" s="18"/>
      <c r="E9" s="5" t="str">
        <f ca="1">IFERROR(__xludf.DUMMYFUNCTION("""COMPUTED_VALUE"""),"Wǒ de yéyé/wàigōng zhèngzài xiūxí.")</f>
        <v>Wǒ de yéyé/wàigōng zhèngzài xiūxí.</v>
      </c>
    </row>
    <row r="10" spans="1:5" ht="14.25" customHeight="1">
      <c r="A10" s="17" t="s">
        <v>1351</v>
      </c>
      <c r="B10" s="17" t="s">
        <v>1352</v>
      </c>
      <c r="C10" s="18"/>
      <c r="D10" s="18" t="s">
        <v>1353</v>
      </c>
      <c r="E10" s="5" t="str">
        <f ca="1">IFERROR(__xludf.DUMMYFUNCTION("""COMPUTED_VALUE"""),"Wǒ de nǎinai/wàipó hěn huì jiǎng gùshì.")</f>
        <v>Wǒ de nǎinai/wàipó hěn huì jiǎng gùshì.</v>
      </c>
    </row>
    <row r="11" spans="1:5" ht="14.25" customHeight="1">
      <c r="A11" s="3" t="s">
        <v>1354</v>
      </c>
      <c r="B11" s="3" t="s">
        <v>1355</v>
      </c>
      <c r="C11" s="4"/>
      <c r="D11" s="4"/>
      <c r="E11" s="5" t="str">
        <f ca="1">IFERROR(__xludf.DUMMYFUNCTION("""COMPUTED_VALUE"""),"Yéyé/wàigōng wàipó, wǒ xiàng nín wènhǎo (xíng lǐmào de wènhòu).")</f>
        <v>Yéyé/wàigōng wàipó, wǒ xiàng nín wènhǎo (xíng lǐmào de wènhòu).</v>
      </c>
    </row>
    <row r="12" spans="1:5" ht="14.25" customHeight="1">
      <c r="A12" s="17" t="s">
        <v>1356</v>
      </c>
      <c r="B12" s="17" t="s">
        <v>1357</v>
      </c>
      <c r="C12" s="18"/>
      <c r="D12" s="18" t="s">
        <v>1358</v>
      </c>
      <c r="E12" s="6" t="str">
        <f ca="1">IFERROR(__xludf.DUMMYFUNCTION("""COMPUTED_VALUE"""),"Shūshu/āyí, shì wǒ.")</f>
        <v>Shūshu/āyí, shì wǒ.</v>
      </c>
    </row>
    <row r="13" spans="1:5" ht="14.25" customHeight="1">
      <c r="A13" s="17" t="s">
        <v>1359</v>
      </c>
      <c r="B13" s="17" t="s">
        <v>1360</v>
      </c>
      <c r="C13" s="18"/>
      <c r="D13" s="18"/>
      <c r="E13" s="6" t="str">
        <f ca="1">IFERROR(__xludf.DUMMYFUNCTION("""COMPUTED_VALUE"""),"Āyí/āyí, wǒ èle.")</f>
        <v>Āyí/āyí, wǒ èle.</v>
      </c>
    </row>
    <row r="14" spans="1:5" ht="14.25" customHeight="1">
      <c r="A14" s="3" t="s">
        <v>1361</v>
      </c>
      <c r="B14" s="3" t="s">
        <v>1362</v>
      </c>
      <c r="C14" s="4" t="s">
        <v>1363</v>
      </c>
      <c r="D14" s="4" t="s">
        <v>1364</v>
      </c>
      <c r="E14" s="6" t="str">
        <f ca="1">IFERROR(__xludf.DUMMYFUNCTION("""COMPUTED_VALUE"""),"Wǒ de táng xiōngdì jiěmèimen hěn yōumò.")</f>
        <v>Wǒ de táng xiōngdì jiěmèimen hěn yōumò.</v>
      </c>
    </row>
    <row r="15" spans="1:5" ht="14.25" customHeight="1">
      <c r="A15" s="3" t="s">
        <v>1365</v>
      </c>
      <c r="B15" s="3" t="s">
        <v>1366</v>
      </c>
      <c r="C15" s="4"/>
      <c r="D15" s="4"/>
      <c r="E15" s="6" t="str">
        <f ca="1">IFERROR(__xludf.DUMMYFUNCTION("""COMPUTED_VALUE"""),"Nǐ jiā yǒu jǐ kǒu rén?")</f>
        <v>Nǐ jiā yǒu jǐ kǒu rén?</v>
      </c>
    </row>
    <row r="16" spans="1:5" ht="14.25" customHeight="1">
      <c r="A16" s="3" t="s">
        <v>1367</v>
      </c>
      <c r="B16" s="3" t="s">
        <v>1368</v>
      </c>
      <c r="C16" s="4"/>
      <c r="D16" s="4" t="s">
        <v>1369</v>
      </c>
      <c r="E16" s="6" t="str">
        <f ca="1">IFERROR(__xludf.DUMMYFUNCTION("""COMPUTED_VALUE"""),"Wǒjiā yǒu 5 kǒu rén.")</f>
        <v>Wǒjiā yǒu 5 kǒu rén.</v>
      </c>
    </row>
    <row r="17" spans="1:5" ht="14.25" customHeight="1">
      <c r="A17" s="3" t="s">
        <v>1370</v>
      </c>
      <c r="B17" s="3" t="s">
        <v>1371</v>
      </c>
      <c r="C17" s="10" t="s">
        <v>1372</v>
      </c>
      <c r="D17" s="4"/>
      <c r="E17" s="6" t="str">
        <f ca="1">IFERROR(__xludf.DUMMYFUNCTION("""COMPUTED_VALUE"""),"Wǒ shì lǎodà.")</f>
        <v>Wǒ shì lǎodà.</v>
      </c>
    </row>
    <row r="18" spans="1:5" ht="14.25" customHeight="1">
      <c r="A18" s="3" t="s">
        <v>1373</v>
      </c>
      <c r="B18" s="3" t="s">
        <v>1374</v>
      </c>
      <c r="C18" s="4" t="s">
        <v>1375</v>
      </c>
      <c r="D18" s="4" t="s">
        <v>1376</v>
      </c>
      <c r="E18" s="5" t="str">
        <f ca="1">IFERROR(__xludf.DUMMYFUNCTION("""COMPUTED_VALUE"""),"Wǒ shì lǎo èr.")</f>
        <v>Wǒ shì lǎo èr.</v>
      </c>
    </row>
    <row r="19" spans="1:5" ht="14.25" customHeight="1">
      <c r="A19" s="3" t="s">
        <v>1377</v>
      </c>
      <c r="B19" s="3" t="s">
        <v>1378</v>
      </c>
      <c r="C19" s="4"/>
      <c r="D19" s="4"/>
      <c r="E19" s="4" t="str">
        <f ca="1">IFERROR(__xludf.DUMMYFUNCTION("""COMPUTED_VALUE"""),"Nǐ fùmǔ shì zuò shénme gōngzuò de?")</f>
        <v>Nǐ fùmǔ shì zuò shénme gōngzuò de?</v>
      </c>
    </row>
    <row r="20" spans="1:5" ht="14.25" customHeight="1">
      <c r="A20" s="3" t="s">
        <v>1379</v>
      </c>
      <c r="B20" s="3" t="s">
        <v>1380</v>
      </c>
      <c r="C20" s="4"/>
      <c r="D20" s="4" t="s">
        <v>1381</v>
      </c>
      <c r="E20" s="5" t="str">
        <f ca="1">IFERROR(__xludf.DUMMYFUNCTION("""COMPUTED_VALUE"""),"Wǒ bàba shì gōngchéngshī.")</f>
        <v>Wǒ bàba shì gōngchéngshī.</v>
      </c>
    </row>
    <row r="21" spans="1:5" ht="14.25" customHeight="1">
      <c r="A21" s="3" t="s">
        <v>1382</v>
      </c>
      <c r="B21" s="3" t="s">
        <v>1383</v>
      </c>
      <c r="C21" s="4"/>
      <c r="D21" s="4"/>
      <c r="E21" s="6" t="str">
        <f ca="1">IFERROR(__xludf.DUMMYFUNCTION("""COMPUTED_VALUE"""),"Wǒ māmā shì quánzhí jiātíng zhǔfù.")</f>
        <v>Wǒ māmā shì quánzhí jiātíng zhǔfù.</v>
      </c>
    </row>
    <row r="22" spans="1:5" ht="14.25" customHeight="1">
      <c r="A22" s="3" t="s">
        <v>1384</v>
      </c>
      <c r="B22" s="3" t="s">
        <v>1385</v>
      </c>
      <c r="C22" s="4"/>
      <c r="D22" s="4" t="s">
        <v>1386</v>
      </c>
      <c r="E22" s="6" t="str">
        <f ca="1">IFERROR(__xludf.DUMMYFUNCTION("""COMPUTED_VALUE"""),"Wǒ hěn xiǎng jiā.")</f>
        <v>Wǒ hěn xiǎng jiā.</v>
      </c>
    </row>
    <row r="23" spans="1:5" ht="14.25" customHeight="1">
      <c r="A23" s="3" t="s">
        <v>1387</v>
      </c>
      <c r="B23" s="3" t="s">
        <v>1388</v>
      </c>
      <c r="C23" s="4"/>
      <c r="D23" s="4"/>
      <c r="E23" s="6" t="str">
        <f ca="1">IFERROR(__xludf.DUMMYFUNCTION("""COMPUTED_VALUE"""),"Wǒ xiǎng gěi māmā dǎ diànhuà.")</f>
        <v>Wǒ xiǎng gěi māmā dǎ diànhuà.</v>
      </c>
    </row>
    <row r="24" spans="1:5" ht="14.25" customHeight="1">
      <c r="A24" s="3" t="s">
        <v>1389</v>
      </c>
      <c r="B24" s="3" t="s">
        <v>1390</v>
      </c>
      <c r="C24" s="4"/>
      <c r="D24" s="4" t="s">
        <v>1391</v>
      </c>
      <c r="E24" s="6" t="str">
        <f ca="1">IFERROR(__xludf.DUMMYFUNCTION("""COMPUTED_VALUE"""),"Bàba, nín hǎo ma?")</f>
        <v>Bàba, nín hǎo ma?</v>
      </c>
    </row>
    <row r="25" spans="1:5" ht="14.25" customHeight="1">
      <c r="A25" s="3" t="s">
        <v>1392</v>
      </c>
      <c r="B25" s="3" t="s">
        <v>1393</v>
      </c>
      <c r="C25" s="4"/>
      <c r="D25" s="4"/>
      <c r="E25" s="6" t="str">
        <f ca="1">IFERROR(__xludf.DUMMYFUNCTION("""COMPUTED_VALUE"""),"Jiějiě, shēngrì kuàilè!")</f>
        <v>Jiějiě, shēngrì kuàilè!</v>
      </c>
    </row>
    <row r="26" spans="1:5" ht="14.25" customHeight="1">
      <c r="A26" s="3" t="s">
        <v>1394</v>
      </c>
      <c r="B26" s="3" t="s">
        <v>1395</v>
      </c>
      <c r="C26" s="4"/>
      <c r="D26" s="4" t="s">
        <v>1396</v>
      </c>
      <c r="E26" s="6" t="str">
        <f ca="1">IFERROR(__xludf.DUMMYFUNCTION("""COMPUTED_VALUE"""),"Zhè shì wǒ de quánjiāfú.")</f>
        <v>Zhè shì wǒ de quánjiāfú.</v>
      </c>
    </row>
    <row r="27" spans="1:5" ht="14.25" customHeight="1">
      <c r="A27" s="3" t="s">
        <v>1397</v>
      </c>
      <c r="B27" s="3" t="s">
        <v>1398</v>
      </c>
      <c r="C27" s="4"/>
      <c r="D27" s="4"/>
      <c r="E27" s="6" t="str">
        <f ca="1">IFERROR(__xludf.DUMMYFUNCTION("""COMPUTED_VALUE"""),"Wǒ jiāzhù zài yuènán.")</f>
        <v>Wǒ jiāzhù zài yuènán.</v>
      </c>
    </row>
    <row r="28" spans="1:5" ht="14.25" customHeight="1">
      <c r="A28" s="3" t="s">
        <v>1399</v>
      </c>
      <c r="B28" s="3" t="s">
        <v>1400</v>
      </c>
      <c r="C28" s="4"/>
      <c r="D28" s="4" t="s">
        <v>1401</v>
      </c>
      <c r="E28" s="6" t="str">
        <f ca="1">IFERROR(__xludf.DUMMYFUNCTION("""COMPUTED_VALUE"""),"Wǒ shǔjià huí jiā tànqīn.")</f>
        <v>Wǒ shǔjià huí jiā tànqīn.</v>
      </c>
    </row>
    <row r="29" spans="1:5" ht="14.25" customHeight="1">
      <c r="A29" s="3" t="s">
        <v>1402</v>
      </c>
      <c r="B29" s="3" t="s">
        <v>1403</v>
      </c>
      <c r="C29" s="4"/>
      <c r="D29" s="4"/>
      <c r="E29" s="37" t="str">
        <f ca="1">IFERROR(__xludf.DUMMYFUNCTION("""COMPUTED_VALUE"""),"Jiārén yǒngyuǎn shì dì yī wèi de.")</f>
        <v>Jiārén yǒngyuǎn shì dì yī wèi de.</v>
      </c>
    </row>
    <row r="30" spans="1:5" ht="14.25" customHeight="1">
      <c r="A30" s="3" t="s">
        <v>1404</v>
      </c>
      <c r="B30" s="3" t="s">
        <v>1405</v>
      </c>
      <c r="C30" s="4"/>
      <c r="D30" s="4" t="s">
        <v>1406</v>
      </c>
      <c r="E30" s="6" t="str">
        <f ca="1">IFERROR(__xludf.DUMMYFUNCTION("""COMPUTED_VALUE"""),"Wǒ xǐhuān hé jiārén yīqǐ chīfàn.")</f>
        <v>Wǒ xǐhuān hé jiārén yīqǐ chīfàn.</v>
      </c>
    </row>
    <row r="31" spans="1:5" ht="14.25" customHeight="1">
      <c r="A31" s="3" t="s">
        <v>1407</v>
      </c>
      <c r="B31" s="3" t="s">
        <v>1408</v>
      </c>
      <c r="C31" s="4"/>
      <c r="D31" s="4"/>
      <c r="E31" s="4" t="str">
        <f ca="1">IFERROR(__xludf.DUMMYFUNCTION("""COMPUTED_VALUE"""),"Wǒ bàba zuò de ādǒu bō (Adobo) hěn hào chī.")</f>
        <v>Wǒ bàba zuò de ādǒu bō (Adobo) hěn hào chī.</v>
      </c>
    </row>
    <row r="32" spans="1:5" ht="14.25" customHeight="1">
      <c r="A32" s="3" t="s">
        <v>1409</v>
      </c>
      <c r="B32" s="3" t="s">
        <v>1410</v>
      </c>
      <c r="C32" s="4"/>
      <c r="D32" s="4" t="s">
        <v>1411</v>
      </c>
      <c r="E32" s="4" t="str">
        <f ca="1">IFERROR(__xludf.DUMMYFUNCTION("""COMPUTED_VALUE"""),"Wǒ jiějiě zài shàng dàxué.")</f>
        <v>Wǒ jiějiě zài shàng dàxué.</v>
      </c>
    </row>
    <row r="33" spans="1:5" ht="14.25" customHeight="1">
      <c r="A33" s="3" t="s">
        <v>1412</v>
      </c>
      <c r="B33" s="3" t="s">
        <v>1413</v>
      </c>
      <c r="C33" s="4" t="s">
        <v>1414</v>
      </c>
      <c r="D33" s="4"/>
      <c r="E33" s="4" t="str">
        <f ca="1">IFERROR(__xludf.DUMMYFUNCTION("""COMPUTED_VALUE"""),"Wǒ dìdì hěn tiáopí.")</f>
        <v>Wǒ dìdì hěn tiáopí.</v>
      </c>
    </row>
    <row r="34" spans="1:5" ht="14.25" customHeight="1">
      <c r="A34" s="3" t="s">
        <v>1415</v>
      </c>
      <c r="B34" s="3" t="s">
        <v>1416</v>
      </c>
      <c r="C34" s="4"/>
      <c r="D34" s="4" t="s">
        <v>1417</v>
      </c>
      <c r="E34" s="4" t="str">
        <f ca="1">IFERROR(__xludf.DUMMYFUNCTION("""COMPUTED_VALUE"""),"Wǒ bāng māmā xǐ wǎn.")</f>
        <v>Wǒ bāng māmā xǐ wǎn.</v>
      </c>
    </row>
    <row r="35" spans="1:5" ht="14.25" customHeight="1">
      <c r="A35" s="3" t="s">
        <v>1418</v>
      </c>
      <c r="B35" s="3" t="s">
        <v>1419</v>
      </c>
      <c r="C35" s="4"/>
      <c r="D35" s="4"/>
      <c r="E35" s="8" t="str">
        <f ca="1">IFERROR(__xludf.DUMMYFUNCTION("""COMPUTED_VALUE"""),"Wǒ hé gēgē yīqǐ chūqù wán.")</f>
        <v>Wǒ hé gēgē yīqǐ chūqù wán.</v>
      </c>
    </row>
    <row r="36" spans="1:5" ht="14.25" customHeight="1">
      <c r="A36" s="17" t="s">
        <v>1420</v>
      </c>
      <c r="B36" s="17" t="s">
        <v>1421</v>
      </c>
      <c r="C36" s="18"/>
      <c r="D36" s="18" t="s">
        <v>1422</v>
      </c>
      <c r="E36" s="5" t="str">
        <f ca="1">IFERROR(__xludf.DUMMYFUNCTION("""COMPUTED_VALUE"""),"Nǐ yǒu nán péngyǒu/nǚ péngyǒu ma?(Kāiwánxiào la!)")</f>
        <v>Nǐ yǒu nán péngyǒu/nǚ péngyǒu ma?(Kāiwánxiào la!)</v>
      </c>
    </row>
    <row r="37" spans="1:5" ht="14.25" customHeight="1">
      <c r="A37" s="3" t="s">
        <v>1423</v>
      </c>
      <c r="B37" s="3" t="s">
        <v>1424</v>
      </c>
      <c r="C37" s="4"/>
      <c r="D37" s="4"/>
      <c r="E37" s="8" t="str">
        <f ca="1">IFERROR(__xludf.DUMMYFUNCTION("""COMPUTED_VALUE"""),"Wǒ hái xiǎo.")</f>
        <v>Wǒ hái xiǎo.</v>
      </c>
    </row>
    <row r="38" spans="1:5" ht="14.25" customHeight="1">
      <c r="A38" s="3" t="s">
        <v>1425</v>
      </c>
      <c r="B38" s="3" t="s">
        <v>1426</v>
      </c>
      <c r="C38" s="4"/>
      <c r="D38" s="4" t="s">
        <v>1427</v>
      </c>
      <c r="E38" s="5" t="str">
        <f ca="1">IFERROR(__xludf.DUMMYFUNCTION("""COMPUTED_VALUE"""),"Nǐ duì wǒ zhēn hǎo.")</f>
        <v>Nǐ duì wǒ zhēn hǎo.</v>
      </c>
    </row>
    <row r="39" spans="1:5" ht="14.25" customHeight="1">
      <c r="A39" s="3" t="s">
        <v>1428</v>
      </c>
      <c r="B39" s="3" t="s">
        <v>1429</v>
      </c>
      <c r="C39" s="4"/>
      <c r="D39" s="4"/>
      <c r="E39" s="6" t="str">
        <f ca="1">IFERROR(__xludf.DUMMYFUNCTION("""COMPUTED_VALUE"""),"Qǐng xiàng duìdài qīnshēng háizǐ yīyàng duìdài wǒ.")</f>
        <v>Qǐng xiàng duìdài qīnshēng háizǐ yīyàng duìdài wǒ.</v>
      </c>
    </row>
    <row r="40" spans="1:5" ht="14.25" customHeight="1">
      <c r="A40" s="3" t="s">
        <v>1430</v>
      </c>
      <c r="B40" s="3" t="s">
        <v>102</v>
      </c>
      <c r="C40" s="4"/>
      <c r="D40" s="4" t="s">
        <v>1431</v>
      </c>
      <c r="E40" s="6" t="str">
        <f ca="1">IFERROR(__xludf.DUMMYFUNCTION("""COMPUTED_VALUE"""),"Wǒ hěn kāixīn.")</f>
        <v>Wǒ hěn kāixīn.</v>
      </c>
    </row>
    <row r="41" spans="1:5" ht="14.25" customHeight="1">
      <c r="A41" s="3" t="s">
        <v>1432</v>
      </c>
      <c r="B41" s="3" t="s">
        <v>1433</v>
      </c>
      <c r="C41" s="4"/>
      <c r="D41" s="4"/>
      <c r="E41" s="5" t="str">
        <f ca="1">IFERROR(__xludf.DUMMYFUNCTION("""COMPUTED_VALUE"""),"Xièxiè nǐ zhàogù wǒ.")</f>
        <v>Xièxiè nǐ zhàogù wǒ.</v>
      </c>
    </row>
    <row r="42" spans="1:5" ht="14.25" customHeight="1">
      <c r="A42" s="3" t="s">
        <v>1434</v>
      </c>
      <c r="B42" s="3" t="s">
        <v>1435</v>
      </c>
      <c r="C42" s="4"/>
      <c r="D42" s="4" t="s">
        <v>1436</v>
      </c>
      <c r="E42" s="4" t="str">
        <f ca="1">IFERROR(__xludf.DUMMYFUNCTION("""COMPUTED_VALUE"""),"Nǐ jiā yǒu gǒu ma?")</f>
        <v>Nǐ jiā yǒu gǒu ma?</v>
      </c>
    </row>
    <row r="43" spans="1:5" ht="14.25" customHeight="1">
      <c r="A43" s="3" t="s">
        <v>1437</v>
      </c>
      <c r="B43" s="3" t="s">
        <v>1438</v>
      </c>
      <c r="C43" s="4"/>
      <c r="D43" s="4"/>
      <c r="E43" s="5" t="str">
        <f ca="1">IFERROR(__xludf.DUMMYFUNCTION("""COMPUTED_VALUE"""),"Gǒu gǒu yěshì wǒmen jiā de yī fènzǐ.")</f>
        <v>Gǒu gǒu yěshì wǒmen jiā de yī fènzǐ.</v>
      </c>
    </row>
    <row r="44" spans="1:5" ht="14.25" customHeight="1">
      <c r="A44" s="3" t="s">
        <v>1439</v>
      </c>
      <c r="B44" s="3" t="s">
        <v>1440</v>
      </c>
      <c r="C44" s="4"/>
      <c r="D44" s="4" t="s">
        <v>1441</v>
      </c>
      <c r="E44" s="4" t="str">
        <f ca="1">IFERROR(__xludf.DUMMYFUNCTION("""COMPUTED_VALUE"""),"Wǒ hé mèimei yīqǐ shuì.")</f>
        <v>Wǒ hé mèimei yīqǐ shuì.</v>
      </c>
    </row>
    <row r="45" spans="1:5" ht="14.25" customHeight="1">
      <c r="A45" s="3" t="s">
        <v>1442</v>
      </c>
      <c r="B45" s="3" t="s">
        <v>1443</v>
      </c>
      <c r="C45" s="4"/>
      <c r="D45" s="4"/>
      <c r="E45" s="5" t="str">
        <f ca="1">IFERROR(__xludf.DUMMYFUNCTION("""COMPUTED_VALUE"""),"Bàba jiào wǒ tī zúqiú.")</f>
        <v>Bàba jiào wǒ tī zúqiú.</v>
      </c>
    </row>
    <row r="46" spans="1:5" ht="14.25" customHeight="1">
      <c r="A46" s="3" t="s">
        <v>1444</v>
      </c>
      <c r="B46" s="3" t="s">
        <v>1445</v>
      </c>
      <c r="C46" s="4"/>
      <c r="D46" s="4" t="s">
        <v>1446</v>
      </c>
      <c r="E46" s="4" t="str">
        <f ca="1">IFERROR(__xludf.DUMMYFUNCTION("""COMPUTED_VALUE"""),"Māmā jiào wǒ zuò fàn.")</f>
        <v>Māmā jiào wǒ zuò fàn.</v>
      </c>
    </row>
    <row r="47" spans="1:5" ht="14.25" customHeight="1">
      <c r="A47" s="3" t="s">
        <v>1447</v>
      </c>
      <c r="B47" s="3" t="s">
        <v>1448</v>
      </c>
      <c r="C47" s="4"/>
      <c r="D47" s="4"/>
      <c r="E47" s="4" t="str">
        <f ca="1">IFERROR(__xludf.DUMMYFUNCTION("""COMPUTED_VALUE"""),"Wǒ fēicháng ài jiālǐ de měi yīgè rén.")</f>
        <v>Wǒ fēicháng ài jiālǐ de měi yīgè rén.</v>
      </c>
    </row>
    <row r="48" spans="1:5" ht="14.25" customHeight="1">
      <c r="A48" s="3" t="s">
        <v>1449</v>
      </c>
      <c r="B48" s="3" t="s">
        <v>1450</v>
      </c>
      <c r="C48" s="4"/>
      <c r="D48" s="4" t="s">
        <v>1451</v>
      </c>
      <c r="E48" s="4" t="str">
        <f ca="1">IFERROR(__xludf.DUMMYFUNCTION("""COMPUTED_VALUE"""),"Bùyào chǎojià.")</f>
        <v>Bùyào chǎojià.</v>
      </c>
    </row>
    <row r="49" spans="1:5" ht="14.25" customHeight="1">
      <c r="A49" s="3" t="s">
        <v>1452</v>
      </c>
      <c r="B49" s="3" t="s">
        <v>1453</v>
      </c>
      <c r="C49" s="4"/>
      <c r="D49" s="4"/>
      <c r="E49" s="5" t="str">
        <f ca="1">IFERROR(__xludf.DUMMYFUNCTION("""COMPUTED_VALUE"""),"Hùxiāng bāngzhù.")</f>
        <v>Hùxiāng bāngzhù.</v>
      </c>
    </row>
    <row r="50" spans="1:5" ht="14.25" customHeight="1">
      <c r="A50" s="3" t="s">
        <v>1454</v>
      </c>
      <c r="B50" s="3" t="s">
        <v>1455</v>
      </c>
      <c r="C50" s="4"/>
      <c r="D50" s="4" t="s">
        <v>1456</v>
      </c>
      <c r="E50" s="6" t="str">
        <f ca="1">IFERROR(__xludf.DUMMYFUNCTION("""COMPUTED_VALUE"""),"Wǒ wèi wǒ de jiārén gǎndào jiāo'ào. ")</f>
        <v xml:space="preserve">Wǒ wèi wǒ de jiārén gǎndào jiāo'ào. </v>
      </c>
    </row>
    <row r="51" spans="1:5" ht="14.25" customHeight="1">
      <c r="A51" s="3" t="s">
        <v>1457</v>
      </c>
      <c r="B51" s="3" t="s">
        <v>1458</v>
      </c>
      <c r="C51" s="4"/>
      <c r="D51" s="4"/>
      <c r="E51" s="6" t="str">
        <f ca="1">IFERROR(__xludf.DUMMYFUNCTION("""COMPUTED_VALUE"""),"Gèwèi wǎn'ān.")</f>
        <v>Gèwèi wǎn'ān.</v>
      </c>
    </row>
    <row r="52" spans="1:5" ht="14.25" customHeight="1">
      <c r="A52" s="4"/>
      <c r="B52" s="4"/>
      <c r="C52" s="4"/>
      <c r="D52" s="4" t="s">
        <v>1459</v>
      </c>
    </row>
    <row r="53" spans="1:5" ht="14.25" customHeight="1">
      <c r="A53" s="4"/>
      <c r="B53" s="4"/>
      <c r="C53" s="4"/>
      <c r="D53" s="4"/>
      <c r="E53" s="5"/>
    </row>
    <row r="54" spans="1:5" ht="14.25" customHeight="1">
      <c r="A54" s="4"/>
      <c r="B54" s="4"/>
      <c r="C54" s="4"/>
      <c r="D54" s="4" t="s">
        <v>1460</v>
      </c>
      <c r="E54" s="5"/>
    </row>
    <row r="55" spans="1:5" ht="14.25" customHeight="1">
      <c r="A55" s="4"/>
      <c r="B55" s="4"/>
      <c r="C55" s="4"/>
      <c r="D55" s="4"/>
      <c r="E55" s="5"/>
    </row>
    <row r="56" spans="1:5" ht="14.25" customHeight="1">
      <c r="A56" s="4"/>
      <c r="B56" s="4"/>
      <c r="C56" s="4"/>
      <c r="D56" s="4" t="s">
        <v>1461</v>
      </c>
      <c r="E56" s="5"/>
    </row>
    <row r="57" spans="1:5" ht="14.25" customHeight="1">
      <c r="A57" s="4"/>
      <c r="B57" s="4"/>
      <c r="C57" s="4"/>
      <c r="D57" s="4"/>
      <c r="E57" s="5"/>
    </row>
    <row r="58" spans="1:5" ht="14.25" customHeight="1">
      <c r="A58" s="4"/>
      <c r="B58" s="4"/>
      <c r="C58" s="4"/>
      <c r="D58" s="4" t="s">
        <v>1462</v>
      </c>
      <c r="E58" s="5"/>
    </row>
    <row r="59" spans="1:5" ht="14.25" customHeight="1">
      <c r="A59" s="4"/>
      <c r="B59" s="4"/>
      <c r="C59" s="4"/>
      <c r="D59" s="4"/>
    </row>
    <row r="60" spans="1:5" ht="14.25" customHeight="1">
      <c r="A60" s="4"/>
      <c r="B60" s="4"/>
      <c r="C60" s="4"/>
      <c r="D60" s="4" t="s">
        <v>1463</v>
      </c>
      <c r="E60" s="5"/>
    </row>
    <row r="61" spans="1:5" ht="14.25" customHeight="1">
      <c r="A61" s="4"/>
      <c r="B61" s="4"/>
      <c r="C61" s="4"/>
      <c r="D61" s="4"/>
      <c r="E61" s="5"/>
    </row>
    <row r="62" spans="1:5" ht="14.25" customHeight="1">
      <c r="A62" s="4"/>
      <c r="B62" s="4"/>
      <c r="C62" s="4"/>
      <c r="D62" s="4" t="s">
        <v>1464</v>
      </c>
      <c r="E62" s="5"/>
    </row>
    <row r="63" spans="1:5" ht="14.25" customHeight="1">
      <c r="A63" s="4"/>
      <c r="B63" s="4"/>
      <c r="C63" s="4"/>
      <c r="D63" s="4"/>
      <c r="E63" s="5"/>
    </row>
    <row r="64" spans="1:5" ht="14.25" customHeight="1">
      <c r="A64" s="4"/>
      <c r="B64" s="4"/>
      <c r="C64" s="4"/>
      <c r="D64" s="4" t="s">
        <v>1465</v>
      </c>
      <c r="E64" s="5"/>
    </row>
    <row r="65" spans="1:5" ht="14.25" customHeight="1">
      <c r="A65" s="4"/>
      <c r="B65" s="4"/>
      <c r="C65" s="4"/>
      <c r="D65" s="4"/>
      <c r="E65" s="5"/>
    </row>
    <row r="66" spans="1:5" ht="14.25" customHeight="1">
      <c r="A66" s="4"/>
      <c r="B66" s="4"/>
      <c r="C66" s="4"/>
      <c r="D66" s="4" t="s">
        <v>1466</v>
      </c>
      <c r="E66" s="5"/>
    </row>
    <row r="67" spans="1:5" ht="14.25" customHeight="1">
      <c r="A67" s="4"/>
      <c r="B67" s="4"/>
      <c r="C67" s="4"/>
      <c r="D67" s="4"/>
      <c r="E67" s="5"/>
    </row>
    <row r="68" spans="1:5" ht="14.25" customHeight="1">
      <c r="A68" s="4"/>
      <c r="B68" s="4"/>
      <c r="C68" s="4"/>
      <c r="D68" s="4" t="s">
        <v>1467</v>
      </c>
      <c r="E68" s="5"/>
    </row>
    <row r="69" spans="1:5" ht="14.25" customHeight="1">
      <c r="A69" s="4"/>
      <c r="B69" s="4"/>
      <c r="C69" s="4"/>
      <c r="D69" s="4"/>
      <c r="E69" s="5"/>
    </row>
    <row r="70" spans="1:5" ht="14.25" customHeight="1">
      <c r="A70" s="4"/>
      <c r="B70" s="4"/>
      <c r="C70" s="4"/>
      <c r="D70" s="4" t="s">
        <v>1468</v>
      </c>
      <c r="E70" s="5"/>
    </row>
    <row r="71" spans="1:5" ht="14.25" customHeight="1">
      <c r="A71" s="4"/>
      <c r="B71" s="4"/>
      <c r="C71" s="4"/>
      <c r="D71" s="4"/>
      <c r="E71" s="5"/>
    </row>
    <row r="72" spans="1:5" ht="14.25" customHeight="1">
      <c r="A72" s="4"/>
      <c r="B72" s="4"/>
      <c r="C72" s="4"/>
      <c r="D72" s="4" t="s">
        <v>1469</v>
      </c>
      <c r="E72" s="5"/>
    </row>
    <row r="73" spans="1:5" ht="14.25" customHeight="1">
      <c r="A73" s="4"/>
      <c r="B73" s="4"/>
      <c r="C73" s="4"/>
      <c r="D73" s="4"/>
      <c r="E73" s="5"/>
    </row>
    <row r="74" spans="1:5" ht="14.25" customHeight="1">
      <c r="A74" s="4"/>
      <c r="B74" s="4"/>
      <c r="C74" s="4"/>
      <c r="D74" s="4" t="s">
        <v>1470</v>
      </c>
      <c r="E74" s="5"/>
    </row>
    <row r="75" spans="1:5" ht="14.25" customHeight="1">
      <c r="A75" s="4"/>
      <c r="B75" s="4"/>
      <c r="C75" s="4"/>
      <c r="D75" s="4"/>
      <c r="E75" s="5"/>
    </row>
    <row r="76" spans="1:5" ht="14.25" customHeight="1">
      <c r="A76" s="4"/>
      <c r="B76" s="4"/>
      <c r="C76" s="4"/>
      <c r="D76" s="4" t="s">
        <v>1471</v>
      </c>
      <c r="E76" s="5"/>
    </row>
    <row r="77" spans="1:5" ht="14.25" customHeight="1">
      <c r="A77" s="4"/>
      <c r="B77" s="4"/>
      <c r="C77" s="4"/>
      <c r="D77" s="4"/>
      <c r="E77" s="5"/>
    </row>
    <row r="78" spans="1:5" ht="14.25" customHeight="1">
      <c r="A78" s="4"/>
      <c r="B78" s="4"/>
      <c r="C78" s="4"/>
      <c r="D78" s="4" t="s">
        <v>1472</v>
      </c>
      <c r="E78" s="5"/>
    </row>
    <row r="79" spans="1:5" ht="14.25" customHeight="1">
      <c r="A79" s="4"/>
      <c r="B79" s="4"/>
      <c r="C79" s="4"/>
      <c r="D79" s="4"/>
      <c r="E79" s="5"/>
    </row>
    <row r="80" spans="1:5" ht="14.25" customHeight="1">
      <c r="A80" s="4"/>
      <c r="B80" s="4"/>
      <c r="C80" s="4"/>
      <c r="D80" s="4" t="s">
        <v>1473</v>
      </c>
      <c r="E80" s="5"/>
    </row>
    <row r="81" spans="1:5" ht="14.25" customHeight="1">
      <c r="A81" s="4"/>
      <c r="B81" s="4"/>
      <c r="C81" s="4"/>
      <c r="D81" s="4"/>
      <c r="E81" s="5"/>
    </row>
    <row r="82" spans="1:5" ht="14.25" customHeight="1">
      <c r="A82" s="4"/>
      <c r="B82" s="4"/>
      <c r="C82" s="4"/>
      <c r="D82" s="4" t="s">
        <v>1474</v>
      </c>
      <c r="E82" s="5"/>
    </row>
    <row r="83" spans="1:5" ht="14.25" customHeight="1">
      <c r="A83" s="4"/>
      <c r="B83" s="4"/>
      <c r="C83" s="4"/>
      <c r="D83" s="4"/>
      <c r="E83" s="5"/>
    </row>
    <row r="84" spans="1:5" ht="14.25" customHeight="1">
      <c r="A84" s="4"/>
      <c r="B84" s="4"/>
      <c r="C84" s="4"/>
      <c r="D84" s="4" t="s">
        <v>1475</v>
      </c>
      <c r="E84" s="5"/>
    </row>
    <row r="85" spans="1:5" ht="14.25" customHeight="1">
      <c r="A85" s="4"/>
      <c r="B85" s="4"/>
      <c r="C85" s="4"/>
      <c r="D85" s="4"/>
      <c r="E85" s="5"/>
    </row>
    <row r="86" spans="1:5" ht="14.25" customHeight="1">
      <c r="A86" s="4"/>
      <c r="B86" s="4"/>
      <c r="C86" s="4"/>
      <c r="D86" s="4" t="s">
        <v>1476</v>
      </c>
      <c r="E86" s="5"/>
    </row>
    <row r="87" spans="1:5" ht="14.25" customHeight="1">
      <c r="A87" s="4"/>
      <c r="B87" s="4"/>
      <c r="C87" s="4"/>
      <c r="D87" s="4"/>
      <c r="E87" s="5"/>
    </row>
    <row r="88" spans="1:5" ht="14.25" customHeight="1">
      <c r="A88" s="4"/>
      <c r="B88" s="4"/>
      <c r="C88" s="4"/>
      <c r="D88" s="4" t="s">
        <v>1477</v>
      </c>
      <c r="E88" s="5"/>
    </row>
    <row r="89" spans="1:5" ht="14.25" customHeight="1">
      <c r="A89" s="4"/>
      <c r="B89" s="4"/>
      <c r="C89" s="4"/>
      <c r="D89" s="4"/>
      <c r="E89" s="5"/>
    </row>
    <row r="90" spans="1:5" ht="14.25" customHeight="1">
      <c r="A90" s="4"/>
      <c r="B90" s="4"/>
      <c r="C90" s="4"/>
      <c r="D90" s="4" t="s">
        <v>1478</v>
      </c>
      <c r="E90" s="5"/>
    </row>
    <row r="91" spans="1:5" ht="14.25" customHeight="1">
      <c r="A91" s="4"/>
      <c r="B91" s="4"/>
      <c r="C91" s="4"/>
      <c r="D91" s="4"/>
      <c r="E91" s="5"/>
    </row>
    <row r="92" spans="1:5" ht="14.25" customHeight="1">
      <c r="A92" s="4"/>
      <c r="B92" s="4"/>
      <c r="C92" s="4"/>
      <c r="D92" s="4" t="s">
        <v>1479</v>
      </c>
      <c r="E92" s="5"/>
    </row>
    <row r="93" spans="1:5" ht="14.25" customHeight="1">
      <c r="A93" s="4"/>
      <c r="B93" s="4"/>
      <c r="C93" s="4"/>
      <c r="D93" s="4"/>
      <c r="E93" s="5"/>
    </row>
    <row r="94" spans="1:5" ht="14.25" customHeight="1">
      <c r="A94" s="4"/>
      <c r="B94" s="4"/>
      <c r="C94" s="4"/>
      <c r="D94" s="4" t="s">
        <v>1480</v>
      </c>
      <c r="E94" s="5"/>
    </row>
    <row r="95" spans="1:5" ht="14.25" customHeight="1">
      <c r="A95" s="4"/>
      <c r="B95" s="4"/>
      <c r="C95" s="4"/>
      <c r="D95" s="4"/>
      <c r="E95" s="5"/>
    </row>
    <row r="96" spans="1:5" ht="14.25" customHeight="1">
      <c r="A96" s="4"/>
      <c r="B96" s="4"/>
      <c r="C96" s="4"/>
      <c r="D96" s="4" t="s">
        <v>1481</v>
      </c>
      <c r="E96" s="5"/>
    </row>
    <row r="97" spans="1:5" ht="14.25" customHeight="1">
      <c r="A97" s="4"/>
      <c r="B97" s="4"/>
      <c r="C97" s="4"/>
      <c r="D97" s="4" t="s">
        <v>1482</v>
      </c>
      <c r="E97" s="5"/>
    </row>
    <row r="98" spans="1:5" ht="14.25" customHeight="1">
      <c r="A98" s="4"/>
      <c r="B98" s="4"/>
      <c r="C98" s="4"/>
      <c r="D98" s="4" t="s">
        <v>1483</v>
      </c>
      <c r="E98" s="5"/>
    </row>
    <row r="99" spans="1:5" ht="14.25" customHeight="1">
      <c r="A99" s="4"/>
      <c r="B99" s="4"/>
      <c r="C99" s="4"/>
      <c r="D99" s="4"/>
      <c r="E99" s="5"/>
    </row>
    <row r="100" spans="1:5" ht="14.25" customHeight="1">
      <c r="A100" s="4"/>
      <c r="B100" s="4"/>
      <c r="C100" s="4"/>
      <c r="D100" s="4"/>
      <c r="E100" s="5"/>
    </row>
    <row r="101" spans="1:5" ht="14.25" customHeight="1">
      <c r="A101" s="4"/>
      <c r="B101" s="4"/>
      <c r="C101" s="4"/>
      <c r="D101" s="4"/>
      <c r="E101" s="5"/>
    </row>
    <row r="102" spans="1:5" ht="14.25" customHeight="1">
      <c r="A102" s="4"/>
      <c r="B102" s="4"/>
      <c r="C102" s="4"/>
      <c r="D102" s="4"/>
      <c r="E102" s="5"/>
    </row>
    <row r="103" spans="1:5" ht="14.25" customHeight="1">
      <c r="A103" s="4"/>
      <c r="B103" s="4"/>
      <c r="C103" s="4"/>
      <c r="D103" s="4"/>
      <c r="E103" s="5"/>
    </row>
    <row r="104" spans="1:5" ht="14.25" customHeight="1">
      <c r="A104" s="4"/>
      <c r="B104" s="4"/>
      <c r="C104" s="4"/>
      <c r="D104" s="4"/>
      <c r="E104" s="5"/>
    </row>
    <row r="105" spans="1:5" ht="14.25" customHeight="1">
      <c r="A105" s="4"/>
      <c r="B105" s="4"/>
      <c r="C105" s="4"/>
      <c r="D105" s="4"/>
      <c r="E105" s="5"/>
    </row>
    <row r="106" spans="1:5" ht="14.25" customHeight="1">
      <c r="A106" s="4"/>
      <c r="B106" s="4"/>
      <c r="C106" s="4"/>
      <c r="D106" s="4"/>
      <c r="E106" s="5"/>
    </row>
    <row r="107" spans="1:5" ht="14.25" customHeight="1">
      <c r="A107" s="4"/>
      <c r="B107" s="4"/>
      <c r="C107" s="4"/>
      <c r="D107" s="4"/>
      <c r="E107" s="5"/>
    </row>
    <row r="108" spans="1:5" ht="14.25" customHeight="1">
      <c r="A108" s="4"/>
      <c r="B108" s="4"/>
      <c r="C108" s="4"/>
      <c r="D108" s="4"/>
      <c r="E108" s="5"/>
    </row>
  </sheetData>
  <pageMargins left="0.75" right="0.75" top="1" bottom="1"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52.44140625" customWidth="1"/>
    <col min="5" max="5" width="56.88671875" customWidth="1"/>
  </cols>
  <sheetData>
    <row r="1" spans="1:5" ht="14.25" customHeight="1">
      <c r="A1" s="40" t="s">
        <v>1484</v>
      </c>
      <c r="B1" s="38"/>
      <c r="C1" s="39"/>
      <c r="D1" s="39"/>
      <c r="E1" s="2"/>
    </row>
    <row r="2" spans="1:5" ht="14.25" customHeight="1">
      <c r="A2" s="3" t="s">
        <v>1485</v>
      </c>
      <c r="B2" s="3" t="s">
        <v>1486</v>
      </c>
      <c r="C2" s="4"/>
      <c r="D2" s="4" t="s">
        <v>1487</v>
      </c>
      <c r="E2" s="5" t="str">
        <f ca="1">IFERROR(__xludf.DUMMYFUNCTION("FILTER(D1:D1002,D1:D1002&lt;&gt; """")"),"Jiùmìng!")</f>
        <v>Jiùmìng!</v>
      </c>
    </row>
    <row r="3" spans="1:5" ht="14.25" customHeight="1">
      <c r="A3" s="3" t="s">
        <v>1488</v>
      </c>
      <c r="B3" s="3" t="s">
        <v>1489</v>
      </c>
      <c r="C3" s="4"/>
      <c r="D3" s="4"/>
      <c r="E3" s="6" t="str">
        <f ca="1">IFERROR(__xludf.DUMMYFUNCTION("""COMPUTED_VALUE"""),"Yǒurén ma? Qǐng bāng bāng wǒ!")</f>
        <v>Yǒurén ma? Qǐng bāng bāng wǒ!</v>
      </c>
    </row>
    <row r="4" spans="1:5" ht="14.25" customHeight="1">
      <c r="A4" s="3" t="s">
        <v>325</v>
      </c>
      <c r="B4" s="3" t="s">
        <v>326</v>
      </c>
      <c r="C4" s="4"/>
      <c r="D4" s="4" t="s">
        <v>1490</v>
      </c>
      <c r="E4" s="5" t="str">
        <f ca="1">IFERROR(__xludf.DUMMYFUNCTION("""COMPUTED_VALUE"""),"Wǒ mílùle.")</f>
        <v>Wǒ mílùle.</v>
      </c>
    </row>
    <row r="5" spans="1:5" ht="14.25" customHeight="1">
      <c r="A5" s="3" t="s">
        <v>1491</v>
      </c>
      <c r="B5" s="3" t="s">
        <v>1492</v>
      </c>
      <c r="C5" s="4"/>
      <c r="D5" s="4"/>
      <c r="E5" s="5" t="str">
        <f ca="1">IFERROR(__xludf.DUMMYFUNCTION("""COMPUTED_VALUE"""),"Wǒ bù zhīdào huí jiā de lù.")</f>
        <v>Wǒ bù zhīdào huí jiā de lù.</v>
      </c>
    </row>
    <row r="6" spans="1:5" ht="14.25" customHeight="1">
      <c r="A6" s="3" t="s">
        <v>1493</v>
      </c>
      <c r="B6" s="3" t="s">
        <v>1494</v>
      </c>
      <c r="C6" s="4"/>
      <c r="D6" s="4" t="s">
        <v>349</v>
      </c>
      <c r="E6" s="5" t="str">
        <f ca="1">IFERROR(__xludf.DUMMYFUNCTION("""COMPUTED_VALUE"""),"Wǒ de qiánbāo diūle.")</f>
        <v>Wǒ de qiánbāo diūle.</v>
      </c>
    </row>
    <row r="7" spans="1:5" ht="14.25" customHeight="1">
      <c r="A7" s="3" t="s">
        <v>1495</v>
      </c>
      <c r="B7" s="3" t="s">
        <v>1496</v>
      </c>
      <c r="C7" s="4"/>
      <c r="D7" s="4"/>
      <c r="E7" s="5" t="str">
        <f ca="1">IFERROR(__xludf.DUMMYFUNCTION("""COMPUTED_VALUE"""),"Wǒ de shǒujī diūle.")</f>
        <v>Wǒ de shǒujī diūle.</v>
      </c>
    </row>
    <row r="8" spans="1:5" ht="14.25" customHeight="1">
      <c r="A8" s="3" t="s">
        <v>1497</v>
      </c>
      <c r="B8" s="3" t="s">
        <v>1498</v>
      </c>
      <c r="C8" s="4"/>
      <c r="D8" s="4" t="s">
        <v>1499</v>
      </c>
      <c r="E8" s="5" t="str">
        <f ca="1">IFERROR(__xludf.DUMMYFUNCTION("""COMPUTED_VALUE"""),"Yǒu xiǎotōu!")</f>
        <v>Yǒu xiǎotōu!</v>
      </c>
    </row>
    <row r="9" spans="1:5" ht="14.25" customHeight="1">
      <c r="A9" s="3" t="s">
        <v>1500</v>
      </c>
      <c r="B9" s="3" t="s">
        <v>1501</v>
      </c>
      <c r="C9" s="4"/>
      <c r="D9" s="4"/>
      <c r="E9" s="5" t="str">
        <f ca="1">IFERROR(__xludf.DUMMYFUNCTION("""COMPUTED_VALUE"""),"Bàojǐng!")</f>
        <v>Bàojǐng!</v>
      </c>
    </row>
    <row r="10" spans="1:5" ht="14.25" customHeight="1">
      <c r="A10" s="3" t="s">
        <v>1502</v>
      </c>
      <c r="B10" s="3" t="s">
        <v>1503</v>
      </c>
      <c r="C10" s="4" t="s">
        <v>1504</v>
      </c>
      <c r="D10" s="4" t="s">
        <v>1505</v>
      </c>
      <c r="E10" s="5" t="str">
        <f ca="1">IFERROR(__xludf.DUMMYFUNCTION("""COMPUTED_VALUE"""),"Jǐngchá jú zài nǎlǐ?")</f>
        <v>Jǐngchá jú zài nǎlǐ?</v>
      </c>
    </row>
    <row r="11" spans="1:5" ht="14.25" customHeight="1">
      <c r="A11" s="3" t="s">
        <v>1506</v>
      </c>
      <c r="B11" s="3" t="s">
        <v>1507</v>
      </c>
      <c r="C11" s="4"/>
      <c r="D11" s="4"/>
      <c r="E11" s="5" t="str">
        <f ca="1">IFERROR(__xludf.DUMMYFUNCTION("""COMPUTED_VALUE"""),"Wǒ hǎo tòng, qǐng bāng bāng wǒ.")</f>
        <v>Wǒ hǎo tòng, qǐng bāng bāng wǒ.</v>
      </c>
    </row>
    <row r="12" spans="1:5" ht="14.25" customHeight="1">
      <c r="A12" s="3" t="s">
        <v>1508</v>
      </c>
      <c r="B12" s="3" t="s">
        <v>1509</v>
      </c>
      <c r="C12" s="4"/>
      <c r="D12" s="4" t="s">
        <v>1510</v>
      </c>
      <c r="E12" s="6" t="str">
        <f ca="1">IFERROR(__xludf.DUMMYFUNCTION("""COMPUTED_VALUE"""),"Chū chēhuòle!")</f>
        <v>Chū chēhuòle!</v>
      </c>
    </row>
    <row r="13" spans="1:5" ht="14.25" customHeight="1">
      <c r="A13" s="3" t="s">
        <v>1511</v>
      </c>
      <c r="B13" s="3" t="s">
        <v>1512</v>
      </c>
      <c r="C13" s="4"/>
      <c r="D13" s="4"/>
      <c r="E13" s="6" t="str">
        <f ca="1">IFERROR(__xludf.DUMMYFUNCTION("""COMPUTED_VALUE"""),"Lìjí jiào jiùhù chē!")</f>
        <v>Lìjí jiào jiùhù chē!</v>
      </c>
    </row>
    <row r="14" spans="1:5" ht="14.25" customHeight="1">
      <c r="A14" s="3" t="s">
        <v>1513</v>
      </c>
      <c r="B14" s="3" t="s">
        <v>1514</v>
      </c>
      <c r="C14" s="4"/>
      <c r="D14" s="4" t="s">
        <v>1515</v>
      </c>
      <c r="E14" s="6" t="str">
        <f ca="1">IFERROR(__xludf.DUMMYFUNCTION("""COMPUTED_VALUE"""),"Wǒ xūyào qù yīyuàn.")</f>
        <v>Wǒ xūyào qù yīyuàn.</v>
      </c>
    </row>
    <row r="15" spans="1:5" ht="14.25" customHeight="1">
      <c r="A15" s="3" t="s">
        <v>1516</v>
      </c>
      <c r="B15" s="3" t="s">
        <v>1517</v>
      </c>
      <c r="C15" s="4" t="s">
        <v>1518</v>
      </c>
      <c r="D15" s="4"/>
      <c r="E15" s="6" t="str">
        <f ca="1">IFERROR(__xludf.DUMMYFUNCTION("""COMPUTED_VALUE"""),"Wǒ cóng zìxíngchē shàng shuāi xiàláile.")</f>
        <v>Wǒ cóng zìxíngchē shàng shuāi xiàláile.</v>
      </c>
    </row>
    <row r="16" spans="1:5" ht="14.25" customHeight="1">
      <c r="A16" s="3" t="s">
        <v>1519</v>
      </c>
      <c r="B16" s="3" t="s">
        <v>1520</v>
      </c>
      <c r="C16" s="4"/>
      <c r="D16" s="4" t="s">
        <v>1521</v>
      </c>
      <c r="E16" s="6" t="str">
        <f ca="1">IFERROR(__xludf.DUMMYFUNCTION("""COMPUTED_VALUE"""),"Wǒ liúxuèle.")</f>
        <v>Wǒ liúxuèle.</v>
      </c>
    </row>
    <row r="17" spans="1:5" ht="14.25" customHeight="1">
      <c r="A17" s="3" t="s">
        <v>1522</v>
      </c>
      <c r="B17" s="3" t="s">
        <v>1523</v>
      </c>
      <c r="C17" s="4"/>
      <c r="D17" s="4"/>
      <c r="E17" s="6" t="str">
        <f ca="1">IFERROR(__xludf.DUMMYFUNCTION("""COMPUTED_VALUE"""),"Bié pèng wǒ!")</f>
        <v>Bié pèng wǒ!</v>
      </c>
    </row>
    <row r="18" spans="1:5" ht="14.25" customHeight="1">
      <c r="A18" s="3" t="s">
        <v>1524</v>
      </c>
      <c r="B18" s="3" t="s">
        <v>1525</v>
      </c>
      <c r="C18" s="4"/>
      <c r="D18" s="4" t="s">
        <v>1526</v>
      </c>
      <c r="E18" s="5" t="str">
        <f ca="1">IFERROR(__xludf.DUMMYFUNCTION("""COMPUTED_VALUE"""),"Lí wǒ yuǎn diǎn!")</f>
        <v>Lí wǒ yuǎn diǎn!</v>
      </c>
    </row>
    <row r="19" spans="1:5" ht="14.25" customHeight="1">
      <c r="A19" s="3" t="s">
        <v>1527</v>
      </c>
      <c r="B19" s="3" t="s">
        <v>1528</v>
      </c>
      <c r="C19" s="4"/>
      <c r="D19" s="4"/>
      <c r="E19" s="4" t="str">
        <f ca="1">IFERROR(__xludf.DUMMYFUNCTION("""COMPUTED_VALUE"""),"Wǒ xiǎng gěi fùmǔ dǎ diànhuà.")</f>
        <v>Wǒ xiǎng gěi fùmǔ dǎ diànhuà.</v>
      </c>
    </row>
    <row r="20" spans="1:5" ht="14.25" customHeight="1">
      <c r="A20" s="3" t="s">
        <v>1529</v>
      </c>
      <c r="B20" s="3" t="s">
        <v>1530</v>
      </c>
      <c r="C20" s="4"/>
      <c r="D20" s="4" t="s">
        <v>1531</v>
      </c>
      <c r="E20" s="5" t="str">
        <f ca="1">IFERROR(__xludf.DUMMYFUNCTION("""COMPUTED_VALUE"""),"Zhè shì wǒ bàba de diànhuà hàomǎ.")</f>
        <v>Zhè shì wǒ bàba de diànhuà hàomǎ.</v>
      </c>
    </row>
    <row r="21" spans="1:5" ht="14.25" customHeight="1">
      <c r="A21" s="3" t="s">
        <v>1532</v>
      </c>
      <c r="B21" s="3" t="s">
        <v>1533</v>
      </c>
      <c r="C21" s="4"/>
      <c r="D21" s="4"/>
      <c r="E21" s="6" t="str">
        <f ca="1">IFERROR(__xludf.DUMMYFUNCTION("""COMPUTED_VALUE"""),"Qǐng bāng wǒ bōdǎ zhège hàomǎ.")</f>
        <v>Qǐng bāng wǒ bōdǎ zhège hàomǎ.</v>
      </c>
    </row>
    <row r="22" spans="1:5" ht="14.25" customHeight="1">
      <c r="A22" s="3" t="s">
        <v>1534</v>
      </c>
      <c r="B22" s="3" t="s">
        <v>1535</v>
      </c>
      <c r="C22" s="4"/>
      <c r="D22" s="4" t="s">
        <v>1536</v>
      </c>
      <c r="E22" s="6" t="str">
        <f ca="1">IFERROR(__xludf.DUMMYFUNCTION("""COMPUTED_VALUE"""),"Wǒ de zìxíngchē zài lù zhōngjiān pāomáole.")</f>
        <v>Wǒ de zìxíngchē zài lù zhōngjiān pāomáole.</v>
      </c>
    </row>
    <row r="23" spans="1:5" ht="14.25" customHeight="1">
      <c r="A23" s="3" t="s">
        <v>1537</v>
      </c>
      <c r="B23" s="3" t="s">
        <v>1538</v>
      </c>
      <c r="C23" s="4"/>
      <c r="D23" s="4"/>
      <c r="E23" s="6" t="str">
        <f ca="1">IFERROR(__xludf.DUMMYFUNCTION("""COMPUTED_VALUE"""),"Yǒurén huì xiū zìxíngchē ma?")</f>
        <v>Yǒurén huì xiū zìxíngchē ma?</v>
      </c>
    </row>
    <row r="24" spans="1:5" ht="14.25" customHeight="1">
      <c r="A24" s="3" t="s">
        <v>1539</v>
      </c>
      <c r="B24" s="3" t="s">
        <v>1540</v>
      </c>
      <c r="C24" s="4"/>
      <c r="D24" s="4" t="s">
        <v>1541</v>
      </c>
      <c r="E24" s="6" t="str">
        <f ca="1">IFERROR(__xludf.DUMMYFUNCTION("""COMPUTED_VALUE"""),"Wǒ de chē méi yóule.")</f>
        <v>Wǒ de chē méi yóule.</v>
      </c>
    </row>
    <row r="25" spans="1:5" ht="14.25" customHeight="1">
      <c r="A25" s="3" t="s">
        <v>1542</v>
      </c>
      <c r="B25" s="3" t="s">
        <v>1543</v>
      </c>
      <c r="C25" s="4"/>
      <c r="D25" s="4"/>
      <c r="E25" s="6" t="str">
        <f ca="1">IFERROR(__xludf.DUMMYFUNCTION("""COMPUTED_VALUE"""),"Zuìjìn de jiāyóu zhàn zài nǎlǐ?")</f>
        <v>Zuìjìn de jiāyóu zhàn zài nǎlǐ?</v>
      </c>
    </row>
    <row r="26" spans="1:5" ht="14.25" customHeight="1">
      <c r="A26" s="3" t="s">
        <v>1544</v>
      </c>
      <c r="B26" s="3" t="s">
        <v>1545</v>
      </c>
      <c r="C26" s="4"/>
      <c r="D26" s="4" t="s">
        <v>1546</v>
      </c>
      <c r="E26" s="6" t="str">
        <f ca="1">IFERROR(__xludf.DUMMYFUNCTION("""COMPUTED_VALUE"""),"Wǒ de hùzhào diūle.")</f>
        <v>Wǒ de hùzhào diūle.</v>
      </c>
    </row>
    <row r="27" spans="1:5" ht="14.25" customHeight="1">
      <c r="A27" s="3" t="s">
        <v>1547</v>
      </c>
      <c r="B27" s="3" t="s">
        <v>1548</v>
      </c>
      <c r="C27" s="4"/>
      <c r="D27" s="4"/>
      <c r="E27" s="6" t="str">
        <f ca="1">IFERROR(__xludf.DUMMYFUNCTION("""COMPUTED_VALUE"""),"Yuènán dàshǐ guǎn zài nǎlǐ?")</f>
        <v>Yuènán dàshǐ guǎn zài nǎlǐ?</v>
      </c>
    </row>
    <row r="28" spans="1:5" ht="14.25" customHeight="1">
      <c r="A28" s="3" t="s">
        <v>1549</v>
      </c>
      <c r="B28" s="3" t="s">
        <v>1550</v>
      </c>
      <c r="C28" s="4"/>
      <c r="D28" s="4" t="s">
        <v>1551</v>
      </c>
      <c r="E28" s="6" t="str">
        <f ca="1">IFERROR(__xludf.DUMMYFUNCTION("""COMPUTED_VALUE"""),"Wǒ xūyào chóngxīn bànlǐ zhèngjiàn.")</f>
        <v>Wǒ xūyào chóngxīn bànlǐ zhèngjiàn.</v>
      </c>
    </row>
    <row r="29" spans="1:5" ht="14.25" customHeight="1">
      <c r="A29" s="3" t="s">
        <v>1552</v>
      </c>
      <c r="B29" s="3" t="s">
        <v>1553</v>
      </c>
      <c r="C29" s="4"/>
      <c r="D29" s="4"/>
      <c r="E29" s="37" t="str">
        <f ca="1">IFERROR(__xludf.DUMMYFUNCTION("""COMPUTED_VALUE"""),"Yímín jú zài nǎlǐ?")</f>
        <v>Yímín jú zài nǎlǐ?</v>
      </c>
    </row>
    <row r="30" spans="1:5" ht="14.25" customHeight="1">
      <c r="A30" s="3" t="s">
        <v>1554</v>
      </c>
      <c r="B30" s="3" t="s">
        <v>1555</v>
      </c>
      <c r="C30" s="4"/>
      <c r="D30" s="4" t="s">
        <v>1556</v>
      </c>
      <c r="E30" s="6" t="str">
        <f ca="1">IFERROR(__xludf.DUMMYFUNCTION("""COMPUTED_VALUE""")," Wǒ xūyào xùqiān qiānzhèng.")</f>
        <v xml:space="preserve"> Wǒ xūyào xùqiān qiānzhèng.</v>
      </c>
    </row>
    <row r="31" spans="1:5" ht="14.25" customHeight="1">
      <c r="A31" s="3" t="s">
        <v>1557</v>
      </c>
      <c r="B31" s="3" t="s">
        <v>1558</v>
      </c>
      <c r="C31" s="4"/>
      <c r="D31" s="4"/>
      <c r="E31" s="4" t="str">
        <f ca="1">IFERROR(__xludf.DUMMYFUNCTION("""COMPUTED_VALUE"""),"Fèiyòng shì duōshǎo?")</f>
        <v>Fèiyòng shì duōshǎo?</v>
      </c>
    </row>
    <row r="32" spans="1:5" ht="14.25" customHeight="1">
      <c r="A32" s="3" t="s">
        <v>1559</v>
      </c>
      <c r="B32" s="3" t="s">
        <v>1560</v>
      </c>
      <c r="C32" s="4"/>
      <c r="D32" s="4" t="s">
        <v>1561</v>
      </c>
      <c r="E32" s="4" t="str">
        <f ca="1">IFERROR(__xludf.DUMMYFUNCTION("""COMPUTED_VALUE"""),"Wǒ xūyào děng duōjiǔ?")</f>
        <v>Wǒ xūyào děng duōjiǔ?</v>
      </c>
    </row>
    <row r="33" spans="1:5" ht="14.25" customHeight="1">
      <c r="A33" s="3" t="s">
        <v>1562</v>
      </c>
      <c r="B33" s="3" t="s">
        <v>1563</v>
      </c>
      <c r="C33" s="4"/>
      <c r="D33" s="4"/>
      <c r="E33" s="4" t="str">
        <f ca="1">IFERROR(__xludf.DUMMYFUNCTION("""COMPUTED_VALUE"""),"Zháohuǒle! Fángzǐ zháohuǒle!")</f>
        <v>Zháohuǒle! Fángzǐ zháohuǒle!</v>
      </c>
    </row>
    <row r="34" spans="1:5" ht="14.25" customHeight="1">
      <c r="A34" s="3" t="s">
        <v>1564</v>
      </c>
      <c r="B34" s="3" t="s">
        <v>1565</v>
      </c>
      <c r="C34" s="4"/>
      <c r="D34" s="4" t="s">
        <v>1566</v>
      </c>
      <c r="E34" s="4" t="str">
        <f ca="1">IFERROR(__xludf.DUMMYFUNCTION("""COMPUTED_VALUE"""),"Kuài pǎo!")</f>
        <v>Kuài pǎo!</v>
      </c>
    </row>
    <row r="35" spans="1:5" ht="14.25" customHeight="1">
      <c r="A35" s="3" t="s">
        <v>1567</v>
      </c>
      <c r="B35" s="3" t="s">
        <v>1568</v>
      </c>
      <c r="C35" s="4"/>
      <c r="D35" s="4"/>
      <c r="E35" s="8" t="str">
        <f ca="1">IFERROR(__xludf.DUMMYFUNCTION("""COMPUTED_VALUE"""),"Shénme dōu bié ná, kuài pǎo!")</f>
        <v>Shénme dōu bié ná, kuài pǎo!</v>
      </c>
    </row>
    <row r="36" spans="1:5" ht="14.25" customHeight="1">
      <c r="A36" s="3" t="s">
        <v>1569</v>
      </c>
      <c r="B36" s="3" t="s">
        <v>1570</v>
      </c>
      <c r="C36" s="4"/>
      <c r="D36" s="4" t="s">
        <v>1571</v>
      </c>
      <c r="E36" s="5" t="str">
        <f ca="1">IFERROR(__xludf.DUMMYFUNCTION("""COMPUTED_VALUE"""),"Wǒ hǎo hàipà.")</f>
        <v>Wǒ hǎo hàipà.</v>
      </c>
    </row>
    <row r="37" spans="1:5" ht="14.25" customHeight="1">
      <c r="A37" s="3" t="s">
        <v>1572</v>
      </c>
      <c r="B37" s="3" t="s">
        <v>1573</v>
      </c>
      <c r="C37" s="4"/>
      <c r="D37" s="4"/>
      <c r="E37" s="8" t="str">
        <f ca="1">IFERROR(__xludf.DUMMYFUNCTION("""COMPUTED_VALUE"""),"Bié kū, yīqiè dūhuì hǎo qǐlái de.")</f>
        <v>Bié kū, yīqiè dūhuì hǎo qǐlái de.</v>
      </c>
    </row>
    <row r="38" spans="1:5" ht="14.25" customHeight="1">
      <c r="A38" s="3" t="s">
        <v>1574</v>
      </c>
      <c r="B38" s="3" t="s">
        <v>1575</v>
      </c>
      <c r="C38" s="4"/>
      <c r="D38" s="4" t="s">
        <v>1576</v>
      </c>
      <c r="E38" s="5" t="str">
        <f ca="1">IFERROR(__xludf.DUMMYFUNCTION("""COMPUTED_VALUE"""),"Wǒ duì shíwù guòmǐn, jiùmìng!")</f>
        <v>Wǒ duì shíwù guòmǐn, jiùmìng!</v>
      </c>
    </row>
    <row r="39" spans="1:5" ht="14.25" customHeight="1">
      <c r="A39" s="3" t="s">
        <v>1577</v>
      </c>
      <c r="B39" s="3" t="s">
        <v>1578</v>
      </c>
      <c r="C39" s="4" t="s">
        <v>1579</v>
      </c>
      <c r="D39" s="4"/>
      <c r="E39" s="6" t="str">
        <f ca="1">IFERROR(__xludf.DUMMYFUNCTION("""COMPUTED_VALUE"""),"Wǒ chuǎn bùguò qì lái.")</f>
        <v>Wǒ chuǎn bùguò qì lái.</v>
      </c>
    </row>
    <row r="40" spans="1:5" ht="14.25" customHeight="1">
      <c r="A40" s="3" t="s">
        <v>1580</v>
      </c>
      <c r="B40" s="3" t="s">
        <v>1581</v>
      </c>
      <c r="C40" s="4" t="s">
        <v>1582</v>
      </c>
      <c r="D40" s="4" t="s">
        <v>1583</v>
      </c>
      <c r="E40" s="6" t="str">
        <f ca="1">IFERROR(__xludf.DUMMYFUNCTION("""COMPUTED_VALUE"""),"Wǒ bèi mìfēng zhéle.")</f>
        <v>Wǒ bèi mìfēng zhéle.</v>
      </c>
    </row>
    <row r="41" spans="1:5" ht="14.25" customHeight="1">
      <c r="A41" s="3" t="s">
        <v>1584</v>
      </c>
      <c r="B41" s="3" t="s">
        <v>1585</v>
      </c>
      <c r="C41" s="4"/>
      <c r="D41" s="4"/>
      <c r="E41" s="5" t="str">
        <f ca="1">IFERROR(__xludf.DUMMYFUNCTION("""COMPUTED_VALUE"""),"Yǒu tiáo è quǎn!")</f>
        <v>Yǒu tiáo è quǎn!</v>
      </c>
    </row>
    <row r="42" spans="1:5" ht="14.25" customHeight="1">
      <c r="A42" s="3" t="s">
        <v>1586</v>
      </c>
      <c r="B42" s="3" t="s">
        <v>1587</v>
      </c>
      <c r="C42" s="4"/>
      <c r="D42" s="4" t="s">
        <v>1588</v>
      </c>
      <c r="E42" s="4" t="str">
        <f ca="1">IFERROR(__xludf.DUMMYFUNCTION("""COMPUTED_VALUE"""),"Bié kàojìn tā.")</f>
        <v>Bié kàojìn tā.</v>
      </c>
    </row>
    <row r="43" spans="1:5" ht="14.25" customHeight="1">
      <c r="A43" s="3" t="s">
        <v>1589</v>
      </c>
      <c r="B43" s="3" t="s">
        <v>1590</v>
      </c>
      <c r="C43" s="4"/>
      <c r="D43" s="4"/>
      <c r="E43" s="5" t="str">
        <f ca="1">IFERROR(__xludf.DUMMYFUNCTION("""COMPUTED_VALUE"""),"Wǒ bèi kùn zài diàntī lǐle.")</f>
        <v>Wǒ bèi kùn zài diàntī lǐle.</v>
      </c>
    </row>
    <row r="44" spans="1:5" ht="14.25" customHeight="1">
      <c r="A44" s="3" t="s">
        <v>1591</v>
      </c>
      <c r="B44" s="3" t="s">
        <v>1592</v>
      </c>
      <c r="C44" s="4" t="s">
        <v>1593</v>
      </c>
      <c r="D44" s="4" t="s">
        <v>1594</v>
      </c>
      <c r="E44" s="4" t="str">
        <f ca="1">IFERROR(__xludf.DUMMYFUNCTION("""COMPUTED_VALUE"""),"Àn jǐnjí ànniǔ!")</f>
        <v>Àn jǐnjí ànniǔ!</v>
      </c>
    </row>
    <row r="45" spans="1:5" ht="14.25" customHeight="1">
      <c r="A45" s="3" t="s">
        <v>1595</v>
      </c>
      <c r="B45" s="3" t="s">
        <v>1596</v>
      </c>
      <c r="C45" s="4"/>
      <c r="D45" s="4"/>
      <c r="E45" s="5" t="str">
        <f ca="1">IFERROR(__xludf.DUMMYFUNCTION("""COMPUTED_VALUE"""),"Yǒurén néng tīng dào wǒ shuōhuà ma?")</f>
        <v>Yǒurén néng tīng dào wǒ shuōhuà ma?</v>
      </c>
    </row>
    <row r="46" spans="1:5" ht="14.25" customHeight="1">
      <c r="A46" s="3" t="s">
        <v>1597</v>
      </c>
      <c r="B46" s="3" t="s">
        <v>1598</v>
      </c>
      <c r="C46" s="4"/>
      <c r="D46" s="4" t="s">
        <v>1599</v>
      </c>
      <c r="E46" s="4" t="str">
        <f ca="1">IFERROR(__xludf.DUMMYFUNCTION("""COMPUTED_VALUE"""),"Wǒ de yàoshi diūle.")</f>
        <v>Wǒ de yàoshi diūle.</v>
      </c>
    </row>
    <row r="47" spans="1:5" ht="14.25" customHeight="1">
      <c r="A47" s="3" t="s">
        <v>1600</v>
      </c>
      <c r="B47" s="3" t="s">
        <v>1601</v>
      </c>
      <c r="C47" s="4"/>
      <c r="D47" s="4"/>
      <c r="E47" s="4" t="str">
        <f ca="1">IFERROR(__xludf.DUMMYFUNCTION("""COMPUTED_VALUE"""),"Yǒurén yǒu bèiyòng yàoshi ma?")</f>
        <v>Yǒurén yǒu bèiyòng yàoshi ma?</v>
      </c>
    </row>
    <row r="48" spans="1:5" ht="14.25" customHeight="1">
      <c r="A48" s="3" t="s">
        <v>1602</v>
      </c>
      <c r="B48" s="3" t="s">
        <v>1603</v>
      </c>
      <c r="C48" s="4"/>
      <c r="D48" s="4" t="s">
        <v>1604</v>
      </c>
      <c r="E48" s="4" t="str">
        <f ca="1">IFERROR(__xludf.DUMMYFUNCTION("""COMPUTED_VALUE"""),"Wǒ xūyào nǐ de bāngzhù.")</f>
        <v>Wǒ xūyào nǐ de bāngzhù.</v>
      </c>
    </row>
    <row r="49" spans="1:5" ht="14.25" customHeight="1">
      <c r="A49" s="3" t="s">
        <v>1605</v>
      </c>
      <c r="B49" s="3" t="s">
        <v>1606</v>
      </c>
      <c r="C49" s="4"/>
      <c r="D49" s="4"/>
      <c r="E49" s="5" t="str">
        <f ca="1">IFERROR(__xludf.DUMMYFUNCTION("""COMPUTED_VALUE"""),"Xièxiè nǐ jiùle wǒ!")</f>
        <v>Xièxiè nǐ jiùle wǒ!</v>
      </c>
    </row>
    <row r="50" spans="1:5" ht="14.25" customHeight="1">
      <c r="A50" s="3" t="s">
        <v>1607</v>
      </c>
      <c r="B50" s="3" t="s">
        <v>1608</v>
      </c>
      <c r="C50" s="4"/>
      <c r="D50" s="4" t="s">
        <v>1609</v>
      </c>
      <c r="E50" s="6" t="str">
        <f ca="1">IFERROR(__xludf.DUMMYFUNCTION("""COMPUTED_VALUE"""),"Wǒ yǒngyuǎn bù huì wàngjì zhè fèn shànyì.")</f>
        <v>Wǒ yǒngyuǎn bù huì wàngjì zhè fèn shànyì.</v>
      </c>
    </row>
    <row r="51" spans="1:5" ht="14.25" customHeight="1">
      <c r="A51" s="3" t="s">
        <v>1610</v>
      </c>
      <c r="B51" s="3" t="s">
        <v>1611</v>
      </c>
      <c r="C51" s="4"/>
      <c r="D51" s="4"/>
      <c r="E51" s="6" t="str">
        <f ca="1">IFERROR(__xludf.DUMMYFUNCTION("""COMPUTED_VALUE"""),"Dàjiā dū ānquánle.")</f>
        <v>Dàjiā dū ānquánle.</v>
      </c>
    </row>
    <row r="52" spans="1:5" ht="14.25" customHeight="1">
      <c r="A52" s="4"/>
      <c r="B52" s="4"/>
      <c r="C52" s="4"/>
      <c r="D52" s="4" t="s">
        <v>1612</v>
      </c>
    </row>
    <row r="53" spans="1:5" ht="14.25" customHeight="1">
      <c r="A53" s="4"/>
      <c r="B53" s="4"/>
      <c r="C53" s="4"/>
      <c r="D53" s="4"/>
      <c r="E53" s="5"/>
    </row>
    <row r="54" spans="1:5" ht="14.25" customHeight="1">
      <c r="A54" s="4"/>
      <c r="B54" s="4"/>
      <c r="C54" s="4"/>
      <c r="D54" s="4" t="s">
        <v>1613</v>
      </c>
      <c r="E54" s="5"/>
    </row>
    <row r="55" spans="1:5" ht="14.25" customHeight="1">
      <c r="A55" s="4"/>
      <c r="B55" s="4"/>
      <c r="C55" s="4"/>
      <c r="D55" s="4" t="s">
        <v>1614</v>
      </c>
      <c r="E55" s="5"/>
    </row>
    <row r="56" spans="1:5" ht="14.25" customHeight="1">
      <c r="A56" s="4"/>
      <c r="B56" s="4"/>
      <c r="C56" s="4"/>
      <c r="D56" s="4" t="s">
        <v>1615</v>
      </c>
      <c r="E56" s="5"/>
    </row>
    <row r="57" spans="1:5" ht="14.25" customHeight="1">
      <c r="A57" s="4"/>
      <c r="B57" s="4"/>
      <c r="C57" s="4"/>
      <c r="D57" s="4"/>
      <c r="E57" s="5"/>
    </row>
    <row r="58" spans="1:5" ht="14.25" customHeight="1">
      <c r="A58" s="4"/>
      <c r="B58" s="4"/>
      <c r="C58" s="4"/>
      <c r="D58" s="4" t="s">
        <v>1616</v>
      </c>
      <c r="E58" s="5"/>
    </row>
    <row r="59" spans="1:5" ht="14.25" customHeight="1">
      <c r="A59" s="4"/>
      <c r="B59" s="4"/>
      <c r="C59" s="4"/>
      <c r="D59" s="4"/>
    </row>
    <row r="60" spans="1:5" ht="14.25" customHeight="1">
      <c r="A60" s="4"/>
      <c r="B60" s="4"/>
      <c r="C60" s="4"/>
      <c r="D60" s="4" t="s">
        <v>1617</v>
      </c>
      <c r="E60" s="5"/>
    </row>
    <row r="61" spans="1:5" ht="14.25" customHeight="1">
      <c r="A61" s="4"/>
      <c r="B61" s="4"/>
      <c r="C61" s="4"/>
      <c r="D61" s="4"/>
      <c r="E61" s="5"/>
    </row>
    <row r="62" spans="1:5" ht="14.25" customHeight="1">
      <c r="A62" s="4"/>
      <c r="B62" s="4"/>
      <c r="C62" s="4"/>
      <c r="D62" s="4" t="s">
        <v>1618</v>
      </c>
      <c r="E62" s="5"/>
    </row>
    <row r="63" spans="1:5" ht="14.25" customHeight="1">
      <c r="A63" s="4"/>
      <c r="B63" s="4"/>
      <c r="C63" s="4"/>
      <c r="D63" s="4"/>
      <c r="E63" s="5"/>
    </row>
    <row r="64" spans="1:5" ht="14.25" customHeight="1">
      <c r="A64" s="4"/>
      <c r="B64" s="4"/>
      <c r="C64" s="4"/>
      <c r="D64" s="4" t="s">
        <v>1619</v>
      </c>
      <c r="E64" s="5"/>
    </row>
    <row r="65" spans="1:5" ht="14.25" customHeight="1">
      <c r="A65" s="4"/>
      <c r="B65" s="4"/>
      <c r="C65" s="4"/>
      <c r="D65" s="4"/>
      <c r="E65" s="5"/>
    </row>
    <row r="66" spans="1:5" ht="14.25" customHeight="1">
      <c r="A66" s="4"/>
      <c r="B66" s="4"/>
      <c r="C66" s="4"/>
      <c r="D66" s="4" t="s">
        <v>1620</v>
      </c>
      <c r="E66" s="5"/>
    </row>
    <row r="67" spans="1:5" ht="14.25" customHeight="1">
      <c r="A67" s="4"/>
      <c r="B67" s="4"/>
      <c r="C67" s="4"/>
      <c r="D67" s="4"/>
      <c r="E67" s="5"/>
    </row>
    <row r="68" spans="1:5" ht="14.25" customHeight="1">
      <c r="A68" s="4"/>
      <c r="B68" s="4"/>
      <c r="C68" s="4"/>
      <c r="D68" s="4" t="s">
        <v>1621</v>
      </c>
      <c r="E68" s="5"/>
    </row>
    <row r="69" spans="1:5" ht="14.25" customHeight="1">
      <c r="A69" s="4"/>
      <c r="B69" s="4"/>
      <c r="C69" s="4"/>
      <c r="D69" s="4"/>
      <c r="E69" s="5"/>
    </row>
    <row r="70" spans="1:5" ht="14.25" customHeight="1">
      <c r="A70" s="4"/>
      <c r="B70" s="4"/>
      <c r="C70" s="4"/>
      <c r="D70" s="4" t="s">
        <v>1622</v>
      </c>
      <c r="E70" s="5"/>
    </row>
    <row r="71" spans="1:5" ht="14.25" customHeight="1">
      <c r="A71" s="4"/>
      <c r="B71" s="4"/>
      <c r="C71" s="4"/>
      <c r="D71" s="4"/>
      <c r="E71" s="5"/>
    </row>
    <row r="72" spans="1:5" ht="14.25" customHeight="1">
      <c r="A72" s="4"/>
      <c r="B72" s="4"/>
      <c r="C72" s="4"/>
      <c r="D72" s="4" t="s">
        <v>1623</v>
      </c>
      <c r="E72" s="5"/>
    </row>
    <row r="73" spans="1:5" ht="14.25" customHeight="1">
      <c r="A73" s="4"/>
      <c r="B73" s="4"/>
      <c r="C73" s="4"/>
      <c r="D73" s="4"/>
      <c r="E73" s="5"/>
    </row>
    <row r="74" spans="1:5" ht="14.25" customHeight="1">
      <c r="A74" s="4"/>
      <c r="B74" s="4"/>
      <c r="C74" s="4"/>
      <c r="D74" s="4" t="s">
        <v>1624</v>
      </c>
      <c r="E74" s="5"/>
    </row>
    <row r="75" spans="1:5" ht="14.25" customHeight="1">
      <c r="A75" s="4"/>
      <c r="B75" s="4"/>
      <c r="C75" s="4"/>
      <c r="D75" s="4"/>
      <c r="E75" s="5"/>
    </row>
    <row r="76" spans="1:5" ht="14.25" customHeight="1">
      <c r="A76" s="4"/>
      <c r="B76" s="4"/>
      <c r="C76" s="4"/>
      <c r="D76" s="4" t="s">
        <v>1625</v>
      </c>
      <c r="E76" s="5"/>
    </row>
    <row r="77" spans="1:5" ht="14.25" customHeight="1">
      <c r="A77" s="4"/>
      <c r="B77" s="4"/>
      <c r="C77" s="4"/>
      <c r="D77" s="4"/>
      <c r="E77" s="5"/>
    </row>
    <row r="78" spans="1:5" ht="14.25" customHeight="1">
      <c r="A78" s="4"/>
      <c r="B78" s="4"/>
      <c r="C78" s="4"/>
      <c r="D78" s="4" t="s">
        <v>1626</v>
      </c>
      <c r="E78" s="5"/>
    </row>
    <row r="79" spans="1:5" ht="14.25" customHeight="1">
      <c r="A79" s="4"/>
      <c r="B79" s="4"/>
      <c r="C79" s="4"/>
      <c r="D79" s="4"/>
      <c r="E79" s="5"/>
    </row>
    <row r="80" spans="1:5" ht="14.25" customHeight="1">
      <c r="A80" s="4"/>
      <c r="B80" s="4"/>
      <c r="C80" s="4"/>
      <c r="D80" s="4" t="s">
        <v>1627</v>
      </c>
      <c r="E80" s="5"/>
    </row>
    <row r="81" spans="1:5" ht="14.25" customHeight="1">
      <c r="A81" s="4"/>
      <c r="B81" s="4"/>
      <c r="C81" s="4"/>
      <c r="D81" s="4"/>
      <c r="E81" s="5"/>
    </row>
    <row r="82" spans="1:5" ht="14.25" customHeight="1">
      <c r="A82" s="4"/>
      <c r="B82" s="4"/>
      <c r="C82" s="4"/>
      <c r="D82" s="4" t="s">
        <v>1628</v>
      </c>
      <c r="E82" s="5"/>
    </row>
    <row r="83" spans="1:5" ht="14.25" customHeight="1">
      <c r="A83" s="4"/>
      <c r="B83" s="4"/>
      <c r="C83" s="4"/>
      <c r="D83" s="4"/>
      <c r="E83" s="5"/>
    </row>
    <row r="84" spans="1:5" ht="14.25" customHeight="1">
      <c r="A84" s="4"/>
      <c r="B84" s="4"/>
      <c r="C84" s="4"/>
      <c r="D84" s="4" t="s">
        <v>1629</v>
      </c>
      <c r="E84" s="5"/>
    </row>
    <row r="85" spans="1:5" ht="14.25" customHeight="1">
      <c r="A85" s="4"/>
      <c r="B85" s="4"/>
      <c r="C85" s="4"/>
      <c r="D85" s="4"/>
      <c r="E85" s="5"/>
    </row>
    <row r="86" spans="1:5" ht="14.25" customHeight="1">
      <c r="A86" s="4"/>
      <c r="B86" s="4"/>
      <c r="C86" s="4"/>
      <c r="D86" s="4" t="s">
        <v>1630</v>
      </c>
      <c r="E86" s="5"/>
    </row>
    <row r="87" spans="1:5" ht="14.25" customHeight="1">
      <c r="A87" s="4"/>
      <c r="B87" s="4"/>
      <c r="C87" s="4"/>
      <c r="D87" s="4"/>
      <c r="E87" s="5"/>
    </row>
    <row r="88" spans="1:5" ht="14.25" customHeight="1">
      <c r="A88" s="4"/>
      <c r="B88" s="4"/>
      <c r="C88" s="4"/>
      <c r="D88" s="4" t="s">
        <v>1631</v>
      </c>
      <c r="E88" s="5"/>
    </row>
    <row r="89" spans="1:5" ht="14.25" customHeight="1">
      <c r="A89" s="4"/>
      <c r="B89" s="4"/>
      <c r="C89" s="4"/>
      <c r="D89" s="4"/>
      <c r="E89" s="5"/>
    </row>
    <row r="90" spans="1:5" ht="14.25" customHeight="1">
      <c r="A90" s="4"/>
      <c r="B90" s="4"/>
      <c r="C90" s="4"/>
      <c r="D90" s="4" t="s">
        <v>1632</v>
      </c>
      <c r="E90" s="5"/>
    </row>
    <row r="91" spans="1:5" ht="14.25" customHeight="1">
      <c r="A91" s="4"/>
      <c r="B91" s="4"/>
      <c r="C91" s="4"/>
      <c r="D91" s="4"/>
      <c r="E91" s="5"/>
    </row>
    <row r="92" spans="1:5" ht="14.25" customHeight="1">
      <c r="A92" s="4"/>
      <c r="B92" s="4"/>
      <c r="C92" s="4"/>
      <c r="D92" s="4" t="s">
        <v>1633</v>
      </c>
      <c r="E92" s="5"/>
    </row>
    <row r="93" spans="1:5" ht="14.25" customHeight="1">
      <c r="A93" s="4"/>
      <c r="B93" s="4"/>
      <c r="C93" s="4"/>
      <c r="D93" s="4"/>
      <c r="E93" s="5"/>
    </row>
    <row r="94" spans="1:5" ht="14.25" customHeight="1">
      <c r="A94" s="4"/>
      <c r="B94" s="4"/>
      <c r="C94" s="4"/>
      <c r="D94" s="4" t="s">
        <v>1634</v>
      </c>
      <c r="E94" s="5"/>
    </row>
    <row r="95" spans="1:5" ht="14.25" customHeight="1">
      <c r="A95" s="4"/>
      <c r="B95" s="4"/>
      <c r="C95" s="4"/>
      <c r="D95" s="4"/>
      <c r="E95" s="5"/>
    </row>
    <row r="96" spans="1:5" ht="14.25" customHeight="1">
      <c r="A96" s="4"/>
      <c r="B96" s="4"/>
      <c r="C96" s="4"/>
      <c r="D96" s="4" t="s">
        <v>1635</v>
      </c>
      <c r="E96" s="5"/>
    </row>
    <row r="97" spans="1:5" ht="14.25" customHeight="1">
      <c r="A97" s="4"/>
      <c r="B97" s="4"/>
      <c r="C97" s="4"/>
      <c r="D97" s="4"/>
      <c r="E97" s="5"/>
    </row>
    <row r="98" spans="1:5" ht="14.25" customHeight="1">
      <c r="A98" s="4"/>
      <c r="B98" s="4"/>
      <c r="C98" s="4"/>
      <c r="D98" s="4" t="s">
        <v>1636</v>
      </c>
      <c r="E98" s="5"/>
    </row>
  </sheetData>
  <pageMargins left="0.75" right="0.75" top="1" bottom="1"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1" width="60.44140625" customWidth="1"/>
    <col min="2" max="2" width="39.109375" customWidth="1"/>
    <col min="3" max="3" width="60.44140625" customWidth="1"/>
    <col min="4" max="4" width="39.109375" customWidth="1"/>
    <col min="5" max="5" width="56.88671875" customWidth="1"/>
  </cols>
  <sheetData>
    <row r="1" spans="1:5" ht="14.25" customHeight="1">
      <c r="A1" s="40" t="s">
        <v>1637</v>
      </c>
      <c r="B1" s="38"/>
      <c r="C1" s="39"/>
      <c r="D1" s="39"/>
      <c r="E1" s="2"/>
    </row>
    <row r="2" spans="1:5" ht="14.25" customHeight="1">
      <c r="A2" s="3" t="s">
        <v>1638</v>
      </c>
      <c r="B2" s="3" t="s">
        <v>1639</v>
      </c>
      <c r="C2" s="4"/>
      <c r="D2" s="4" t="s">
        <v>1640</v>
      </c>
      <c r="E2" s="5" t="str">
        <f ca="1">IFERROR(__xludf.DUMMYFUNCTION("FILTER(D1:D1002,D1:D1002&lt;&gt; """")"),"Zuìjìn de yínháng zài nǎlǐ?")</f>
        <v>Zuìjìn de yínháng zài nǎlǐ?</v>
      </c>
    </row>
    <row r="3" spans="1:5" ht="14.25" customHeight="1">
      <c r="A3" s="3" t="s">
        <v>1641</v>
      </c>
      <c r="B3" s="3" t="s">
        <v>1642</v>
      </c>
      <c r="C3" s="4"/>
      <c r="D3" s="4"/>
      <c r="E3" s="6" t="str">
        <f ca="1">IFERROR(__xludf.DUMMYFUNCTION("""COMPUTED_VALUE"""),"Wǒ xiǎng qǔkuǎn.")</f>
        <v>Wǒ xiǎng qǔkuǎn.</v>
      </c>
    </row>
    <row r="4" spans="1:5" ht="14.25" customHeight="1">
      <c r="A4" s="3" t="s">
        <v>1643</v>
      </c>
      <c r="B4" s="3" t="s">
        <v>1644</v>
      </c>
      <c r="C4" s="4"/>
      <c r="D4" s="4" t="s">
        <v>1645</v>
      </c>
      <c r="E4" s="5" t="str">
        <f ca="1">IFERROR(__xludf.DUMMYFUNCTION("""COMPUTED_VALUE"""),"Zhè tái ATM jīnéng yòng ma?")</f>
        <v>Zhè tái ATM jīnéng yòng ma?</v>
      </c>
    </row>
    <row r="5" spans="1:5" ht="14.25" customHeight="1">
      <c r="A5" s="3" t="s">
        <v>1646</v>
      </c>
      <c r="B5" s="3" t="s">
        <v>1647</v>
      </c>
      <c r="C5" s="4"/>
      <c r="D5" s="4"/>
      <c r="E5" s="5" t="str">
        <f ca="1">IFERROR(__xludf.DUMMYFUNCTION("""COMPUTED_VALUE"""),"Wǒ de kǎ bèi tūnle!")</f>
        <v>Wǒ de kǎ bèi tūnle!</v>
      </c>
    </row>
    <row r="6" spans="1:5" ht="14.25" customHeight="1">
      <c r="A6" s="3" t="s">
        <v>1648</v>
      </c>
      <c r="B6" s="3" t="s">
        <v>1649</v>
      </c>
      <c r="C6" s="4"/>
      <c r="D6" s="4" t="s">
        <v>1650</v>
      </c>
      <c r="E6" s="5" t="str">
        <f ca="1">IFERROR(__xludf.DUMMYFUNCTION("""COMPUTED_VALUE"""),"Wǒ xūyào jiàn yínháng gōngzuò rényuán.")</f>
        <v>Wǒ xūyào jiàn yínháng gōngzuò rényuán.</v>
      </c>
    </row>
    <row r="7" spans="1:5" ht="14.25" customHeight="1">
      <c r="A7" s="3" t="s">
        <v>1651</v>
      </c>
      <c r="B7" s="3" t="s">
        <v>1652</v>
      </c>
      <c r="C7" s="4"/>
      <c r="D7" s="4"/>
      <c r="E7" s="5" t="str">
        <f ca="1">IFERROR(__xludf.DUMMYFUNCTION("""COMPUTED_VALUE"""),"Wǒ xiǎng kāihù.")</f>
        <v>Wǒ xiǎng kāihù.</v>
      </c>
    </row>
    <row r="8" spans="1:5" ht="14.25" customHeight="1">
      <c r="A8" s="3" t="s">
        <v>1653</v>
      </c>
      <c r="B8" s="3" t="s">
        <v>1654</v>
      </c>
      <c r="C8" s="4"/>
      <c r="D8" s="4" t="s">
        <v>1655</v>
      </c>
      <c r="E8" s="5" t="str">
        <f ca="1">IFERROR(__xludf.DUMMYFUNCTION("""COMPUTED_VALUE"""),"Wǒ xūyào nǎxiē wénjiàn?")</f>
        <v>Wǒ xūyào nǎxiē wénjiàn?</v>
      </c>
    </row>
    <row r="9" spans="1:5" ht="14.25" customHeight="1">
      <c r="A9" s="3" t="s">
        <v>1656</v>
      </c>
      <c r="B9" s="3" t="s">
        <v>1657</v>
      </c>
      <c r="C9" s="4"/>
      <c r="D9" s="4"/>
      <c r="E9" s="5" t="str">
        <f ca="1">IFERROR(__xludf.DUMMYFUNCTION("""COMPUTED_VALUE"""),"Qǐng gěi wǒ shēnqǐng biǎo hǎo ma?")</f>
        <v>Qǐng gěi wǒ shēnqǐng biǎo hǎo ma?</v>
      </c>
    </row>
    <row r="10" spans="1:5" ht="14.25" customHeight="1">
      <c r="A10" s="3" t="s">
        <v>1658</v>
      </c>
      <c r="B10" s="3" t="s">
        <v>1659</v>
      </c>
      <c r="C10" s="4"/>
      <c r="D10" s="4" t="s">
        <v>1660</v>
      </c>
      <c r="E10" s="5" t="str">
        <f ca="1">IFERROR(__xludf.DUMMYFUNCTION("""COMPUTED_VALUE"""),"Wǒ xūyào zài zhèlǐ tiánxiě ma?")</f>
        <v>Wǒ xūyào zài zhèlǐ tiánxiě ma?</v>
      </c>
    </row>
    <row r="11" spans="1:5" ht="14.25" customHeight="1">
      <c r="A11" s="3" t="s">
        <v>1661</v>
      </c>
      <c r="B11" s="3" t="s">
        <v>1662</v>
      </c>
      <c r="C11" s="4"/>
      <c r="D11" s="4"/>
      <c r="E11" s="5" t="str">
        <f ca="1">IFERROR(__xludf.DUMMYFUNCTION("""COMPUTED_VALUE"""),"Wǒ yīnggāi zài nǎlǐ qiānzì?")</f>
        <v>Wǒ yīnggāi zài nǎlǐ qiānzì?</v>
      </c>
    </row>
    <row r="12" spans="1:5" ht="14.25" customHeight="1">
      <c r="A12" s="3" t="s">
        <v>1663</v>
      </c>
      <c r="B12" s="3" t="s">
        <v>1664</v>
      </c>
      <c r="C12" s="4"/>
      <c r="D12" s="4" t="s">
        <v>1665</v>
      </c>
      <c r="E12" s="6" t="str">
        <f ca="1">IFERROR(__xludf.DUMMYFUNCTION("""COMPUTED_VALUE"""),"Wǒ xiǎng duìhuàn xiǎo é chāopiào.")</f>
        <v>Wǒ xiǎng duìhuàn xiǎo é chāopiào.</v>
      </c>
    </row>
    <row r="13" spans="1:5" ht="14.25" customHeight="1">
      <c r="A13" s="3" t="s">
        <v>1666</v>
      </c>
      <c r="B13" s="3" t="s">
        <v>1667</v>
      </c>
      <c r="C13" s="4"/>
      <c r="D13" s="4"/>
      <c r="E13" s="6" t="str">
        <f ca="1">IFERROR(__xludf.DUMMYFUNCTION("""COMPUTED_VALUE"""),"Qǐngwèn nín néng bāng wǒ bǎ 1000 yuán de chāopiào huàn chéng 100 yuán de chāopiào ma?")</f>
        <v>Qǐngwèn nín néng bāng wǒ bǎ 1000 yuán de chāopiào huàn chéng 100 yuán de chāopiào ma?</v>
      </c>
    </row>
    <row r="14" spans="1:5" ht="14.25" customHeight="1">
      <c r="A14" s="3" t="s">
        <v>1668</v>
      </c>
      <c r="B14" s="3" t="s">
        <v>1669</v>
      </c>
      <c r="C14" s="4"/>
      <c r="D14" s="4" t="s">
        <v>1670</v>
      </c>
      <c r="E14" s="6" t="str">
        <f ca="1">IFERROR(__xludf.DUMMYFUNCTION("""COMPUTED_VALUE"""),"Wǒ xiǎng wǎng wǒ de GCash zhànghù lǐ cún qián.")</f>
        <v>Wǒ xiǎng wǎng wǒ de GCash zhànghù lǐ cún qián.</v>
      </c>
    </row>
    <row r="15" spans="1:5" ht="14.25" customHeight="1">
      <c r="A15" s="3" t="s">
        <v>1671</v>
      </c>
      <c r="B15" s="3" t="s">
        <v>1672</v>
      </c>
      <c r="C15" s="4"/>
      <c r="D15" s="4"/>
      <c r="E15" s="6" t="str">
        <f ca="1">IFERROR(__xludf.DUMMYFUNCTION("""COMPUTED_VALUE"""),"Nǐmen jiēshòu GCash zhuǎnzhàng ma?")</f>
        <v>Nǐmen jiēshòu GCash zhuǎnzhàng ma?</v>
      </c>
    </row>
    <row r="16" spans="1:5" ht="14.25" customHeight="1">
      <c r="A16" s="3" t="s">
        <v>1673</v>
      </c>
      <c r="B16" s="3" t="s">
        <v>1674</v>
      </c>
      <c r="C16" s="4"/>
      <c r="D16" s="4" t="s">
        <v>1675</v>
      </c>
      <c r="E16" s="6" t="str">
        <f ca="1">IFERROR(__xludf.DUMMYFUNCTION("""COMPUTED_VALUE"""),"Qǐngwèn nín néng gàosù wǒ nín de GCash zhànghào ma?")</f>
        <v>Qǐngwèn nín néng gàosù wǒ nín de GCash zhànghào ma?</v>
      </c>
    </row>
    <row r="17" spans="1:5" ht="14.25" customHeight="1">
      <c r="A17" s="3" t="s">
        <v>1676</v>
      </c>
      <c r="B17" s="3" t="s">
        <v>1677</v>
      </c>
      <c r="C17" s="4"/>
      <c r="D17" s="4"/>
      <c r="E17" s="6" t="str">
        <f ca="1">IFERROR(__xludf.DUMMYFUNCTION("""COMPUTED_VALUE"""),"Wǒ yǐjīng huìkuǎnle.")</f>
        <v>Wǒ yǐjīng huìkuǎnle.</v>
      </c>
    </row>
    <row r="18" spans="1:5" ht="14.25" customHeight="1">
      <c r="A18" s="3" t="s">
        <v>1678</v>
      </c>
      <c r="B18" s="3" t="s">
        <v>1679</v>
      </c>
      <c r="C18" s="4"/>
      <c r="D18" s="4" t="s">
        <v>1680</v>
      </c>
      <c r="E18" s="5" t="str">
        <f ca="1">IFERROR(__xludf.DUMMYFUNCTION("""COMPUTED_VALUE"""),"Qǐngwèn nín néng bāng wǒ quèrèn yīxià shìfǒu shōu dào ma?")</f>
        <v>Qǐngwèn nín néng bāng wǒ quèrèn yīxià shìfǒu shōu dào ma?</v>
      </c>
    </row>
    <row r="19" spans="1:5" ht="14.25" customHeight="1">
      <c r="A19" s="3" t="s">
        <v>1681</v>
      </c>
      <c r="B19" s="3" t="s">
        <v>1682</v>
      </c>
      <c r="C19" s="4"/>
      <c r="D19" s="4"/>
      <c r="E19" s="4" t="str">
        <f ca="1">IFERROR(__xludf.DUMMYFUNCTION("""COMPUTED_VALUE"""),"Wǒ de zhànghù yú'é bùzú.")</f>
        <v>Wǒ de zhànghù yú'é bùzú.</v>
      </c>
    </row>
    <row r="20" spans="1:5" ht="14.25" customHeight="1">
      <c r="A20" s="3" t="s">
        <v>1683</v>
      </c>
      <c r="B20" s="3" t="s">
        <v>1684</v>
      </c>
      <c r="C20" s="4"/>
      <c r="D20" s="4" t="s">
        <v>1685</v>
      </c>
      <c r="E20" s="5" t="str">
        <f ca="1">IFERROR(__xludf.DUMMYFUNCTION("""COMPUTED_VALUE"""),"Wǒ xiǎng cháxún yīxià wǒ de zhànghù yú'é.")</f>
        <v>Wǒ xiǎng cháxún yīxià wǒ de zhànghù yú'é.</v>
      </c>
    </row>
    <row r="21" spans="1:5" ht="14.25" customHeight="1">
      <c r="A21" s="3" t="s">
        <v>1686</v>
      </c>
      <c r="B21" s="3" t="s">
        <v>1687</v>
      </c>
      <c r="C21" s="4"/>
      <c r="D21" s="4"/>
      <c r="E21" s="6" t="str">
        <f ca="1">IFERROR(__xludf.DUMMYFUNCTION("""COMPUTED_VALUE"""),"Zhuǎnzhàng shǒuxù fèi shì duōshǎo?")</f>
        <v>Zhuǎnzhàng shǒuxù fèi shì duōshǎo?</v>
      </c>
    </row>
    <row r="22" spans="1:5" ht="14.25" customHeight="1">
      <c r="A22" s="3" t="s">
        <v>1688</v>
      </c>
      <c r="B22" s="3" t="s">
        <v>1689</v>
      </c>
      <c r="C22" s="4"/>
      <c r="D22" s="4" t="s">
        <v>1690</v>
      </c>
      <c r="E22" s="6" t="str">
        <f ca="1">IFERROR(__xludf.DUMMYFUNCTION("""COMPUTED_VALUE"""),"Wǒ xiǎng huìkuǎn dào yuènán.")</f>
        <v>Wǒ xiǎng huìkuǎn dào yuènán.</v>
      </c>
    </row>
    <row r="23" spans="1:5" ht="14.25" customHeight="1">
      <c r="A23" s="3" t="s">
        <v>1691</v>
      </c>
      <c r="B23" s="3" t="s">
        <v>1692</v>
      </c>
      <c r="C23" s="4"/>
      <c r="D23" s="4"/>
      <c r="E23" s="6" t="str">
        <f ca="1">IFERROR(__xludf.DUMMYFUNCTION("""COMPUTED_VALUE"""),"Jīntiān de huìlǜ shì duōshǎo?")</f>
        <v>Jīntiān de huìlǜ shì duōshǎo?</v>
      </c>
    </row>
    <row r="24" spans="1:5" ht="14.25" customHeight="1">
      <c r="A24" s="3" t="s">
        <v>1693</v>
      </c>
      <c r="B24" s="3" t="s">
        <v>1694</v>
      </c>
      <c r="C24" s="4"/>
      <c r="D24" s="4" t="s">
        <v>1695</v>
      </c>
      <c r="E24" s="6" t="str">
        <f ca="1">IFERROR(__xludf.DUMMYFUNCTION("""COMPUTED_VALUE"""),"Wǒ xūyào bǎ měiyuán duìhuàn chéng bǐsuǒ.")</f>
        <v>Wǒ xūyào bǎ měiyuán duìhuàn chéng bǐsuǒ.</v>
      </c>
    </row>
    <row r="25" spans="1:5" ht="14.25" customHeight="1">
      <c r="A25" s="17" t="s">
        <v>1696</v>
      </c>
      <c r="B25" s="17" t="s">
        <v>1697</v>
      </c>
      <c r="C25" s="18"/>
      <c r="D25" s="18"/>
      <c r="E25" s="6" t="str">
        <f ca="1">IFERROR(__xludf.DUMMYFUNCTION("""COMPUTED_VALUE"""),"Zhè qián shì jiǎbì ma?(Xiǎoxīn!) ")</f>
        <v xml:space="preserve">Zhè qián shì jiǎbì ma?(Xiǎoxīn!) </v>
      </c>
    </row>
    <row r="26" spans="1:5" ht="14.25" customHeight="1">
      <c r="A26" s="3" t="s">
        <v>1493</v>
      </c>
      <c r="B26" s="3" t="s">
        <v>1494</v>
      </c>
      <c r="C26" s="4"/>
      <c r="D26" s="4" t="s">
        <v>1698</v>
      </c>
      <c r="E26" s="6" t="str">
        <f ca="1">IFERROR(__xludf.DUMMYFUNCTION("""COMPUTED_VALUE"""),"Wǒ de qiánbāo diūle.")</f>
        <v>Wǒ de qiánbāo diūle.</v>
      </c>
    </row>
    <row r="27" spans="1:5" ht="14.25" customHeight="1">
      <c r="A27" s="3" t="s">
        <v>1699</v>
      </c>
      <c r="B27" s="3" t="s">
        <v>1700</v>
      </c>
      <c r="C27" s="4"/>
      <c r="D27" s="4"/>
      <c r="E27" s="6" t="str">
        <f ca="1">IFERROR(__xludf.DUMMYFUNCTION("""COMPUTED_VALUE"""),"Qǐng bāng wǒ suǒdìng kǎ!")</f>
        <v>Qǐng bāng wǒ suǒdìng kǎ!</v>
      </c>
    </row>
    <row r="28" spans="1:5" ht="14.25" customHeight="1">
      <c r="A28" s="3" t="s">
        <v>1701</v>
      </c>
      <c r="B28" s="3" t="s">
        <v>1702</v>
      </c>
      <c r="C28" s="4" t="s">
        <v>1703</v>
      </c>
      <c r="D28" s="4" t="s">
        <v>1704</v>
      </c>
      <c r="E28" s="6" t="str">
        <f ca="1">IFERROR(__xludf.DUMMYFUNCTION("""COMPUTED_VALUE"""),"Bùyào bǎ wǒ de mìmǎ gàosù rènhé rén.")</f>
        <v>Bùyào bǎ wǒ de mìmǎ gàosù rènhé rén.</v>
      </c>
    </row>
    <row r="29" spans="1:5" ht="14.25" customHeight="1">
      <c r="A29" s="3" t="s">
        <v>1705</v>
      </c>
      <c r="B29" s="3" t="s">
        <v>1706</v>
      </c>
      <c r="C29" s="4"/>
      <c r="D29" s="4"/>
      <c r="E29" s="37" t="str">
        <f ca="1">IFERROR(__xludf.DUMMYFUNCTION("""COMPUTED_VALUE"""),"Wǒ xiǎng jiǎofèi.")</f>
        <v>Wǒ xiǎng jiǎofèi.</v>
      </c>
    </row>
    <row r="30" spans="1:5" ht="14.25" customHeight="1">
      <c r="A30" s="3" t="s">
        <v>1707</v>
      </c>
      <c r="B30" s="3" t="s">
        <v>1708</v>
      </c>
      <c r="C30" s="4"/>
      <c r="D30" s="4" t="s">
        <v>1709</v>
      </c>
      <c r="E30" s="6" t="str">
        <f ca="1">IFERROR(__xludf.DUMMYFUNCTION("""COMPUTED_VALUE"""),"Wǒ zhège yuè de shuǐdiàn fèi shì duōshǎo?")</f>
        <v>Wǒ zhège yuè de shuǐdiàn fèi shì duōshǎo?</v>
      </c>
    </row>
    <row r="31" spans="1:5" ht="14.25" customHeight="1">
      <c r="A31" s="3" t="s">
        <v>1710</v>
      </c>
      <c r="B31" s="3" t="s">
        <v>526</v>
      </c>
      <c r="C31" s="4"/>
      <c r="D31" s="4"/>
      <c r="E31" s="4" t="str">
        <f ca="1">IFERROR(__xludf.DUMMYFUNCTION("""COMPUTED_VALUE"""),"Néng gěi wǒ yī fèn zhàngdān ma?")</f>
        <v>Néng gěi wǒ yī fèn zhàngdān ma?</v>
      </c>
    </row>
    <row r="32" spans="1:5" ht="14.25" customHeight="1">
      <c r="A32" s="3" t="s">
        <v>1711</v>
      </c>
      <c r="B32" s="3" t="s">
        <v>1712</v>
      </c>
      <c r="C32" s="4" t="s">
        <v>1713</v>
      </c>
      <c r="D32" s="4" t="s">
        <v>1714</v>
      </c>
      <c r="E32" s="4" t="str">
        <f ca="1">IFERROR(__xludf.DUMMYFUNCTION("""COMPUTED_VALUE"""),"Zhè zhāng zhàngdān sī pòle, kěyǐ bāng wǒ huàn yī zhāng ma?")</f>
        <v>Zhè zhāng zhàngdān sī pòle, kěyǐ bāng wǒ huàn yī zhāng ma?</v>
      </c>
    </row>
    <row r="33" spans="1:5" ht="14.25" customHeight="1">
      <c r="A33" s="3" t="s">
        <v>1715</v>
      </c>
      <c r="B33" s="3" t="s">
        <v>1716</v>
      </c>
      <c r="C33" s="4"/>
      <c r="D33" s="4"/>
      <c r="E33" s="4" t="str">
        <f ca="1">IFERROR(__xludf.DUMMYFUNCTION("""COMPUTED_VALUE"""),"Wǒ yǒu yīxiē jīxù.")</f>
        <v>Wǒ yǒu yīxiē jīxù.</v>
      </c>
    </row>
    <row r="34" spans="1:5" ht="14.25" customHeight="1">
      <c r="A34" s="3" t="s">
        <v>1717</v>
      </c>
      <c r="B34" s="3" t="s">
        <v>1718</v>
      </c>
      <c r="C34" s="4" t="s">
        <v>1719</v>
      </c>
      <c r="D34" s="4" t="s">
        <v>1720</v>
      </c>
      <c r="E34" s="4" t="str">
        <f ca="1">IFERROR(__xludf.DUMMYFUNCTION("""COMPUTED_VALUE"""),"Wǒ xiǎng mǎi gè cún qián guàn.")</f>
        <v>Wǒ xiǎng mǎi gè cún qián guàn.</v>
      </c>
    </row>
    <row r="35" spans="1:5" ht="14.25" customHeight="1">
      <c r="A35" s="3" t="s">
        <v>1721</v>
      </c>
      <c r="B35" s="3" t="s">
        <v>1722</v>
      </c>
      <c r="C35" s="4"/>
      <c r="D35" s="4"/>
      <c r="E35" s="8" t="str">
        <f ca="1">IFERROR(__xludf.DUMMYFUNCTION("""COMPUTED_VALUE"""),"Néng gěi wǒ yīxiē língqián zuò jípǔ ní ma?")</f>
        <v>Néng gěi wǒ yīxiē língqián zuò jípǔ ní ma?</v>
      </c>
    </row>
    <row r="36" spans="1:5" ht="14.25" customHeight="1">
      <c r="A36" s="3" t="s">
        <v>1723</v>
      </c>
      <c r="B36" s="3" t="s">
        <v>1724</v>
      </c>
      <c r="C36" s="4"/>
      <c r="D36" s="4" t="s">
        <v>1725</v>
      </c>
      <c r="E36" s="5" t="str">
        <f ca="1">IFERROR(__xludf.DUMMYFUNCTION("""COMPUTED_VALUE"""),"Wǒ zhèlǐ méiyǒu xiànjīn.")</f>
        <v>Wǒ zhèlǐ méiyǒu xiànjīn.</v>
      </c>
    </row>
    <row r="37" spans="1:5" ht="14.25" customHeight="1">
      <c r="A37" s="3" t="s">
        <v>1726</v>
      </c>
      <c r="B37" s="3" t="s">
        <v>1727</v>
      </c>
      <c r="C37" s="4"/>
      <c r="D37" s="4"/>
      <c r="E37" s="8" t="str">
        <f ca="1">IFERROR(__xludf.DUMMYFUNCTION("""COMPUTED_VALUE"""),"Nǐmen jiēshòu èr wéi mǎ zhīfù ma?")</f>
        <v>Nǐmen jiēshòu èr wéi mǎ zhīfù ma?</v>
      </c>
    </row>
    <row r="38" spans="1:5" ht="14.25" customHeight="1">
      <c r="A38" s="3" t="s">
        <v>1728</v>
      </c>
      <c r="B38" s="3" t="s">
        <v>1729</v>
      </c>
      <c r="C38" s="4"/>
      <c r="D38" s="4" t="s">
        <v>1730</v>
      </c>
      <c r="E38" s="5" t="str">
        <f ca="1">IFERROR(__xludf.DUMMYFUNCTION("""COMPUTED_VALUE"""),"Zhè shì zhǎo líng.")</f>
        <v>Zhè shì zhǎo líng.</v>
      </c>
    </row>
    <row r="39" spans="1:5" ht="14.25" customHeight="1">
      <c r="A39" s="3" t="s">
        <v>1731</v>
      </c>
      <c r="B39" s="3" t="s">
        <v>1732</v>
      </c>
      <c r="C39" s="4"/>
      <c r="D39" s="4"/>
      <c r="E39" s="6" t="str">
        <f ca="1">IFERROR(__xludf.DUMMYFUNCTION("""COMPUTED_VALUE"""),"Xièxiè nǐmen de zhékòu.")</f>
        <v>Xièxiè nǐmen de zhékòu.</v>
      </c>
    </row>
    <row r="40" spans="1:5" ht="14.25" customHeight="1">
      <c r="A40" s="3" t="s">
        <v>1733</v>
      </c>
      <c r="B40" s="3" t="s">
        <v>1734</v>
      </c>
      <c r="C40" s="4"/>
      <c r="D40" s="4" t="s">
        <v>1735</v>
      </c>
      <c r="E40" s="6" t="str">
        <f ca="1">IFERROR(__xludf.DUMMYFUNCTION("""COMPUTED_VALUE"""),"Wǒ míngtiān fùkuǎn.")</f>
        <v>Wǒ míngtiān fùkuǎn.</v>
      </c>
    </row>
    <row r="41" spans="1:5" ht="14.25" customHeight="1">
      <c r="A41" s="3" t="s">
        <v>1736</v>
      </c>
      <c r="B41" s="3" t="s">
        <v>1737</v>
      </c>
      <c r="C41" s="4"/>
      <c r="D41" s="4"/>
      <c r="E41" s="5" t="str">
        <f ca="1">IFERROR(__xludf.DUMMYFUNCTION("""COMPUTED_VALUE"""),"Wǒ bǎozhèng ànshí fùkuǎn.")</f>
        <v>Wǒ bǎozhèng ànshí fùkuǎn.</v>
      </c>
    </row>
    <row r="42" spans="1:5" ht="14.25" customHeight="1">
      <c r="A42" s="3" t="s">
        <v>1738</v>
      </c>
      <c r="B42" s="3" t="s">
        <v>1739</v>
      </c>
      <c r="C42" s="4"/>
      <c r="D42" s="4" t="s">
        <v>1740</v>
      </c>
      <c r="E42" s="4" t="str">
        <f ca="1">IFERROR(__xludf.DUMMYFUNCTION("""COMPUTED_VALUE"""),"Wǒ qiàn nǐmen duōshǎo qián?")</f>
        <v>Wǒ qiàn nǐmen duōshǎo qián?</v>
      </c>
    </row>
    <row r="43" spans="1:5" ht="14.25" customHeight="1">
      <c r="A43" s="3" t="s">
        <v>1741</v>
      </c>
      <c r="B43" s="3" t="s">
        <v>1742</v>
      </c>
      <c r="C43" s="4"/>
      <c r="D43" s="4"/>
      <c r="E43" s="5" t="str">
        <f ca="1">IFERROR(__xludf.DUMMYFUNCTION("""COMPUTED_VALUE"""),"Wǒ xiǎng huán qīng suǒyǒu zhàiwù.")</f>
        <v>Wǒ xiǎng huán qīng suǒyǒu zhàiwù.</v>
      </c>
    </row>
    <row r="44" spans="1:5" ht="14.25" customHeight="1">
      <c r="A44" s="17" t="s">
        <v>1743</v>
      </c>
      <c r="B44" s="17" t="s">
        <v>1744</v>
      </c>
      <c r="C44" s="18" t="s">
        <v>1745</v>
      </c>
      <c r="D44" s="18" t="s">
        <v>1746</v>
      </c>
      <c r="E44" s="4" t="str">
        <f ca="1">IFERROR(__xludf.DUMMYFUNCTION("""COMPUTED_VALUE"""),"Cáiwù qīngxī, àiqíng guǒduàn!(Kāiwánxiào la!)")</f>
        <v>Cáiwù qīngxī, àiqíng guǒduàn!(Kāiwánxiào la!)</v>
      </c>
    </row>
    <row r="45" spans="1:5" ht="14.25" customHeight="1">
      <c r="A45" s="3" t="s">
        <v>1747</v>
      </c>
      <c r="B45" s="3" t="s">
        <v>1748</v>
      </c>
      <c r="C45" s="4" t="s">
        <v>1749</v>
      </c>
      <c r="D45" s="4"/>
      <c r="E45" s="5" t="str">
        <f ca="1">IFERROR(__xludf.DUMMYFUNCTION("""COMPUTED_VALUE"""),"Wǒ dé cún qián.")</f>
        <v>Wǒ dé cún qián.</v>
      </c>
    </row>
    <row r="46" spans="1:5" ht="14.25" customHeight="1">
      <c r="A46" s="3" t="s">
        <v>1750</v>
      </c>
      <c r="B46" s="3" t="s">
        <v>1751</v>
      </c>
      <c r="C46" s="4" t="s">
        <v>1752</v>
      </c>
      <c r="D46" s="4" t="s">
        <v>1753</v>
      </c>
      <c r="E46" s="4" t="str">
        <f ca="1">IFERROR(__xludf.DUMMYFUNCTION("""COMPUTED_VALUE"""),"Bùyào làngfèi.")</f>
        <v>Bùyào làngfèi.</v>
      </c>
    </row>
    <row r="47" spans="1:5" ht="14.25" customHeight="1">
      <c r="A47" s="3" t="s">
        <v>1754</v>
      </c>
      <c r="B47" s="3" t="s">
        <v>1755</v>
      </c>
      <c r="C47" s="4"/>
      <c r="D47" s="4"/>
      <c r="E47" s="4" t="str">
        <f ca="1">IFERROR(__xludf.DUMMYFUNCTION("""COMPUTED_VALUE"""),"Wǒ xiǎng gěi māmā mǎi fèn lǐwù.")</f>
        <v>Wǒ xiǎng gěi māmā mǎi fèn lǐwù.</v>
      </c>
    </row>
    <row r="48" spans="1:5" ht="14.25" customHeight="1">
      <c r="A48" s="3" t="s">
        <v>1756</v>
      </c>
      <c r="B48" s="3" t="s">
        <v>1757</v>
      </c>
      <c r="C48" s="4"/>
      <c r="D48" s="4" t="s">
        <v>1758</v>
      </c>
      <c r="E48" s="4" t="str">
        <f ca="1">IFERROR(__xludf.DUMMYFUNCTION("""COMPUTED_VALUE"""),"Zhè tài guìle, wǒ mǎi bù qǐ.")</f>
        <v>Zhè tài guìle, wǒ mǎi bù qǐ.</v>
      </c>
    </row>
    <row r="49" spans="1:5" ht="14.25" customHeight="1">
      <c r="A49" s="3" t="s">
        <v>1759</v>
      </c>
      <c r="B49" s="3" t="s">
        <v>1760</v>
      </c>
      <c r="C49" s="4"/>
      <c r="D49" s="4" t="s">
        <v>1505</v>
      </c>
      <c r="E49" s="5" t="str">
        <f ca="1">IFERROR(__xludf.DUMMYFUNCTION("""COMPUTED_VALUE"""),"Wǒ fēicháng xǐhuān fēilǜbīn huòbì, yīnwèi tā sècǎi xiānyàn.")</f>
        <v>Wǒ fēicháng xǐhuān fēilǜbīn huòbì, yīnwèi tā sècǎi xiānyàn.</v>
      </c>
    </row>
    <row r="50" spans="1:5" ht="14.25" customHeight="1">
      <c r="A50" s="3" t="s">
        <v>1761</v>
      </c>
      <c r="B50" s="3" t="s">
        <v>1762</v>
      </c>
      <c r="C50" s="4"/>
      <c r="D50" s="4" t="s">
        <v>1763</v>
      </c>
      <c r="E50" s="6" t="str">
        <f ca="1">IFERROR(__xludf.DUMMYFUNCTION("""COMPUTED_VALUE"""),"Zhù nǐ zhuànqián shùnlì.")</f>
        <v>Zhù nǐ zhuànqián shùnlì.</v>
      </c>
    </row>
    <row r="51" spans="1:5" ht="14.25" customHeight="1">
      <c r="A51" s="3" t="s">
        <v>1764</v>
      </c>
      <c r="B51" s="3" t="s">
        <v>1765</v>
      </c>
      <c r="C51" s="4"/>
      <c r="D51" s="4"/>
      <c r="E51" s="6" t="str">
        <f ca="1">IFERROR(__xludf.DUMMYFUNCTION("""COMPUTED_VALUE"""),"Jīnqián bìngfēi wànnéng, dàn tā fēicháng zhòngyào.")</f>
        <v>Jīnqián bìngfēi wànnéng, dàn tā fēicháng zhòngyào.</v>
      </c>
    </row>
    <row r="52" spans="1:5" ht="14.25" customHeight="1">
      <c r="A52" s="4"/>
      <c r="B52" s="4"/>
      <c r="C52" s="4"/>
      <c r="D52" s="4" t="s">
        <v>1766</v>
      </c>
    </row>
    <row r="53" spans="1:5" ht="14.25" customHeight="1">
      <c r="A53" s="4"/>
      <c r="B53" s="4"/>
      <c r="C53" s="4"/>
      <c r="D53" s="4"/>
      <c r="E53" s="5"/>
    </row>
    <row r="54" spans="1:5" ht="14.25" customHeight="1">
      <c r="A54" s="4"/>
      <c r="B54" s="4"/>
      <c r="C54" s="4"/>
      <c r="D54" s="4" t="s">
        <v>1767</v>
      </c>
      <c r="E54" s="5"/>
    </row>
    <row r="55" spans="1:5" ht="14.25" customHeight="1">
      <c r="A55" s="4"/>
      <c r="B55" s="4"/>
      <c r="C55" s="4"/>
      <c r="D55" s="4"/>
      <c r="E55" s="5"/>
    </row>
    <row r="56" spans="1:5" ht="14.25" customHeight="1">
      <c r="A56" s="4"/>
      <c r="B56" s="4"/>
      <c r="C56" s="4"/>
      <c r="D56" s="4" t="s">
        <v>1768</v>
      </c>
      <c r="E56" s="5"/>
    </row>
    <row r="57" spans="1:5" ht="14.25" customHeight="1">
      <c r="A57" s="4"/>
      <c r="B57" s="4"/>
      <c r="C57" s="4"/>
      <c r="D57" s="4"/>
      <c r="E57" s="5"/>
    </row>
    <row r="58" spans="1:5" ht="14.25" customHeight="1">
      <c r="A58" s="4"/>
      <c r="B58" s="4"/>
      <c r="C58" s="4"/>
      <c r="D58" s="4" t="s">
        <v>1769</v>
      </c>
      <c r="E58" s="5"/>
    </row>
    <row r="59" spans="1:5" ht="14.25" customHeight="1">
      <c r="A59" s="4"/>
      <c r="B59" s="4"/>
      <c r="C59" s="4"/>
      <c r="D59" s="4"/>
    </row>
    <row r="60" spans="1:5" ht="14.25" customHeight="1">
      <c r="A60" s="4"/>
      <c r="B60" s="4"/>
      <c r="C60" s="4"/>
      <c r="D60" s="4" t="s">
        <v>1770</v>
      </c>
      <c r="E60" s="5"/>
    </row>
    <row r="61" spans="1:5" ht="14.25" customHeight="1">
      <c r="A61" s="4"/>
      <c r="B61" s="4"/>
      <c r="C61" s="4"/>
      <c r="D61" s="4"/>
      <c r="E61" s="5"/>
    </row>
    <row r="62" spans="1:5" ht="14.25" customHeight="1">
      <c r="A62" s="4"/>
      <c r="B62" s="4"/>
      <c r="C62" s="4"/>
      <c r="D62" s="4" t="s">
        <v>1771</v>
      </c>
      <c r="E62" s="5"/>
    </row>
    <row r="63" spans="1:5" ht="14.25" customHeight="1">
      <c r="A63" s="4"/>
      <c r="B63" s="4"/>
      <c r="C63" s="4"/>
      <c r="D63" s="4"/>
      <c r="E63" s="5"/>
    </row>
    <row r="64" spans="1:5" ht="14.25" customHeight="1">
      <c r="A64" s="4"/>
      <c r="B64" s="4"/>
      <c r="C64" s="4"/>
      <c r="D64" s="4" t="s">
        <v>1772</v>
      </c>
      <c r="E64" s="5"/>
    </row>
    <row r="65" spans="1:5" ht="14.25" customHeight="1">
      <c r="A65" s="4"/>
      <c r="B65" s="4"/>
      <c r="C65" s="4"/>
      <c r="D65" s="4"/>
      <c r="E65" s="5"/>
    </row>
    <row r="66" spans="1:5" ht="14.25" customHeight="1">
      <c r="A66" s="4"/>
      <c r="B66" s="4"/>
      <c r="C66" s="4"/>
      <c r="D66" s="4" t="s">
        <v>1773</v>
      </c>
      <c r="E66" s="5"/>
    </row>
    <row r="67" spans="1:5" ht="14.25" customHeight="1">
      <c r="A67" s="4"/>
      <c r="B67" s="4"/>
      <c r="C67" s="4"/>
      <c r="D67" s="4"/>
      <c r="E67" s="5"/>
    </row>
    <row r="68" spans="1:5" ht="14.25" customHeight="1">
      <c r="A68" s="4"/>
      <c r="B68" s="4"/>
      <c r="C68" s="4"/>
      <c r="D68" s="4" t="s">
        <v>1774</v>
      </c>
      <c r="E68" s="5"/>
    </row>
    <row r="69" spans="1:5" ht="14.25" customHeight="1">
      <c r="A69" s="4"/>
      <c r="B69" s="4"/>
      <c r="C69" s="4"/>
      <c r="D69" s="4"/>
      <c r="E69" s="5"/>
    </row>
    <row r="70" spans="1:5" ht="14.25" customHeight="1">
      <c r="A70" s="4"/>
      <c r="B70" s="4"/>
      <c r="C70" s="4"/>
      <c r="D70" s="4" t="s">
        <v>1775</v>
      </c>
      <c r="E70" s="5"/>
    </row>
    <row r="71" spans="1:5" ht="14.25" customHeight="1">
      <c r="A71" s="4"/>
      <c r="B71" s="4"/>
      <c r="C71" s="4"/>
      <c r="D71" s="4"/>
      <c r="E71" s="5"/>
    </row>
    <row r="72" spans="1:5" ht="14.25" customHeight="1">
      <c r="A72" s="4"/>
      <c r="B72" s="4"/>
      <c r="C72" s="4"/>
      <c r="D72" s="4" t="s">
        <v>1776</v>
      </c>
      <c r="E72" s="5"/>
    </row>
    <row r="73" spans="1:5" ht="14.25" customHeight="1">
      <c r="A73" s="4"/>
      <c r="B73" s="4"/>
      <c r="C73" s="4"/>
      <c r="D73" s="4"/>
      <c r="E73" s="5"/>
    </row>
    <row r="74" spans="1:5" ht="14.25" customHeight="1">
      <c r="A74" s="4"/>
      <c r="B74" s="4"/>
      <c r="C74" s="4"/>
      <c r="D74" s="4" t="s">
        <v>1777</v>
      </c>
      <c r="E74" s="5"/>
    </row>
    <row r="75" spans="1:5" ht="14.25" customHeight="1">
      <c r="A75" s="4"/>
      <c r="B75" s="4"/>
      <c r="C75" s="4"/>
      <c r="D75" s="4"/>
      <c r="E75" s="5"/>
    </row>
    <row r="76" spans="1:5" ht="14.25" customHeight="1">
      <c r="A76" s="4"/>
      <c r="B76" s="4"/>
      <c r="C76" s="4"/>
      <c r="D76" s="4" t="s">
        <v>1778</v>
      </c>
      <c r="E76" s="5"/>
    </row>
    <row r="77" spans="1:5" ht="14.25" customHeight="1">
      <c r="A77" s="4"/>
      <c r="B77" s="4"/>
      <c r="C77" s="4"/>
      <c r="D77" s="4"/>
      <c r="E77" s="5"/>
    </row>
    <row r="78" spans="1:5" ht="14.25" customHeight="1">
      <c r="A78" s="4"/>
      <c r="B78" s="4"/>
      <c r="C78" s="4"/>
      <c r="D78" s="4" t="s">
        <v>1779</v>
      </c>
      <c r="E78" s="5"/>
    </row>
    <row r="79" spans="1:5" ht="14.25" customHeight="1">
      <c r="A79" s="4"/>
      <c r="B79" s="4"/>
      <c r="C79" s="4"/>
      <c r="D79" s="4"/>
      <c r="E79" s="5"/>
    </row>
    <row r="80" spans="1:5" ht="14.25" customHeight="1">
      <c r="A80" s="4"/>
      <c r="B80" s="4"/>
      <c r="C80" s="4"/>
      <c r="D80" s="4" t="s">
        <v>1780</v>
      </c>
      <c r="E80" s="5"/>
    </row>
    <row r="81" spans="1:5" ht="14.25" customHeight="1">
      <c r="A81" s="4"/>
      <c r="B81" s="4"/>
      <c r="C81" s="4"/>
      <c r="D81" s="4"/>
      <c r="E81" s="5"/>
    </row>
    <row r="82" spans="1:5" ht="14.25" customHeight="1">
      <c r="A82" s="4"/>
      <c r="B82" s="4"/>
      <c r="C82" s="4"/>
      <c r="D82" s="4" t="s">
        <v>1781</v>
      </c>
      <c r="E82" s="5"/>
    </row>
    <row r="83" spans="1:5" ht="14.25" customHeight="1">
      <c r="A83" s="4"/>
      <c r="B83" s="4"/>
      <c r="C83" s="4"/>
      <c r="D83" s="4"/>
      <c r="E83" s="5"/>
    </row>
    <row r="84" spans="1:5" ht="14.25" customHeight="1">
      <c r="A84" s="4"/>
      <c r="B84" s="4"/>
      <c r="C84" s="4"/>
      <c r="D84" s="4" t="s">
        <v>1782</v>
      </c>
      <c r="E84" s="5"/>
    </row>
    <row r="85" spans="1:5" ht="14.25" customHeight="1">
      <c r="A85" s="4"/>
      <c r="B85" s="4"/>
      <c r="C85" s="4"/>
      <c r="D85" s="4"/>
      <c r="E85" s="5"/>
    </row>
    <row r="86" spans="1:5" ht="14.25" customHeight="1">
      <c r="A86" s="4"/>
      <c r="B86" s="4"/>
      <c r="C86" s="4"/>
      <c r="D86" s="4" t="s">
        <v>1783</v>
      </c>
      <c r="E86" s="5"/>
    </row>
    <row r="87" spans="1:5" ht="14.25" customHeight="1">
      <c r="A87" s="4"/>
      <c r="B87" s="4"/>
      <c r="C87" s="4"/>
      <c r="D87" s="4"/>
      <c r="E87" s="5"/>
    </row>
    <row r="88" spans="1:5" ht="14.25" customHeight="1">
      <c r="A88" s="4"/>
      <c r="B88" s="4"/>
      <c r="C88" s="4"/>
      <c r="D88" s="4" t="s">
        <v>1784</v>
      </c>
      <c r="E88" s="5"/>
    </row>
    <row r="89" spans="1:5" ht="14.25" customHeight="1">
      <c r="A89" s="4"/>
      <c r="B89" s="4"/>
      <c r="C89" s="4"/>
      <c r="D89" s="4"/>
      <c r="E89" s="5"/>
    </row>
    <row r="90" spans="1:5" ht="14.25" customHeight="1">
      <c r="A90" s="4"/>
      <c r="B90" s="4"/>
      <c r="C90" s="4"/>
      <c r="D90" s="4" t="s">
        <v>1785</v>
      </c>
      <c r="E90" s="5"/>
    </row>
    <row r="91" spans="1:5" ht="14.25" customHeight="1">
      <c r="A91" s="4"/>
      <c r="B91" s="4"/>
      <c r="C91" s="4"/>
      <c r="D91" s="4"/>
      <c r="E91" s="5"/>
    </row>
    <row r="92" spans="1:5" ht="14.25" customHeight="1">
      <c r="A92" s="4"/>
      <c r="B92" s="4"/>
      <c r="C92" s="4"/>
      <c r="D92" s="4" t="s">
        <v>1786</v>
      </c>
      <c r="E92" s="5"/>
    </row>
    <row r="93" spans="1:5" ht="14.25" customHeight="1">
      <c r="A93" s="4"/>
      <c r="B93" s="4"/>
      <c r="C93" s="4"/>
      <c r="D93" s="4"/>
      <c r="E93" s="5"/>
    </row>
    <row r="94" spans="1:5" ht="14.25" customHeight="1">
      <c r="A94" s="4"/>
      <c r="B94" s="4"/>
      <c r="C94" s="4"/>
      <c r="D94" s="4" t="s">
        <v>1787</v>
      </c>
      <c r="E94" s="5"/>
    </row>
    <row r="95" spans="1:5" ht="14.25" customHeight="1">
      <c r="A95" s="4"/>
      <c r="B95" s="4"/>
      <c r="C95" s="4"/>
      <c r="D95" s="4"/>
      <c r="E95" s="5"/>
    </row>
    <row r="96" spans="1:5" ht="14.25" customHeight="1">
      <c r="A96" s="4"/>
      <c r="B96" s="4"/>
      <c r="C96" s="4"/>
      <c r="D96" s="4" t="s">
        <v>1788</v>
      </c>
      <c r="E96" s="5"/>
    </row>
    <row r="97" spans="1:5" ht="14.25" customHeight="1">
      <c r="A97" s="4"/>
      <c r="B97" s="4"/>
      <c r="C97" s="4"/>
      <c r="D97" s="4"/>
      <c r="E97" s="5"/>
    </row>
    <row r="98" spans="1:5" ht="14.25" customHeight="1">
      <c r="A98" s="4"/>
      <c r="B98" s="4"/>
      <c r="C98" s="4"/>
      <c r="D98" s="4" t="s">
        <v>1789</v>
      </c>
      <c r="E98" s="5"/>
    </row>
  </sheetData>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1" width="71.88671875" customWidth="1"/>
    <col min="2" max="2" width="42.6640625" customWidth="1"/>
    <col min="3" max="3" width="45.109375" customWidth="1"/>
    <col min="4" max="4" width="46.44140625" customWidth="1"/>
    <col min="5" max="5" width="56.88671875" customWidth="1"/>
  </cols>
  <sheetData>
    <row r="1" spans="1:5" ht="14.25" customHeight="1">
      <c r="A1" s="19" t="s">
        <v>1790</v>
      </c>
      <c r="B1" s="38"/>
      <c r="C1" s="39"/>
      <c r="D1" s="39"/>
      <c r="E1" s="2"/>
    </row>
    <row r="2" spans="1:5" ht="14.25" customHeight="1">
      <c r="A2" s="3" t="s">
        <v>1791</v>
      </c>
      <c r="B2" s="3" t="s">
        <v>1792</v>
      </c>
      <c r="C2" s="4"/>
      <c r="D2" s="4" t="s">
        <v>1793</v>
      </c>
      <c r="E2" s="5" t="str">
        <f ca="1">IFERROR(__xludf.DUMMYFUNCTION("FILTER(D1:D1002,D1:D1002&lt;&gt; """")"),"Wǒ xiǎng zū yī jiàn fáng.")</f>
        <v>Wǒ xiǎng zū yī jiàn fáng.</v>
      </c>
    </row>
    <row r="3" spans="1:5" ht="14.25" customHeight="1">
      <c r="A3" s="3" t="s">
        <v>1794</v>
      </c>
      <c r="B3" s="3" t="s">
        <v>1795</v>
      </c>
      <c r="C3" s="4"/>
      <c r="D3" s="4"/>
      <c r="E3" s="6" t="str">
        <f ca="1">IFERROR(__xludf.DUMMYFUNCTION("""COMPUTED_VALUE"""),"Yuè zūjīn shì duōshǎo?")</f>
        <v>Yuè zūjīn shì duōshǎo?</v>
      </c>
    </row>
    <row r="4" spans="1:5" ht="14.25" customHeight="1">
      <c r="A4" s="3" t="s">
        <v>1796</v>
      </c>
      <c r="B4" s="3" t="s">
        <v>1797</v>
      </c>
      <c r="C4" s="4"/>
      <c r="D4" s="4" t="s">
        <v>1798</v>
      </c>
      <c r="E4" s="5" t="str">
        <f ca="1">IFERROR(__xludf.DUMMYFUNCTION("""COMPUTED_VALUE"""),"Xūyào yājīn ma?")</f>
        <v>Xūyào yājīn ma?</v>
      </c>
    </row>
    <row r="5" spans="1:5" ht="14.25" customHeight="1">
      <c r="A5" s="3" t="s">
        <v>1799</v>
      </c>
      <c r="B5" s="3" t="s">
        <v>1800</v>
      </c>
      <c r="C5" s="4"/>
      <c r="D5" s="4"/>
      <c r="E5" s="5" t="str">
        <f ca="1">IFERROR(__xludf.DUMMYFUNCTION("""COMPUTED_VALUE"""),"Xūyào jǐ gè yuè de yājīn?")</f>
        <v>Xūyào jǐ gè yuè de yājīn?</v>
      </c>
    </row>
    <row r="6" spans="1:5" ht="14.25" customHeight="1">
      <c r="A6" s="3" t="s">
        <v>1801</v>
      </c>
      <c r="B6" s="3" t="s">
        <v>1802</v>
      </c>
      <c r="C6" s="4"/>
      <c r="D6" s="4" t="s">
        <v>1803</v>
      </c>
      <c r="E6" s="5" t="str">
        <f ca="1">IFERROR(__xludf.DUMMYFUNCTION("""COMPUTED_VALUE"""),"Zhè jiān fáng yǒu kòng diào ma?")</f>
        <v>Zhè jiān fáng yǒu kòng diào ma?</v>
      </c>
    </row>
    <row r="7" spans="1:5" ht="14.25" customHeight="1">
      <c r="A7" s="3" t="s">
        <v>1804</v>
      </c>
      <c r="B7" s="3" t="s">
        <v>1805</v>
      </c>
      <c r="C7" s="4"/>
      <c r="D7" s="4"/>
      <c r="E7" s="5" t="str">
        <f ca="1">IFERROR(__xludf.DUMMYFUNCTION("""COMPUTED_VALUE"""),"Wǒ xiǎng xiān kàn kàn fángjiān.")</f>
        <v>Wǒ xiǎng xiān kàn kàn fángjiān.</v>
      </c>
    </row>
    <row r="8" spans="1:5" ht="14.25" customHeight="1">
      <c r="A8" s="3" t="s">
        <v>1806</v>
      </c>
      <c r="B8" s="3" t="s">
        <v>1807</v>
      </c>
      <c r="C8" s="4"/>
      <c r="D8" s="4" t="s">
        <v>1808</v>
      </c>
      <c r="E8" s="5" t="str">
        <f ca="1">IFERROR(__xludf.DUMMYFUNCTION("""COMPUTED_VALUE"""),"Zhè jiān fáng yǒudiǎn xiǎo.")</f>
        <v>Zhè jiān fáng yǒudiǎn xiǎo.</v>
      </c>
    </row>
    <row r="9" spans="1:5" ht="14.25" customHeight="1">
      <c r="A9" s="3" t="s">
        <v>1809</v>
      </c>
      <c r="B9" s="3" t="s">
        <v>1810</v>
      </c>
      <c r="C9" s="4"/>
      <c r="D9" s="4"/>
      <c r="E9" s="5" t="str">
        <f ca="1">IFERROR(__xludf.DUMMYFUNCTION("""COMPUTED_VALUE"""),"Yǒu chuānghù ma?")</f>
        <v>Yǒu chuānghù ma?</v>
      </c>
    </row>
    <row r="10" spans="1:5" ht="14.25" customHeight="1">
      <c r="A10" s="3" t="s">
        <v>1811</v>
      </c>
      <c r="B10" s="3" t="s">
        <v>223</v>
      </c>
      <c r="C10" s="4"/>
      <c r="D10" s="4" t="s">
        <v>1812</v>
      </c>
      <c r="E10" s="5" t="str">
        <f ca="1">IFERROR(__xludf.DUMMYFUNCTION("""COMPUTED_VALUE"""),"Yùshì zài nǎlǐ?")</f>
        <v>Yùshì zài nǎlǐ?</v>
      </c>
    </row>
    <row r="11" spans="1:5" ht="14.25" customHeight="1">
      <c r="A11" s="3" t="s">
        <v>1813</v>
      </c>
      <c r="B11" s="3" t="s">
        <v>1814</v>
      </c>
      <c r="C11" s="4"/>
      <c r="D11" s="4"/>
      <c r="E11" s="5" t="str">
        <f ca="1">IFERROR(__xludf.DUMMYFUNCTION("""COMPUTED_VALUE"""),"Yǒu rè shuǐ línyù ma?")</f>
        <v>Yǒu rè shuǐ línyù ma?</v>
      </c>
    </row>
    <row r="12" spans="1:5" ht="14.25" customHeight="1">
      <c r="A12" s="3" t="s">
        <v>1815</v>
      </c>
      <c r="B12" s="3" t="s">
        <v>1816</v>
      </c>
      <c r="C12" s="4"/>
      <c r="D12" s="4" t="s">
        <v>1817</v>
      </c>
      <c r="E12" s="6" t="str">
        <f ca="1">IFERROR(__xludf.DUMMYFUNCTION("""COMPUTED_VALUE"""),"Wǒ kěyǐ zài zhèlǐ zuò fàn ma?")</f>
        <v>Wǒ kěyǐ zài zhèlǐ zuò fàn ma?</v>
      </c>
    </row>
    <row r="13" spans="1:5" ht="14.25" customHeight="1">
      <c r="A13" s="3" t="s">
        <v>1818</v>
      </c>
      <c r="B13" s="3" t="s">
        <v>1819</v>
      </c>
      <c r="C13" s="4" t="s">
        <v>1820</v>
      </c>
      <c r="D13" s="4"/>
      <c r="E13" s="6" t="str">
        <f ca="1">IFERROR(__xludf.DUMMYFUNCTION("""COMPUTED_VALUE"""),"Yǒu liàng yīfú dì dìfāng ma?")</f>
        <v>Yǒu liàng yīfú dì dìfāng ma?</v>
      </c>
    </row>
    <row r="14" spans="1:5" ht="14.25" customHeight="1">
      <c r="A14" s="3" t="s">
        <v>1821</v>
      </c>
      <c r="B14" s="3" t="s">
        <v>1822</v>
      </c>
      <c r="C14" s="4"/>
      <c r="D14" s="4" t="s">
        <v>1823</v>
      </c>
      <c r="E14" s="6" t="str">
        <f ca="1">IFERROR(__xludf.DUMMYFUNCTION("""COMPUTED_VALUE"""),"Wǒ xiǎng qiān hétóng.")</f>
        <v>Wǒ xiǎng qiān hétóng.</v>
      </c>
    </row>
    <row r="15" spans="1:5" ht="14.25" customHeight="1">
      <c r="A15" s="3" t="s">
        <v>1824</v>
      </c>
      <c r="B15" s="3" t="s">
        <v>1825</v>
      </c>
      <c r="C15" s="4"/>
      <c r="D15" s="4"/>
      <c r="E15" s="6" t="str">
        <f ca="1">IFERROR(__xludf.DUMMYFUNCTION("""COMPUTED_VALUE"""),"Wǒ shénme shíhòu kěyǐ rùzhù?")</f>
        <v>Wǒ shénme shíhòu kěyǐ rùzhù?</v>
      </c>
    </row>
    <row r="16" spans="1:5" ht="14.25" customHeight="1">
      <c r="A16" s="3" t="s">
        <v>1826</v>
      </c>
      <c r="B16" s="3" t="s">
        <v>1827</v>
      </c>
      <c r="C16" s="4"/>
      <c r="D16" s="4" t="s">
        <v>1828</v>
      </c>
      <c r="E16" s="6" t="str">
        <f ca="1">IFERROR(__xludf.DUMMYFUNCTION("""COMPUTED_VALUE"""),"Qǐng gěi wǒ fángjiān yàoshi hǎo ma?")</f>
        <v>Qǐng gěi wǒ fángjiān yàoshi hǎo ma?</v>
      </c>
    </row>
    <row r="17" spans="1:5" ht="14.25" customHeight="1">
      <c r="A17" s="3" t="s">
        <v>1829</v>
      </c>
      <c r="B17" s="3" t="s">
        <v>1830</v>
      </c>
      <c r="C17" s="4"/>
      <c r="D17" s="4"/>
      <c r="E17" s="6" t="str">
        <f ca="1">IFERROR(__xludf.DUMMYFUNCTION("""COMPUTED_VALUE"""),"Fángdōng, shuǐlóngtóu huàile.")</f>
        <v>Fángdōng, shuǐlóngtóu huàile.</v>
      </c>
    </row>
    <row r="18" spans="1:5" ht="14.25" customHeight="1">
      <c r="A18" s="3" t="s">
        <v>1831</v>
      </c>
      <c r="B18" s="3" t="s">
        <v>1832</v>
      </c>
      <c r="C18" s="4"/>
      <c r="D18" s="4" t="s">
        <v>1833</v>
      </c>
      <c r="E18" s="5" t="str">
        <f ca="1">IFERROR(__xludf.DUMMYFUNCTION("""COMPUTED_VALUE"""),"Fángjiān lǐ de dēng huàile.")</f>
        <v>Fángjiān lǐ de dēng huàile.</v>
      </c>
    </row>
    <row r="19" spans="1:5" ht="14.25" customHeight="1">
      <c r="A19" s="3" t="s">
        <v>1834</v>
      </c>
      <c r="B19" s="3" t="s">
        <v>1835</v>
      </c>
      <c r="C19" s="4"/>
      <c r="D19" s="4"/>
      <c r="E19" s="4" t="str">
        <f ca="1">IFERROR(__xludf.DUMMYFUNCTION("""COMPUTED_VALUE"""),"Qǐng nín bāng wǒ jiào gè wéixiū gōng hǎo ma?")</f>
        <v>Qǐng nín bāng wǒ jiào gè wéixiū gōng hǎo ma?</v>
      </c>
    </row>
    <row r="20" spans="1:5" ht="14.25" customHeight="1">
      <c r="A20" s="3" t="s">
        <v>1836</v>
      </c>
      <c r="B20" s="3" t="s">
        <v>1837</v>
      </c>
      <c r="C20" s="4"/>
      <c r="D20" s="4" t="s">
        <v>1838</v>
      </c>
      <c r="E20" s="5" t="str">
        <f ca="1">IFERROR(__xludf.DUMMYFUNCTION("""COMPUTED_VALUE"""),"Wǒ de yàoshi diūle.")</f>
        <v>Wǒ de yàoshi diūle.</v>
      </c>
    </row>
    <row r="21" spans="1:5" ht="14.25" customHeight="1">
      <c r="A21" s="3" t="s">
        <v>1839</v>
      </c>
      <c r="B21" s="3" t="s">
        <v>1601</v>
      </c>
      <c r="C21" s="4"/>
      <c r="D21" s="4"/>
      <c r="E21" s="6" t="str">
        <f ca="1">IFERROR(__xludf.DUMMYFUNCTION("""COMPUTED_VALUE"""),"Nín yǒu bèiyòng yàoshi ma?")</f>
        <v>Nín yǒu bèiyòng yàoshi ma?</v>
      </c>
    </row>
    <row r="22" spans="1:5" ht="14.25" customHeight="1">
      <c r="A22" s="3" t="s">
        <v>1840</v>
      </c>
      <c r="B22" s="3" t="s">
        <v>1841</v>
      </c>
      <c r="C22" s="4"/>
      <c r="D22" s="4" t="s">
        <v>1842</v>
      </c>
      <c r="E22" s="6" t="str">
        <f ca="1">IFERROR(__xludf.DUMMYFUNCTION("""COMPUTED_VALUE"""),"Wǒ péngyǒu jīn wǎn yào guòlái.")</f>
        <v>Wǒ péngyǒu jīn wǎn yào guòlái.</v>
      </c>
    </row>
    <row r="23" spans="1:5" ht="14.25" customHeight="1">
      <c r="A23" s="3" t="s">
        <v>1843</v>
      </c>
      <c r="B23" s="3" t="s">
        <v>1844</v>
      </c>
      <c r="C23" s="4"/>
      <c r="D23" s="4"/>
      <c r="E23" s="6" t="str">
        <f ca="1">IFERROR(__xludf.DUMMYFUNCTION("""COMPUTED_VALUE"""),"Wǒ péngyǒu kěyǐ liúsù ma?")</f>
        <v>Wǒ péngyǒu kěyǐ liúsù ma?</v>
      </c>
    </row>
    <row r="24" spans="1:5" ht="14.25" customHeight="1">
      <c r="A24" s="3" t="s">
        <v>1845</v>
      </c>
      <c r="B24" s="3" t="s">
        <v>1846</v>
      </c>
      <c r="C24" s="4"/>
      <c r="D24" s="4" t="s">
        <v>1847</v>
      </c>
      <c r="E24" s="6" t="str">
        <f ca="1">IFERROR(__xludf.DUMMYFUNCTION("""COMPUTED_VALUE"""),"Zhèlǐ ānquán ma?")</f>
        <v>Zhèlǐ ānquán ma?</v>
      </c>
    </row>
    <row r="25" spans="1:5" ht="14.25" customHeight="1">
      <c r="A25" s="3" t="s">
        <v>1848</v>
      </c>
      <c r="B25" s="3" t="s">
        <v>1849</v>
      </c>
      <c r="C25" s="4"/>
      <c r="D25" s="4"/>
      <c r="E25" s="6" t="str">
        <f ca="1">IFERROR(__xludf.DUMMYFUNCTION("""COMPUTED_VALUE"""),"Yǒu bǎo'ān zhíbān ma?")</f>
        <v>Yǒu bǎo'ān zhíbān ma?</v>
      </c>
    </row>
    <row r="26" spans="1:5" ht="14.25" customHeight="1">
      <c r="A26" s="3" t="s">
        <v>1850</v>
      </c>
      <c r="B26" s="3" t="s">
        <v>1851</v>
      </c>
      <c r="C26" s="4"/>
      <c r="D26" s="4" t="s">
        <v>1852</v>
      </c>
      <c r="E26" s="6" t="str">
        <f ca="1">IFERROR(__xludf.DUMMYFUNCTION("""COMPUTED_VALUE"""),"Wǒ de mótuō chē kěyǐ tíng zài nǎlǐ?")</f>
        <v>Wǒ de mótuō chē kěyǐ tíng zài nǎlǐ?</v>
      </c>
    </row>
    <row r="27" spans="1:5" ht="14.25" customHeight="1">
      <c r="A27" s="3" t="s">
        <v>1853</v>
      </c>
      <c r="B27" s="3" t="s">
        <v>1854</v>
      </c>
      <c r="C27" s="4"/>
      <c r="D27" s="4"/>
      <c r="E27" s="6" t="str">
        <f ca="1">IFERROR(__xludf.DUMMYFUNCTION("""COMPUTED_VALUE"""),"Tíngchē fèi duōshǎo? ")</f>
        <v xml:space="preserve">Tíngchē fèi duōshǎo? </v>
      </c>
    </row>
    <row r="28" spans="1:5" ht="14.25" customHeight="1">
      <c r="A28" s="3" t="s">
        <v>1855</v>
      </c>
      <c r="B28" s="3" t="s">
        <v>1856</v>
      </c>
      <c r="C28" s="4"/>
      <c r="D28" s="4" t="s">
        <v>1857</v>
      </c>
      <c r="E28" s="6" t="str">
        <f ca="1">IFERROR(__xludf.DUMMYFUNCTION("""COMPUTED_VALUE"""),"Wǒ xiǎng xǐyīfú.")</f>
        <v>Wǒ xiǎng xǐyīfú.</v>
      </c>
    </row>
    <row r="29" spans="1:5" ht="14.25" customHeight="1">
      <c r="A29" s="3" t="s">
        <v>1858</v>
      </c>
      <c r="B29" s="3" t="s">
        <v>1859</v>
      </c>
      <c r="C29" s="4"/>
      <c r="D29" s="4"/>
      <c r="E29" s="37" t="str">
        <f ca="1">IFERROR(__xludf.DUMMYFUNCTION("""COMPUTED_VALUE"""),"Zuìjìn de zìzhù xǐ yī diàn zài nǎlǐ?")</f>
        <v>Zuìjìn de zìzhù xǐ yī diàn zài nǎlǐ?</v>
      </c>
    </row>
    <row r="30" spans="1:5" ht="14.25" customHeight="1">
      <c r="A30" s="3" t="s">
        <v>1860</v>
      </c>
      <c r="B30" s="3" t="s">
        <v>1861</v>
      </c>
      <c r="C30" s="4"/>
      <c r="D30" s="4" t="s">
        <v>1862</v>
      </c>
      <c r="E30" s="6" t="str">
        <f ca="1">IFERROR(__xludf.DUMMYFUNCTION("""COMPUTED_VALUE"""),"Wǒ xū yāo mǎi píngzhuāng shuǐ (yǐnyòng shuǐ).")</f>
        <v>Wǒ xū yāo mǎi píngzhuāng shuǐ (yǐnyòng shuǐ).</v>
      </c>
    </row>
    <row r="31" spans="1:5" ht="14.25" customHeight="1">
      <c r="A31" s="3" t="s">
        <v>1863</v>
      </c>
      <c r="B31" s="3" t="s">
        <v>1864</v>
      </c>
      <c r="C31" s="4"/>
      <c r="D31" s="4"/>
      <c r="E31" s="4" t="str">
        <f ca="1">IFERROR(__xludf.DUMMYFUNCTION("""COMPUTED_VALUE"""),"Qǐng sòng liǎng píng shuǐ dào 302 fángjiān.")</f>
        <v>Qǐng sòng liǎng píng shuǐ dào 302 fángjiān.</v>
      </c>
    </row>
    <row r="32" spans="1:5" ht="14.25" customHeight="1">
      <c r="A32" s="3" t="s">
        <v>1865</v>
      </c>
      <c r="B32" s="3" t="s">
        <v>1866</v>
      </c>
      <c r="C32" s="4"/>
      <c r="D32" s="4" t="s">
        <v>1867</v>
      </c>
      <c r="E32" s="4" t="str">
        <f ca="1">IFERROR(__xludf.DUMMYFUNCTION("""COMPUTED_VALUE"""),"Lèsè yīnggāi rēng dào nǎlǐ?")</f>
        <v>Lèsè yīnggāi rēng dào nǎlǐ?</v>
      </c>
    </row>
    <row r="33" spans="1:5" ht="14.25" customHeight="1">
      <c r="A33" s="3" t="s">
        <v>1868</v>
      </c>
      <c r="B33" s="3" t="s">
        <v>1869</v>
      </c>
      <c r="C33" s="4"/>
      <c r="D33" s="4"/>
      <c r="E33" s="4" t="str">
        <f ca="1">IFERROR(__xludf.DUMMYFUNCTION("""COMPUTED_VALUE"""),"Lèsè chē jǐ diǎn lái?")</f>
        <v>Lèsè chē jǐ diǎn lái?</v>
      </c>
    </row>
    <row r="34" spans="1:5" ht="14.25" customHeight="1">
      <c r="A34" s="3" t="s">
        <v>1870</v>
      </c>
      <c r="B34" s="3" t="s">
        <v>1871</v>
      </c>
      <c r="C34" s="4" t="s">
        <v>1872</v>
      </c>
      <c r="D34" s="4" t="s">
        <v>1873</v>
      </c>
      <c r="E34" s="4" t="str">
        <f ca="1">IFERROR(__xludf.DUMMYFUNCTION("""COMPUTED_VALUE"""),"Wǒ xiǎng ānzhuāng wǎngluò.")</f>
        <v>Wǒ xiǎng ānzhuāng wǎngluò.</v>
      </c>
    </row>
    <row r="35" spans="1:5" ht="14.25" customHeight="1">
      <c r="A35" s="3" t="s">
        <v>1874</v>
      </c>
      <c r="B35" s="3" t="s">
        <v>1875</v>
      </c>
      <c r="C35" s="4"/>
      <c r="D35" s="4"/>
      <c r="E35" s="8" t="str">
        <f ca="1">IFERROR(__xludf.DUMMYFUNCTION("""COMPUTED_VALUE"""),"Zhèlǐ de wǎng sù kuài ma?")</f>
        <v>Zhèlǐ de wǎng sù kuài ma?</v>
      </c>
    </row>
    <row r="36" spans="1:5" ht="14.25" customHeight="1">
      <c r="A36" s="3" t="s">
        <v>1876</v>
      </c>
      <c r="B36" s="3" t="s">
        <v>1877</v>
      </c>
      <c r="C36" s="4"/>
      <c r="D36" s="4" t="s">
        <v>1878</v>
      </c>
      <c r="E36" s="5" t="str">
        <f ca="1">IFERROR(__xludf.DUMMYFUNCTION("""COMPUTED_VALUE"""),"Wǒ xiǎng zhège yuè jiāo fángzū.")</f>
        <v>Wǒ xiǎng zhège yuè jiāo fángzū.</v>
      </c>
    </row>
    <row r="37" spans="1:5" ht="14.25" customHeight="1">
      <c r="A37" s="3" t="s">
        <v>1879</v>
      </c>
      <c r="B37" s="3" t="s">
        <v>1880</v>
      </c>
      <c r="C37" s="4"/>
      <c r="D37" s="4"/>
      <c r="E37" s="8" t="str">
        <f ca="1">IFERROR(__xludf.DUMMYFUNCTION("""COMPUTED_VALUE"""),"Wǒ kěyǐ wǎn jǐ tiān jiāo ma?")</f>
        <v>Wǒ kěyǐ wǎn jǐ tiān jiāo ma?</v>
      </c>
    </row>
    <row r="38" spans="1:5" ht="14.25" customHeight="1">
      <c r="A38" s="3" t="s">
        <v>1881</v>
      </c>
      <c r="B38" s="3" t="s">
        <v>1882</v>
      </c>
      <c r="C38" s="4"/>
      <c r="D38" s="4" t="s">
        <v>1631</v>
      </c>
      <c r="E38" s="5" t="str">
        <f ca="1">IFERROR(__xludf.DUMMYFUNCTION("""COMPUTED_VALUE"""),"Xièxiè nín de lǐjiě.")</f>
        <v>Xièxiè nín de lǐjiě.</v>
      </c>
    </row>
    <row r="39" spans="1:5" ht="14.25" customHeight="1">
      <c r="A39" s="3" t="s">
        <v>1883</v>
      </c>
      <c r="B39" s="3" t="s">
        <v>1884</v>
      </c>
      <c r="C39" s="4"/>
      <c r="D39" s="4"/>
      <c r="E39" s="6" t="str">
        <f ca="1">IFERROR(__xludf.DUMMYFUNCTION("""COMPUTED_VALUE"""),"Wǒ xià gè yuè xiǎng bān zǒu.")</f>
        <v>Wǒ xià gè yuè xiǎng bān zǒu.</v>
      </c>
    </row>
    <row r="40" spans="1:5" ht="14.25" customHeight="1">
      <c r="A40" s="3" t="s">
        <v>1885</v>
      </c>
      <c r="B40" s="3" t="s">
        <v>1886</v>
      </c>
      <c r="C40" s="4"/>
      <c r="D40" s="4" t="s">
        <v>1887</v>
      </c>
      <c r="E40" s="6" t="str">
        <f ca="1">IFERROR(__xludf.DUMMYFUNCTION("""COMPUTED_VALUE"""),"Wǒ kěyǐ ná huí yājīn ma?")</f>
        <v>Wǒ kěyǐ ná huí yājīn ma?</v>
      </c>
    </row>
    <row r="41" spans="1:5" ht="14.25" customHeight="1">
      <c r="A41" s="3" t="s">
        <v>1888</v>
      </c>
      <c r="B41" s="3" t="s">
        <v>1889</v>
      </c>
      <c r="C41" s="4"/>
      <c r="D41" s="4"/>
      <c r="E41" s="5" t="str">
        <f ca="1">IFERROR(__xludf.DUMMYFUNCTION("""COMPUTED_VALUE"""),"Zhège fángjiān tài chǎole.")</f>
        <v>Zhège fángjiān tài chǎole.</v>
      </c>
    </row>
    <row r="42" spans="1:5" ht="14.25" customHeight="1">
      <c r="A42" s="3" t="s">
        <v>1890</v>
      </c>
      <c r="B42" s="3" t="s">
        <v>1891</v>
      </c>
      <c r="C42" s="4"/>
      <c r="D42" s="4" t="s">
        <v>1892</v>
      </c>
      <c r="E42" s="4" t="str">
        <f ca="1">IFERROR(__xludf.DUMMYFUNCTION("""COMPUTED_VALUE"""),"Línjū chàng kǎlā OK de shēngyīn tài dàle!")</f>
        <v>Línjū chàng kǎlā OK de shēngyīn tài dàle!</v>
      </c>
    </row>
    <row r="43" spans="1:5" ht="14.25" customHeight="1">
      <c r="A43" s="3" t="s">
        <v>1893</v>
      </c>
      <c r="B43" s="3" t="s">
        <v>1894</v>
      </c>
      <c r="C43" s="4"/>
      <c r="D43" s="4"/>
      <c r="E43" s="5" t="str">
        <f ca="1">IFERROR(__xludf.DUMMYFUNCTION("""COMPUTED_VALUE"""),"Wǒ xūyào ānjìng shuìjiào.")</f>
        <v>Wǒ xūyào ānjìng shuìjiào.</v>
      </c>
    </row>
    <row r="44" spans="1:5" ht="14.25" customHeight="1">
      <c r="A44" s="3" t="s">
        <v>1895</v>
      </c>
      <c r="B44" s="3" t="s">
        <v>1896</v>
      </c>
      <c r="C44" s="4"/>
      <c r="D44" s="4" t="s">
        <v>1897</v>
      </c>
      <c r="E44" s="4" t="str">
        <f ca="1">IFERROR(__xludf.DUMMYFUNCTION("""COMPUTED_VALUE"""),"Qǐng ràng tāmen ānjìng xiē.")</f>
        <v>Qǐng ràng tāmen ānjìng xiē.</v>
      </c>
    </row>
    <row r="45" spans="1:5" ht="14.25" customHeight="1">
      <c r="A45" s="17" t="s">
        <v>1898</v>
      </c>
      <c r="B45" s="17" t="s">
        <v>1899</v>
      </c>
      <c r="C45" s="18"/>
      <c r="D45" s="18"/>
      <c r="E45" s="5" t="str">
        <f ca="1">IFERROR(__xludf.DUMMYFUNCTION("""COMPUTED_VALUE"""),"Zhè fángzǐ li yǒu zhāngláng ma?(Xúnwèn yǐbiàn zuò hǎo zhǔnbèi)")</f>
        <v>Zhè fángzǐ li yǒu zhāngláng ma?(Xúnwèn yǐbiàn zuò hǎo zhǔnbèi)</v>
      </c>
    </row>
    <row r="46" spans="1:5" ht="14.25" customHeight="1">
      <c r="A46" s="3" t="s">
        <v>1900</v>
      </c>
      <c r="B46" s="3" t="s">
        <v>1901</v>
      </c>
      <c r="C46" s="4"/>
      <c r="D46" s="4" t="s">
        <v>1902</v>
      </c>
      <c r="E46" s="4" t="str">
        <f ca="1">IFERROR(__xludf.DUMMYFUNCTION("""COMPUTED_VALUE"""),"wǒ xū yāo mǎi shā chóng jì.")</f>
        <v>wǒ xū yāo mǎi shā chóng jì.</v>
      </c>
    </row>
    <row r="47" spans="1:5" ht="14.25" customHeight="1">
      <c r="A47" s="3" t="s">
        <v>1903</v>
      </c>
      <c r="B47" s="3" t="s">
        <v>1904</v>
      </c>
      <c r="C47" s="4"/>
      <c r="D47" s="4"/>
      <c r="E47" s="4" t="str">
        <f ca="1">IFERROR(__xludf.DUMMYFUNCTION("""COMPUTED_VALUE"""),"Chuānghù kǎ zhùle.")</f>
        <v>Chuānghù kǎ zhùle.</v>
      </c>
    </row>
    <row r="48" spans="1:5" ht="14.25" customHeight="1">
      <c r="A48" s="3" t="s">
        <v>1905</v>
      </c>
      <c r="B48" s="3" t="s">
        <v>1906</v>
      </c>
      <c r="C48" s="4"/>
      <c r="D48" s="4" t="s">
        <v>1907</v>
      </c>
      <c r="E48" s="4" t="str">
        <f ca="1">IFERROR(__xludf.DUMMYFUNCTION("""COMPUTED_VALUE"""),"Wǒ zhēn de hěn xǐhuān zhè fángzǐ.")</f>
        <v>Wǒ zhēn de hěn xǐhuān zhè fángzǐ.</v>
      </c>
    </row>
    <row r="49" spans="1:5" ht="14.25" customHeight="1">
      <c r="A49" s="3" t="s">
        <v>1908</v>
      </c>
      <c r="B49" s="3" t="s">
        <v>1909</v>
      </c>
      <c r="C49" s="4"/>
      <c r="D49" s="4"/>
      <c r="E49" s="5" t="str">
        <f ca="1">IFERROR(__xludf.DUMMYFUNCTION("""COMPUTED_VALUE"""),"Fángdōng rén hěn hǎo.")</f>
        <v>Fángdōng rén hěn hǎo.</v>
      </c>
    </row>
    <row r="50" spans="1:5" ht="14.25" customHeight="1">
      <c r="A50" s="3" t="s">
        <v>1910</v>
      </c>
      <c r="B50" s="3" t="s">
        <v>1911</v>
      </c>
      <c r="C50" s="4"/>
      <c r="D50" s="4" t="s">
        <v>1912</v>
      </c>
      <c r="E50" s="6" t="str">
        <f ca="1">IFERROR(__xludf.DUMMYFUNCTION("""COMPUTED_VALUE"""),"Wǒ huì bǎochí fángzǐ gānjìng zhěngjié.")</f>
        <v>Wǒ huì bǎochí fángzǐ gānjìng zhěngjié.</v>
      </c>
    </row>
    <row r="51" spans="1:5" ht="14.25" customHeight="1">
      <c r="A51" s="3" t="s">
        <v>1913</v>
      </c>
      <c r="B51" s="3" t="s">
        <v>1914</v>
      </c>
      <c r="C51" s="4"/>
      <c r="D51" s="4"/>
      <c r="E51" s="6" t="str">
        <f ca="1">IFERROR(__xludf.DUMMYFUNCTION("""COMPUTED_VALUE"""),"Zhù nǐ yǒu měihǎo de yītiān.")</f>
        <v>Zhù nǐ yǒu měihǎo de yītiān.</v>
      </c>
    </row>
    <row r="52" spans="1:5" ht="14.25" customHeight="1">
      <c r="A52" s="4"/>
      <c r="B52" s="4"/>
      <c r="C52" s="4"/>
      <c r="D52" s="4" t="s">
        <v>1915</v>
      </c>
    </row>
    <row r="53" spans="1:5" ht="14.25" customHeight="1">
      <c r="A53" s="4"/>
      <c r="B53" s="4"/>
      <c r="C53" s="4"/>
      <c r="D53" s="4" t="s">
        <v>1916</v>
      </c>
      <c r="E53" s="5"/>
    </row>
    <row r="54" spans="1:5" ht="14.25" customHeight="1">
      <c r="A54" s="4"/>
      <c r="B54" s="4"/>
      <c r="C54" s="4"/>
      <c r="D54" s="4" t="s">
        <v>1917</v>
      </c>
      <c r="E54" s="5"/>
    </row>
    <row r="55" spans="1:5" ht="14.25" customHeight="1">
      <c r="A55" s="4"/>
      <c r="B55" s="4"/>
      <c r="C55" s="4"/>
      <c r="D55" s="4"/>
      <c r="E55" s="5"/>
    </row>
    <row r="56" spans="1:5" ht="14.25" customHeight="1">
      <c r="A56" s="4"/>
      <c r="B56" s="4"/>
      <c r="C56" s="4"/>
      <c r="D56" s="4" t="s">
        <v>1918</v>
      </c>
      <c r="E56" s="5"/>
    </row>
    <row r="57" spans="1:5" ht="14.25" customHeight="1">
      <c r="A57" s="4"/>
      <c r="B57" s="4"/>
      <c r="C57" s="4"/>
      <c r="D57" s="4"/>
      <c r="E57" s="5"/>
    </row>
    <row r="58" spans="1:5" ht="14.25" customHeight="1">
      <c r="A58" s="4"/>
      <c r="B58" s="4"/>
      <c r="C58" s="4"/>
      <c r="D58" s="4" t="s">
        <v>1919</v>
      </c>
      <c r="E58" s="5"/>
    </row>
    <row r="59" spans="1:5" ht="14.25" customHeight="1">
      <c r="A59" s="4"/>
      <c r="B59" s="4"/>
      <c r="C59" s="4"/>
      <c r="D59" s="4"/>
    </row>
    <row r="60" spans="1:5" ht="14.25" customHeight="1">
      <c r="A60" s="4"/>
      <c r="B60" s="4"/>
      <c r="C60" s="4"/>
      <c r="D60" s="4" t="s">
        <v>1920</v>
      </c>
      <c r="E60" s="5"/>
    </row>
    <row r="61" spans="1:5" ht="14.25" customHeight="1">
      <c r="A61" s="4"/>
      <c r="B61" s="4"/>
      <c r="C61" s="4"/>
      <c r="D61" s="4"/>
      <c r="E61" s="5"/>
    </row>
    <row r="62" spans="1:5" ht="14.25" customHeight="1">
      <c r="A62" s="4"/>
      <c r="B62" s="4"/>
      <c r="C62" s="4"/>
      <c r="D62" s="4" t="s">
        <v>1921</v>
      </c>
      <c r="E62" s="5"/>
    </row>
    <row r="63" spans="1:5" ht="14.25" customHeight="1">
      <c r="A63" s="4"/>
      <c r="B63" s="4"/>
      <c r="C63" s="4"/>
      <c r="D63" s="4"/>
      <c r="E63" s="5"/>
    </row>
    <row r="64" spans="1:5" ht="14.25" customHeight="1">
      <c r="A64" s="4"/>
      <c r="B64" s="4"/>
      <c r="C64" s="4"/>
      <c r="D64" s="4" t="s">
        <v>1922</v>
      </c>
      <c r="E64" s="5"/>
    </row>
    <row r="65" spans="1:5" ht="14.25" customHeight="1">
      <c r="A65" s="4"/>
      <c r="B65" s="4"/>
      <c r="C65" s="4"/>
      <c r="D65" s="4"/>
      <c r="E65" s="5"/>
    </row>
    <row r="66" spans="1:5" ht="14.25" customHeight="1">
      <c r="A66" s="4"/>
      <c r="B66" s="4"/>
      <c r="C66" s="4"/>
      <c r="D66" s="4" t="s">
        <v>1923</v>
      </c>
      <c r="E66" s="5"/>
    </row>
    <row r="67" spans="1:5" ht="14.25" customHeight="1">
      <c r="A67" s="4"/>
      <c r="B67" s="4"/>
      <c r="C67" s="4"/>
      <c r="D67" s="4"/>
      <c r="E67" s="5"/>
    </row>
    <row r="68" spans="1:5" ht="14.25" customHeight="1">
      <c r="A68" s="4"/>
      <c r="B68" s="4"/>
      <c r="C68" s="4"/>
      <c r="D68" s="4" t="s">
        <v>1924</v>
      </c>
      <c r="E68" s="5"/>
    </row>
    <row r="69" spans="1:5" ht="14.25" customHeight="1">
      <c r="A69" s="4"/>
      <c r="B69" s="4"/>
      <c r="C69" s="4"/>
      <c r="D69" s="4"/>
      <c r="E69" s="5"/>
    </row>
    <row r="70" spans="1:5" ht="14.25" customHeight="1">
      <c r="A70" s="4"/>
      <c r="B70" s="4"/>
      <c r="C70" s="4"/>
      <c r="D70" s="4" t="s">
        <v>1925</v>
      </c>
      <c r="E70" s="5"/>
    </row>
    <row r="71" spans="1:5" ht="14.25" customHeight="1">
      <c r="A71" s="4"/>
      <c r="B71" s="4"/>
      <c r="C71" s="4"/>
      <c r="D71" s="4"/>
      <c r="E71" s="5"/>
    </row>
    <row r="72" spans="1:5" ht="14.25" customHeight="1">
      <c r="A72" s="4"/>
      <c r="B72" s="4"/>
      <c r="C72" s="4"/>
      <c r="D72" s="4" t="s">
        <v>1926</v>
      </c>
      <c r="E72" s="5"/>
    </row>
    <row r="73" spans="1:5" ht="14.25" customHeight="1">
      <c r="A73" s="4"/>
      <c r="B73" s="4"/>
      <c r="C73" s="4"/>
      <c r="D73" s="4"/>
      <c r="E73" s="5"/>
    </row>
    <row r="74" spans="1:5" ht="14.25" customHeight="1">
      <c r="A74" s="4"/>
      <c r="B74" s="4"/>
      <c r="C74" s="4"/>
      <c r="D74" s="4" t="s">
        <v>1927</v>
      </c>
      <c r="E74" s="5"/>
    </row>
    <row r="75" spans="1:5" ht="14.25" customHeight="1">
      <c r="A75" s="4"/>
      <c r="B75" s="4"/>
      <c r="C75" s="4"/>
      <c r="D75" s="4"/>
      <c r="E75" s="5"/>
    </row>
    <row r="76" spans="1:5" ht="14.25" customHeight="1">
      <c r="A76" s="4"/>
      <c r="B76" s="4"/>
      <c r="C76" s="4"/>
      <c r="D76" s="4" t="s">
        <v>1928</v>
      </c>
      <c r="E76" s="5"/>
    </row>
    <row r="77" spans="1:5" ht="14.25" customHeight="1">
      <c r="A77" s="4"/>
      <c r="B77" s="4"/>
      <c r="C77" s="4"/>
      <c r="D77" s="4"/>
      <c r="E77" s="5"/>
    </row>
    <row r="78" spans="1:5" ht="14.25" customHeight="1">
      <c r="A78" s="4"/>
      <c r="B78" s="4"/>
      <c r="C78" s="4"/>
      <c r="D78" s="4" t="s">
        <v>1929</v>
      </c>
      <c r="E78" s="5"/>
    </row>
    <row r="79" spans="1:5" ht="14.25" customHeight="1">
      <c r="A79" s="4"/>
      <c r="B79" s="4"/>
      <c r="C79" s="4"/>
      <c r="D79" s="4"/>
      <c r="E79" s="5"/>
    </row>
    <row r="80" spans="1:5" ht="14.25" customHeight="1">
      <c r="A80" s="4"/>
      <c r="B80" s="4"/>
      <c r="C80" s="4"/>
      <c r="D80" s="4" t="s">
        <v>1930</v>
      </c>
      <c r="E80" s="5"/>
    </row>
    <row r="81" spans="1:5" ht="14.25" customHeight="1">
      <c r="A81" s="4"/>
      <c r="B81" s="4"/>
      <c r="C81" s="4"/>
      <c r="D81" s="4"/>
      <c r="E81" s="5"/>
    </row>
    <row r="82" spans="1:5" ht="14.25" customHeight="1">
      <c r="A82" s="4"/>
      <c r="B82" s="4"/>
      <c r="C82" s="4"/>
      <c r="D82" s="4" t="s">
        <v>1931</v>
      </c>
      <c r="E82" s="5"/>
    </row>
    <row r="83" spans="1:5" ht="14.25" customHeight="1">
      <c r="A83" s="4"/>
      <c r="B83" s="4"/>
      <c r="C83" s="4"/>
      <c r="D83" s="4"/>
      <c r="E83" s="5"/>
    </row>
    <row r="84" spans="1:5" ht="14.25" customHeight="1">
      <c r="A84" s="4"/>
      <c r="B84" s="4"/>
      <c r="C84" s="4"/>
      <c r="D84" s="4" t="s">
        <v>1932</v>
      </c>
      <c r="E84" s="5"/>
    </row>
    <row r="85" spans="1:5" ht="14.25" customHeight="1">
      <c r="A85" s="4"/>
      <c r="B85" s="4"/>
      <c r="C85" s="4"/>
      <c r="D85" s="4"/>
      <c r="E85" s="5"/>
    </row>
    <row r="86" spans="1:5" ht="14.25" customHeight="1">
      <c r="A86" s="4"/>
      <c r="B86" s="4"/>
      <c r="C86" s="4"/>
      <c r="D86" s="4" t="s">
        <v>1933</v>
      </c>
      <c r="E86" s="5"/>
    </row>
    <row r="87" spans="1:5" ht="14.25" customHeight="1">
      <c r="A87" s="4"/>
      <c r="B87" s="4"/>
      <c r="C87" s="4"/>
      <c r="D87" s="4"/>
      <c r="E87" s="5"/>
    </row>
    <row r="88" spans="1:5" ht="14.25" customHeight="1">
      <c r="A88" s="4"/>
      <c r="B88" s="4"/>
      <c r="C88" s="4"/>
      <c r="D88" s="4" t="s">
        <v>1934</v>
      </c>
      <c r="E88" s="5"/>
    </row>
    <row r="89" spans="1:5" ht="14.25" customHeight="1">
      <c r="A89" s="4"/>
      <c r="B89" s="4"/>
      <c r="C89" s="4"/>
      <c r="D89" s="4"/>
      <c r="E89" s="5"/>
    </row>
    <row r="90" spans="1:5" ht="14.25" customHeight="1">
      <c r="A90" s="4"/>
      <c r="B90" s="4"/>
      <c r="C90" s="4"/>
      <c r="D90" s="4" t="s">
        <v>1935</v>
      </c>
      <c r="E90" s="5"/>
    </row>
    <row r="91" spans="1:5" ht="14.25" customHeight="1">
      <c r="A91" s="4"/>
      <c r="B91" s="4"/>
      <c r="C91" s="4"/>
      <c r="D91" s="4"/>
      <c r="E91" s="5"/>
    </row>
    <row r="92" spans="1:5" ht="14.25" customHeight="1">
      <c r="A92" s="4"/>
      <c r="B92" s="4"/>
      <c r="C92" s="4"/>
      <c r="D92" s="4" t="s">
        <v>1936</v>
      </c>
      <c r="E92" s="5"/>
    </row>
    <row r="93" spans="1:5" ht="14.25" customHeight="1">
      <c r="A93" s="4"/>
      <c r="B93" s="4"/>
      <c r="C93" s="4"/>
      <c r="D93" s="4"/>
      <c r="E93" s="5"/>
    </row>
    <row r="94" spans="1:5" ht="14.25" customHeight="1">
      <c r="A94" s="4"/>
      <c r="B94" s="4"/>
      <c r="C94" s="4"/>
      <c r="D94" s="4" t="s">
        <v>1937</v>
      </c>
      <c r="E94" s="5"/>
    </row>
    <row r="95" spans="1:5" ht="14.25" customHeight="1">
      <c r="A95" s="4"/>
      <c r="B95" s="4"/>
      <c r="C95" s="4"/>
      <c r="D95" s="4"/>
      <c r="E95" s="5"/>
    </row>
    <row r="96" spans="1:5" ht="14.25" customHeight="1">
      <c r="A96" s="4"/>
      <c r="B96" s="4"/>
      <c r="C96" s="4"/>
      <c r="D96" s="4" t="s">
        <v>1938</v>
      </c>
      <c r="E96" s="5"/>
    </row>
    <row r="97" spans="1:5" ht="14.25" customHeight="1">
      <c r="A97" s="4"/>
      <c r="B97" s="4"/>
      <c r="C97" s="4"/>
      <c r="D97" s="4" t="s">
        <v>1939</v>
      </c>
      <c r="E97" s="5"/>
    </row>
    <row r="98" spans="1:5" ht="14.25" customHeight="1">
      <c r="A98" s="4"/>
      <c r="B98" s="4"/>
      <c r="C98" s="4"/>
      <c r="D98" s="4"/>
      <c r="E98" s="5"/>
    </row>
  </sheetData>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48.33203125" customWidth="1"/>
    <col min="5" max="5" width="56.88671875" customWidth="1"/>
  </cols>
  <sheetData>
    <row r="1" spans="1:5" ht="14.25" customHeight="1">
      <c r="A1" s="19" t="s">
        <v>1940</v>
      </c>
      <c r="B1" s="38"/>
      <c r="C1" s="39"/>
      <c r="D1" s="39"/>
      <c r="E1" s="2"/>
    </row>
    <row r="2" spans="1:5" ht="14.25" customHeight="1">
      <c r="A2" s="3" t="s">
        <v>1941</v>
      </c>
      <c r="B2" s="3" t="s">
        <v>1942</v>
      </c>
      <c r="C2" s="4"/>
      <c r="D2" s="4" t="s">
        <v>1943</v>
      </c>
      <c r="E2" s="5" t="str">
        <f ca="1">IFERROR(__xludf.DUMMYFUNCTION("FILTER(D1:D1002,D1:D1002&lt;&gt; """")"),"Lǎoshī hǎo.")</f>
        <v>Lǎoshī hǎo.</v>
      </c>
    </row>
    <row r="3" spans="1:5" ht="14.25" customHeight="1">
      <c r="A3" s="3" t="s">
        <v>1944</v>
      </c>
      <c r="B3" s="3" t="s">
        <v>1945</v>
      </c>
      <c r="C3" s="4"/>
      <c r="D3" s="4"/>
      <c r="E3" s="6" t="str">
        <f ca="1">IFERROR(__xludf.DUMMYFUNCTION("""COMPUTED_VALUE"""),"Dàjiā hǎo.")</f>
        <v>Dàjiā hǎo.</v>
      </c>
    </row>
    <row r="4" spans="1:5" ht="14.25" customHeight="1">
      <c r="A4" s="3" t="s">
        <v>1946</v>
      </c>
      <c r="B4" s="3" t="s">
        <v>1947</v>
      </c>
      <c r="C4" s="4"/>
      <c r="D4" s="4" t="s">
        <v>1948</v>
      </c>
      <c r="E4" s="5" t="str">
        <f ca="1">IFERROR(__xludf.DUMMYFUNCTION("""COMPUTED_VALUE"""),"Wǒ kěyǐ zuò zhèlǐ ma?")</f>
        <v>Wǒ kěyǐ zuò zhèlǐ ma?</v>
      </c>
    </row>
    <row r="5" spans="1:5" ht="14.25" customHeight="1">
      <c r="A5" s="3" t="s">
        <v>1949</v>
      </c>
      <c r="B5" s="3" t="s">
        <v>1950</v>
      </c>
      <c r="C5" s="4"/>
      <c r="D5" s="4"/>
      <c r="E5" s="5" t="str">
        <f ca="1">IFERROR(__xludf.DUMMYFUNCTION("""COMPUTED_VALUE"""),"Wǒ kěyǐ jièzhī qiānbǐ ma?")</f>
        <v>Wǒ kěyǐ jièzhī qiānbǐ ma?</v>
      </c>
    </row>
    <row r="6" spans="1:5" ht="14.25" customHeight="1">
      <c r="A6" s="3" t="s">
        <v>1951</v>
      </c>
      <c r="B6" s="3" t="s">
        <v>1952</v>
      </c>
      <c r="C6" s="4"/>
      <c r="D6" s="4" t="s">
        <v>1953</v>
      </c>
      <c r="E6" s="5" t="str">
        <f ca="1">IFERROR(__xludf.DUMMYFUNCTION("""COMPUTED_VALUE"""),"Wǒ wàngle dài bǐjìběn.")</f>
        <v>Wǒ wàngle dài bǐjìběn.</v>
      </c>
    </row>
    <row r="7" spans="1:5" ht="14.25" customHeight="1">
      <c r="A7" s="3" t="s">
        <v>1954</v>
      </c>
      <c r="B7" s="3" t="s">
        <v>1955</v>
      </c>
      <c r="C7" s="4"/>
      <c r="D7" s="4"/>
      <c r="E7" s="5" t="str">
        <f ca="1">IFERROR(__xludf.DUMMYFUNCTION("""COMPUTED_VALUE"""),"Jīntiān de kèchéng shì shénme?")</f>
        <v>Jīntiān de kèchéng shì shénme?</v>
      </c>
    </row>
    <row r="8" spans="1:5" ht="14.25" customHeight="1">
      <c r="A8" s="3" t="s">
        <v>1956</v>
      </c>
      <c r="B8" s="3" t="s">
        <v>1957</v>
      </c>
      <c r="C8" s="4"/>
      <c r="D8" s="4" t="s">
        <v>1958</v>
      </c>
      <c r="E8" s="5" t="str">
        <f ca="1">IFERROR(__xludf.DUMMYFUNCTION("""COMPUTED_VALUE"""),"Zhè bùfèn wǒ bù tài míngbái.")</f>
        <v>Zhè bùfèn wǒ bù tài míngbái.</v>
      </c>
    </row>
    <row r="9" spans="1:5" ht="14.25" customHeight="1">
      <c r="A9" s="3" t="s">
        <v>1959</v>
      </c>
      <c r="B9" s="3" t="s">
        <v>1960</v>
      </c>
      <c r="C9" s="4"/>
      <c r="D9" s="4"/>
      <c r="E9" s="5" t="str">
        <f ca="1">IFERROR(__xludf.DUMMYFUNCTION("""COMPUTED_VALUE"""),"Nín néng zài jiěshì yīxià ma?")</f>
        <v>Nín néng zài jiěshì yīxià ma?</v>
      </c>
    </row>
    <row r="10" spans="1:5" ht="14.25" customHeight="1">
      <c r="A10" s="3" t="s">
        <v>1961</v>
      </c>
      <c r="B10" s="3" t="s">
        <v>1962</v>
      </c>
      <c r="C10" s="4"/>
      <c r="D10" s="4" t="s">
        <v>1963</v>
      </c>
      <c r="E10" s="5" t="str">
        <f ca="1">IFERROR(__xludf.DUMMYFUNCTION("""COMPUTED_VALUE"""),"Wǒ yǒu gè wèntí.")</f>
        <v>Wǒ yǒu gè wèntí.</v>
      </c>
    </row>
    <row r="11" spans="1:5" ht="14.25" customHeight="1">
      <c r="A11" s="3" t="s">
        <v>1964</v>
      </c>
      <c r="B11" s="3" t="s">
        <v>223</v>
      </c>
      <c r="C11" s="4"/>
      <c r="D11" s="4"/>
      <c r="E11" s="5" t="str">
        <f ca="1">IFERROR(__xludf.DUMMYFUNCTION("""COMPUTED_VALUE"""),"Xǐshǒujiān zài nǎlǐ?")</f>
        <v>Xǐshǒujiān zài nǎlǐ?</v>
      </c>
    </row>
    <row r="12" spans="1:5" ht="14.25" customHeight="1">
      <c r="A12" s="3" t="s">
        <v>1965</v>
      </c>
      <c r="B12" s="3" t="s">
        <v>1966</v>
      </c>
      <c r="C12" s="4"/>
      <c r="D12" s="4" t="s">
        <v>1967</v>
      </c>
      <c r="E12" s="6" t="str">
        <f ca="1">IFERROR(__xludf.DUMMYFUNCTION("""COMPUTED_VALUE"""),"Wǒ xiǎng qù xǐshǒujiān.")</f>
        <v>Wǒ xiǎng qù xǐshǒujiān.</v>
      </c>
    </row>
    <row r="13" spans="1:5" ht="14.25" customHeight="1">
      <c r="A13" s="3" t="s">
        <v>1968</v>
      </c>
      <c r="B13" s="3" t="s">
        <v>1969</v>
      </c>
      <c r="C13" s="4"/>
      <c r="D13" s="4"/>
      <c r="E13" s="6" t="str">
        <f ca="1">IFERROR(__xludf.DUMMYFUNCTION("""COMPUTED_VALUE"""),"Jīntiān de zuòyè shì shénme?")</f>
        <v>Jīntiān de zuòyè shì shénme?</v>
      </c>
    </row>
    <row r="14" spans="1:5" ht="14.25" customHeight="1">
      <c r="A14" s="3" t="s">
        <v>1970</v>
      </c>
      <c r="B14" s="3" t="s">
        <v>1971</v>
      </c>
      <c r="C14" s="4"/>
      <c r="D14" s="4" t="s">
        <v>1972</v>
      </c>
      <c r="E14" s="6" t="str">
        <f ca="1">IFERROR(__xludf.DUMMYFUNCTION("""COMPUTED_VALUE"""),"Jiézhǐ rìqí shì shénme shíhòu?")</f>
        <v>Jiézhǐ rìqí shì shénme shíhòu?</v>
      </c>
    </row>
    <row r="15" spans="1:5" ht="14.25" customHeight="1">
      <c r="A15" s="3" t="s">
        <v>1973</v>
      </c>
      <c r="B15" s="3" t="s">
        <v>634</v>
      </c>
      <c r="C15" s="4"/>
      <c r="D15" s="4"/>
      <c r="E15" s="6" t="str">
        <f ca="1">IFERROR(__xludf.DUMMYFUNCTION("""COMPUTED_VALUE"""),"Wǒ zuò wánliǎo.")</f>
        <v>Wǒ zuò wánliǎo.</v>
      </c>
    </row>
    <row r="16" spans="1:5" ht="14.25" customHeight="1">
      <c r="A16" s="3" t="s">
        <v>1974</v>
      </c>
      <c r="B16" s="3" t="s">
        <v>1975</v>
      </c>
      <c r="C16" s="4"/>
      <c r="D16" s="4" t="s">
        <v>1976</v>
      </c>
      <c r="E16" s="6" t="str">
        <f ca="1">IFERROR(__xludf.DUMMYFUNCTION("""COMPUTED_VALUE"""),"Wǒ déliǎo duōshǎo fēn?")</f>
        <v>Wǒ déliǎo duōshǎo fēn?</v>
      </c>
    </row>
    <row r="17" spans="1:5" ht="14.25" customHeight="1">
      <c r="A17" s="3" t="s">
        <v>1977</v>
      </c>
      <c r="B17" s="3" t="s">
        <v>1978</v>
      </c>
      <c r="C17" s="4"/>
      <c r="D17" s="4"/>
      <c r="E17" s="6" t="str">
        <f ca="1">IFERROR(__xludf.DUMMYFUNCTION("""COMPUTED_VALUE"""),"Nǐ zhēn bàng!")</f>
        <v>Nǐ zhēn bàng!</v>
      </c>
    </row>
    <row r="18" spans="1:5" ht="14.25" customHeight="1">
      <c r="A18" s="3" t="s">
        <v>1979</v>
      </c>
      <c r="B18" s="3" t="s">
        <v>1980</v>
      </c>
      <c r="C18" s="4"/>
      <c r="D18" s="4" t="s">
        <v>1981</v>
      </c>
      <c r="E18" s="5" t="str">
        <f ca="1">IFERROR(__xludf.DUMMYFUNCTION("""COMPUTED_VALUE"""),"Bāng wǒ jiědá yīxià zhège wèntí.")</f>
        <v>Bāng wǒ jiědá yīxià zhège wèntí.</v>
      </c>
    </row>
    <row r="19" spans="1:5" ht="14.25" customHeight="1">
      <c r="A19" s="3" t="s">
        <v>1982</v>
      </c>
      <c r="B19" s="3" t="s">
        <v>1983</v>
      </c>
      <c r="C19" s="4"/>
      <c r="D19" s="4"/>
      <c r="E19" s="4" t="str">
        <f ca="1">IFERROR(__xludf.DUMMYFUNCTION("""COMPUTED_VALUE"""),"Wǒmen yīqǐ xuéxí ba.")</f>
        <v>Wǒmen yīqǐ xuéxí ba.</v>
      </c>
    </row>
    <row r="20" spans="1:5" ht="14.25" customHeight="1">
      <c r="A20" s="3" t="s">
        <v>1984</v>
      </c>
      <c r="B20" s="3" t="s">
        <v>1985</v>
      </c>
      <c r="C20" s="4"/>
      <c r="D20" s="4" t="s">
        <v>1986</v>
      </c>
      <c r="E20" s="5" t="str">
        <f ca="1">IFERROR(__xludf.DUMMYFUNCTION("""COMPUTED_VALUE"""),"Túshū guǎn zài nǎlǐ?")</f>
        <v>Túshū guǎn zài nǎlǐ?</v>
      </c>
    </row>
    <row r="21" spans="1:5" ht="14.25" customHeight="1">
      <c r="A21" s="3" t="s">
        <v>1987</v>
      </c>
      <c r="B21" s="3" t="s">
        <v>1988</v>
      </c>
      <c r="C21" s="4"/>
      <c r="D21" s="4"/>
      <c r="E21" s="6" t="str">
        <f ca="1">IFERROR(__xludf.DUMMYFUNCTION("""COMPUTED_VALUE"""),"Wǒ xiǎng jiè zhè běn shū.")</f>
        <v>Wǒ xiǎng jiè zhè běn shū.</v>
      </c>
    </row>
    <row r="22" spans="1:5" ht="14.25" customHeight="1">
      <c r="A22" s="3" t="s">
        <v>1989</v>
      </c>
      <c r="B22" s="3" t="s">
        <v>1990</v>
      </c>
      <c r="C22" s="4"/>
      <c r="D22" s="4" t="s">
        <v>1991</v>
      </c>
      <c r="E22" s="6" t="str">
        <f ca="1">IFERROR(__xludf.DUMMYFUNCTION("""COMPUTED_VALUE"""),"Zhè běn shū hěn bàng.")</f>
        <v>Zhè běn shū hěn bàng.</v>
      </c>
    </row>
    <row r="23" spans="1:5" ht="14.25" customHeight="1">
      <c r="A23" s="3" t="s">
        <v>1992</v>
      </c>
      <c r="B23" s="3" t="s">
        <v>1993</v>
      </c>
      <c r="C23" s="4"/>
      <c r="D23" s="4"/>
      <c r="E23" s="6" t="str">
        <f ca="1">IFERROR(__xludf.DUMMYFUNCTION("""COMPUTED_VALUE"""),"Wǒ xǐhuān shùxué.")</f>
        <v>Wǒ xǐhuān shùxué.</v>
      </c>
    </row>
    <row r="24" spans="1:5" ht="14.25" customHeight="1">
      <c r="A24" s="3" t="s">
        <v>1994</v>
      </c>
      <c r="B24" s="3" t="s">
        <v>1995</v>
      </c>
      <c r="C24" s="4"/>
      <c r="D24" s="4" t="s">
        <v>1996</v>
      </c>
      <c r="E24" s="6" t="str">
        <f ca="1">IFERROR(__xludf.DUMMYFUNCTION("""COMPUTED_VALUE"""),"Tā jiā lù yǔ hěn nán, dàn hěn yǒuqù.")</f>
        <v>Tā jiā lù yǔ hěn nán, dàn hěn yǒuqù.</v>
      </c>
    </row>
    <row r="25" spans="1:5" ht="14.25" customHeight="1">
      <c r="A25" s="3" t="s">
        <v>1997</v>
      </c>
      <c r="B25" s="3" t="s">
        <v>1998</v>
      </c>
      <c r="C25" s="4"/>
      <c r="D25" s="4"/>
      <c r="E25" s="6" t="str">
        <f ca="1">IFERROR(__xludf.DUMMYFUNCTION("""COMPUTED_VALUE"""),"Wǒ xiǎng shuō yīkǒu liúlì de tā jiā lù yǔ.")</f>
        <v>Wǒ xiǎng shuō yīkǒu liúlì de tā jiā lù yǔ.</v>
      </c>
    </row>
    <row r="26" spans="1:5" ht="14.25" customHeight="1">
      <c r="A26" s="3" t="s">
        <v>1999</v>
      </c>
      <c r="B26" s="3" t="s">
        <v>2000</v>
      </c>
      <c r="C26" s="4"/>
      <c r="D26" s="4" t="s">
        <v>675</v>
      </c>
      <c r="E26" s="6" t="str">
        <f ca="1">IFERROR(__xludf.DUMMYFUNCTION("""COMPUTED_VALUE"""),"Nín néng jiào wǒ zhège cí ma?")</f>
        <v>Nín néng jiào wǒ zhège cí ma?</v>
      </c>
    </row>
    <row r="27" spans="1:5" ht="14.25" customHeight="1">
      <c r="A27" s="3" t="s">
        <v>2001</v>
      </c>
      <c r="B27" s="3" t="s">
        <v>2002</v>
      </c>
      <c r="C27" s="4"/>
      <c r="D27" s="4"/>
      <c r="E27" s="6" t="str">
        <f ca="1">IFERROR(__xludf.DUMMYFUNCTION("""COMPUTED_VALUE"""),"Zhège cí zěnme fāyīn?")</f>
        <v>Zhège cí zěnme fāyīn?</v>
      </c>
    </row>
    <row r="28" spans="1:5" ht="14.25" customHeight="1">
      <c r="A28" s="3" t="s">
        <v>2003</v>
      </c>
      <c r="B28" s="3" t="s">
        <v>2004</v>
      </c>
      <c r="C28" s="4"/>
      <c r="D28" s="4" t="s">
        <v>2005</v>
      </c>
      <c r="E28" s="6" t="str">
        <f ca="1">IFERROR(__xludf.DUMMYFUNCTION("""COMPUTED_VALUE"""),"Wǒ xiě duìle ma?")</f>
        <v>Wǒ xiě duìle ma?</v>
      </c>
    </row>
    <row r="29" spans="1:5" ht="14.25" customHeight="1">
      <c r="A29" s="3" t="s">
        <v>2006</v>
      </c>
      <c r="B29" s="3" t="s">
        <v>2007</v>
      </c>
      <c r="C29" s="4"/>
      <c r="D29" s="4"/>
      <c r="E29" s="37" t="str">
        <f ca="1">IFERROR(__xludf.DUMMYFUNCTION("""COMPUTED_VALUE"""),"Cuòle, wǒmen zàilái yībiàn.")</f>
        <v>Cuòle, wǒmen zàilái yībiàn.</v>
      </c>
    </row>
    <row r="30" spans="1:5" ht="14.25" customHeight="1">
      <c r="A30" s="3" t="s">
        <v>2008</v>
      </c>
      <c r="B30" s="3" t="s">
        <v>2009</v>
      </c>
      <c r="C30" s="4"/>
      <c r="D30" s="4" t="s">
        <v>2010</v>
      </c>
      <c r="E30" s="6" t="str">
        <f ca="1">IFERROR(__xludf.DUMMYFUNCTION("""COMPUTED_VALUE"""),"Jìxù nǔlì! ")</f>
        <v xml:space="preserve">Jìxù nǔlì! </v>
      </c>
    </row>
    <row r="31" spans="1:5" ht="14.25" customHeight="1">
      <c r="A31" s="3" t="s">
        <v>2011</v>
      </c>
      <c r="B31" s="3" t="s">
        <v>2012</v>
      </c>
      <c r="C31" s="4"/>
      <c r="D31" s="4"/>
      <c r="E31" s="4" t="str">
        <f ca="1">IFERROR(__xludf.DUMMYFUNCTION("""COMPUTED_VALUE"""),"Jīntiān yǒu kǎoshì ma?")</f>
        <v>Jīntiān yǒu kǎoshì ma?</v>
      </c>
    </row>
    <row r="32" spans="1:5" ht="14.25" customHeight="1">
      <c r="A32" s="3" t="s">
        <v>2013</v>
      </c>
      <c r="B32" s="3" t="s">
        <v>2014</v>
      </c>
      <c r="C32" s="4" t="s">
        <v>2015</v>
      </c>
      <c r="D32" s="4" t="s">
        <v>2016</v>
      </c>
      <c r="E32" s="4" t="str">
        <f ca="1">IFERROR(__xludf.DUMMYFUNCTION("""COMPUTED_VALUE"""),"Wǒ hǎo dānxīn.")</f>
        <v>Wǒ hǎo dānxīn.</v>
      </c>
    </row>
    <row r="33" spans="1:5" ht="14.25" customHeight="1">
      <c r="A33" s="3" t="s">
        <v>2017</v>
      </c>
      <c r="B33" s="3" t="s">
        <v>2018</v>
      </c>
      <c r="C33" s="4"/>
      <c r="D33" s="4"/>
      <c r="E33" s="4" t="str">
        <f ca="1">IFERROR(__xludf.DUMMYFUNCTION("""COMPUTED_VALUE"""),"Zhù nǐ kǎoshì shùnlì!")</f>
        <v>Zhù nǐ kǎoshì shùnlì!</v>
      </c>
    </row>
    <row r="34" spans="1:5" ht="14.25" customHeight="1">
      <c r="A34" s="3" t="s">
        <v>2019</v>
      </c>
      <c r="B34" s="3" t="s">
        <v>2020</v>
      </c>
      <c r="C34" s="4"/>
      <c r="D34" s="4" t="s">
        <v>2021</v>
      </c>
      <c r="E34" s="4" t="str">
        <f ca="1">IFERROR(__xludf.DUMMYFUNCTION("""COMPUTED_VALUE"""),"Wǒ tōngguòle!")</f>
        <v>Wǒ tōngguòle!</v>
      </c>
    </row>
    <row r="35" spans="1:5" ht="14.25" customHeight="1">
      <c r="A35" s="3" t="s">
        <v>2022</v>
      </c>
      <c r="B35" s="3" t="s">
        <v>2023</v>
      </c>
      <c r="C35" s="4" t="s">
        <v>2024</v>
      </c>
      <c r="D35" s="4"/>
      <c r="E35" s="8" t="str">
        <f ca="1">IFERROR(__xludf.DUMMYFUNCTION("""COMPUTED_VALUE"""),"Wǒ kǎo zále.")</f>
        <v>Wǒ kǎo zále.</v>
      </c>
    </row>
    <row r="36" spans="1:5" ht="14.25" customHeight="1">
      <c r="A36" s="3" t="s">
        <v>2025</v>
      </c>
      <c r="B36" s="3" t="s">
        <v>2026</v>
      </c>
      <c r="C36" s="4"/>
      <c r="D36" s="4" t="s">
        <v>2027</v>
      </c>
      <c r="E36" s="5" t="str">
        <f ca="1">IFERROR(__xludf.DUMMYFUNCTION("""COMPUTED_VALUE"""),"Wǒ huì gèng nǔlì de.")</f>
        <v>Wǒ huì gèng nǔlì de.</v>
      </c>
    </row>
    <row r="37" spans="1:5" ht="14.25" customHeight="1">
      <c r="A37" s="3" t="s">
        <v>2028</v>
      </c>
      <c r="B37" s="3" t="s">
        <v>2029</v>
      </c>
      <c r="C37" s="4" t="s">
        <v>2030</v>
      </c>
      <c r="D37" s="4"/>
      <c r="E37" s="8" t="str">
        <f ca="1">IFERROR(__xludf.DUMMYFUNCTION("""COMPUTED_VALUE"""),"Kè jiān xiūxí shíjiān dào!")</f>
        <v>Kè jiān xiūxí shíjiān dào!</v>
      </c>
    </row>
    <row r="38" spans="1:5" ht="14.25" customHeight="1">
      <c r="A38" s="3" t="s">
        <v>2031</v>
      </c>
      <c r="B38" s="3" t="s">
        <v>2032</v>
      </c>
      <c r="C38" s="4"/>
      <c r="D38" s="4" t="s">
        <v>2033</v>
      </c>
      <c r="E38" s="5" t="str">
        <f ca="1">IFERROR(__xludf.DUMMYFUNCTION("""COMPUTED_VALUE"""),"Wǒmen qù chī diǎn língshí ba.")</f>
        <v>Wǒmen qù chī diǎn língshí ba.</v>
      </c>
    </row>
    <row r="39" spans="1:5" ht="14.25" customHeight="1">
      <c r="A39" s="3" t="s">
        <v>2034</v>
      </c>
      <c r="B39" s="3" t="s">
        <v>2035</v>
      </c>
      <c r="C39" s="4" t="s">
        <v>2036</v>
      </c>
      <c r="D39" s="4"/>
      <c r="E39" s="6" t="str">
        <f ca="1">IFERROR(__xludf.DUMMYFUNCTION("""COMPUTED_VALUE"""),"Nǐ dài chī dele ma?")</f>
        <v>Nǐ dài chī dele ma?</v>
      </c>
    </row>
    <row r="40" spans="1:5" ht="14.25" customHeight="1">
      <c r="A40" s="3" t="s">
        <v>2037</v>
      </c>
      <c r="B40" s="3" t="s">
        <v>2038</v>
      </c>
      <c r="C40" s="4"/>
      <c r="D40" s="4" t="s">
        <v>2039</v>
      </c>
      <c r="E40" s="6" t="str">
        <f ca="1">IFERROR(__xludf.DUMMYFUNCTION("""COMPUTED_VALUE"""),"Qǐng fēn wǒ yīxiē.")</f>
        <v>Qǐng fēn wǒ yīxiē.</v>
      </c>
    </row>
    <row r="41" spans="1:5" ht="14.25" customHeight="1">
      <c r="A41" s="3" t="s">
        <v>2040</v>
      </c>
      <c r="B41" s="3" t="s">
        <v>2041</v>
      </c>
      <c r="C41" s="4"/>
      <c r="D41" s="4"/>
      <c r="E41" s="5" t="str">
        <f ca="1">IFERROR(__xludf.DUMMYFUNCTION("""COMPUTED_VALUE"""),"Xuéxiào zhēn dà.")</f>
        <v>Xuéxiào zhēn dà.</v>
      </c>
    </row>
    <row r="42" spans="1:5" ht="14.25" customHeight="1">
      <c r="A42" s="3" t="s">
        <v>2042</v>
      </c>
      <c r="B42" s="3" t="s">
        <v>2043</v>
      </c>
      <c r="C42" s="4"/>
      <c r="D42" s="4" t="s">
        <v>2044</v>
      </c>
      <c r="E42" s="4" t="str">
        <f ca="1">IFERROR(__xludf.DUMMYFUNCTION("""COMPUTED_VALUE"""),"Wǒ xǐhuān shàngxué.")</f>
        <v>Wǒ xǐhuān shàngxué.</v>
      </c>
    </row>
    <row r="43" spans="1:5" ht="14.25" customHeight="1">
      <c r="A43" s="3" t="s">
        <v>2045</v>
      </c>
      <c r="B43" s="3" t="s">
        <v>2046</v>
      </c>
      <c r="C43" s="4"/>
      <c r="D43" s="4"/>
      <c r="E43" s="5" t="str">
        <f ca="1">IFERROR(__xludf.DUMMYFUNCTION("""COMPUTED_VALUE"""),"Wǒ jīntiān fàngjià.")</f>
        <v>Wǒ jīntiān fàngjià.</v>
      </c>
    </row>
    <row r="44" spans="1:5" ht="14.25" customHeight="1">
      <c r="A44" s="3" t="s">
        <v>2047</v>
      </c>
      <c r="B44" s="3" t="s">
        <v>2048</v>
      </c>
      <c r="C44" s="4"/>
      <c r="D44" s="4" t="s">
        <v>2049</v>
      </c>
      <c r="E44" s="4" t="str">
        <f ca="1">IFERROR(__xludf.DUMMYFUNCTION("""COMPUTED_VALUE"""),"Xuéxiào wèishéme guānménle?")</f>
        <v>Xuéxiào wèishéme guānménle?</v>
      </c>
    </row>
    <row r="45" spans="1:5" ht="14.25" customHeight="1">
      <c r="A45" s="3" t="s">
        <v>2050</v>
      </c>
      <c r="B45" s="3" t="s">
        <v>2051</v>
      </c>
      <c r="C45" s="4"/>
      <c r="D45" s="4"/>
      <c r="E45" s="5" t="str">
        <f ca="1">IFERROR(__xludf.DUMMYFUNCTION("""COMPUTED_VALUE"""),"Jīntiān shì jiàrì.")</f>
        <v>Jīntiān shì jiàrì.</v>
      </c>
    </row>
    <row r="46" spans="1:5" ht="14.25" customHeight="1">
      <c r="A46" s="3" t="s">
        <v>2052</v>
      </c>
      <c r="B46" s="3" t="s">
        <v>2053</v>
      </c>
      <c r="C46" s="4"/>
      <c r="D46" s="4" t="s">
        <v>2054</v>
      </c>
      <c r="E46" s="4" t="str">
        <f ca="1">IFERROR(__xludf.DUMMYFUNCTION("""COMPUTED_VALUE"""),"Wǒ xiǎng mǎi gè xīn shūbāo.")</f>
        <v>Wǒ xiǎng mǎi gè xīn shūbāo.</v>
      </c>
    </row>
    <row r="47" spans="1:5" ht="14.25" customHeight="1">
      <c r="A47" s="3" t="s">
        <v>2055</v>
      </c>
      <c r="B47" s="3" t="s">
        <v>2056</v>
      </c>
      <c r="C47" s="4"/>
      <c r="D47" s="4"/>
      <c r="E47" s="4" t="str">
        <f ca="1">IFERROR(__xludf.DUMMYFUNCTION("""COMPUTED_VALUE"""),"Wǒ de chǐzǐ zài nǎ'er?")</f>
        <v>Wǒ de chǐzǐ zài nǎ'er?</v>
      </c>
    </row>
    <row r="48" spans="1:5" ht="14.25" customHeight="1">
      <c r="A48" s="3" t="s">
        <v>2057</v>
      </c>
      <c r="B48" s="3" t="s">
        <v>2058</v>
      </c>
      <c r="C48" s="4" t="s">
        <v>2059</v>
      </c>
      <c r="D48" s="4" t="s">
        <v>2060</v>
      </c>
      <c r="E48" s="4" t="str">
        <f ca="1">IFERROR(__xludf.DUMMYFUNCTION("""COMPUTED_VALUE"""),"Zhè zhī bǐ méi mòshuǐle.")</f>
        <v>Zhè zhī bǐ méi mòshuǐle.</v>
      </c>
    </row>
    <row r="49" spans="1:5" ht="14.25" customHeight="1">
      <c r="A49" s="3" t="s">
        <v>2061</v>
      </c>
      <c r="B49" s="3" t="s">
        <v>2062</v>
      </c>
      <c r="C49" s="4"/>
      <c r="D49" s="4"/>
      <c r="E49" s="5" t="str">
        <f ca="1">IFERROR(__xludf.DUMMYFUNCTION("""COMPUTED_VALUE"""),"Wǒ hǎo lèi, wǒ xiǎng huí jiā.")</f>
        <v>Wǒ hǎo lèi, wǒ xiǎng huí jiā.</v>
      </c>
    </row>
    <row r="50" spans="1:5" ht="14.25" customHeight="1">
      <c r="A50" s="3" t="s">
        <v>2063</v>
      </c>
      <c r="B50" s="3" t="s">
        <v>724</v>
      </c>
      <c r="C50" s="4"/>
      <c r="D50" s="4" t="s">
        <v>2064</v>
      </c>
      <c r="E50" s="6" t="str">
        <f ca="1">IFERROR(__xludf.DUMMYFUNCTION("""COMPUTED_VALUE"""),"Míngtiān jiàn.")</f>
        <v>Míngtiān jiàn.</v>
      </c>
    </row>
    <row r="51" spans="1:5" ht="14.25" customHeight="1">
      <c r="A51" s="3" t="s">
        <v>2065</v>
      </c>
      <c r="B51" s="3" t="s">
        <v>2066</v>
      </c>
      <c r="C51" s="4"/>
      <c r="D51" s="4"/>
      <c r="E51" s="6" t="str">
        <f ca="1">IFERROR(__xludf.DUMMYFUNCTION("""COMPUTED_VALUE"""),"Xièxiè lǎoshī jiào wǒ.")</f>
        <v>Xièxiè lǎoshī jiào wǒ.</v>
      </c>
    </row>
    <row r="52" spans="1:5" ht="14.25" customHeight="1">
      <c r="A52" s="4"/>
      <c r="B52" s="4"/>
      <c r="C52" s="4"/>
      <c r="D52" s="4" t="s">
        <v>2067</v>
      </c>
    </row>
    <row r="53" spans="1:5" ht="14.25" customHeight="1">
      <c r="A53" s="4"/>
      <c r="B53" s="4"/>
      <c r="C53" s="4"/>
      <c r="D53" s="4"/>
      <c r="E53" s="5"/>
    </row>
    <row r="54" spans="1:5" ht="14.25" customHeight="1">
      <c r="A54" s="4"/>
      <c r="B54" s="4"/>
      <c r="C54" s="4"/>
      <c r="D54" s="4" t="s">
        <v>2068</v>
      </c>
      <c r="E54" s="5"/>
    </row>
    <row r="55" spans="1:5" ht="14.25" customHeight="1">
      <c r="A55" s="4"/>
      <c r="B55" s="4"/>
      <c r="C55" s="4"/>
      <c r="D55" s="4"/>
      <c r="E55" s="5"/>
    </row>
    <row r="56" spans="1:5" ht="14.25" customHeight="1">
      <c r="A56" s="4"/>
      <c r="B56" s="4"/>
      <c r="C56" s="4"/>
      <c r="D56" s="4" t="s">
        <v>2069</v>
      </c>
      <c r="E56" s="5"/>
    </row>
    <row r="57" spans="1:5" ht="14.25" customHeight="1">
      <c r="A57" s="4"/>
      <c r="B57" s="4"/>
      <c r="C57" s="4"/>
      <c r="D57" s="4"/>
      <c r="E57" s="5"/>
    </row>
    <row r="58" spans="1:5" ht="14.25" customHeight="1">
      <c r="A58" s="4"/>
      <c r="B58" s="4"/>
      <c r="C58" s="4"/>
      <c r="D58" s="4" t="s">
        <v>2070</v>
      </c>
      <c r="E58" s="5"/>
    </row>
    <row r="59" spans="1:5" ht="14.25" customHeight="1">
      <c r="A59" s="4"/>
      <c r="B59" s="4"/>
      <c r="C59" s="4"/>
      <c r="D59" s="4" t="s">
        <v>2071</v>
      </c>
    </row>
    <row r="60" spans="1:5" ht="14.25" customHeight="1">
      <c r="A60" s="4"/>
      <c r="B60" s="4"/>
      <c r="C60" s="4"/>
      <c r="D60" s="4" t="s">
        <v>2072</v>
      </c>
      <c r="E60" s="5"/>
    </row>
    <row r="61" spans="1:5" ht="14.25" customHeight="1">
      <c r="A61" s="4"/>
      <c r="B61" s="4"/>
      <c r="C61" s="4"/>
      <c r="D61" s="4"/>
      <c r="E61" s="5"/>
    </row>
    <row r="62" spans="1:5" ht="14.25" customHeight="1">
      <c r="A62" s="4"/>
      <c r="B62" s="4"/>
      <c r="C62" s="4"/>
      <c r="D62" s="4" t="s">
        <v>2073</v>
      </c>
      <c r="E62" s="5"/>
    </row>
    <row r="63" spans="1:5" ht="14.25" customHeight="1">
      <c r="A63" s="4"/>
      <c r="B63" s="4"/>
      <c r="C63" s="4"/>
      <c r="D63" s="4"/>
      <c r="E63" s="5"/>
    </row>
    <row r="64" spans="1:5" ht="14.25" customHeight="1">
      <c r="A64" s="4"/>
      <c r="B64" s="4"/>
      <c r="C64" s="4"/>
      <c r="D64" s="4" t="s">
        <v>2074</v>
      </c>
      <c r="E64" s="5"/>
    </row>
    <row r="65" spans="1:5" ht="14.25" customHeight="1">
      <c r="A65" s="4"/>
      <c r="B65" s="4"/>
      <c r="C65" s="4"/>
      <c r="D65" s="4"/>
      <c r="E65" s="5"/>
    </row>
    <row r="66" spans="1:5" ht="14.25" customHeight="1">
      <c r="A66" s="4"/>
      <c r="B66" s="4"/>
      <c r="C66" s="4"/>
      <c r="D66" s="4" t="s">
        <v>2075</v>
      </c>
      <c r="E66" s="5"/>
    </row>
    <row r="67" spans="1:5" ht="14.25" customHeight="1">
      <c r="A67" s="4"/>
      <c r="B67" s="4"/>
      <c r="C67" s="4"/>
      <c r="D67" s="4"/>
      <c r="E67" s="5"/>
    </row>
    <row r="68" spans="1:5" ht="14.25" customHeight="1">
      <c r="A68" s="4"/>
      <c r="B68" s="4"/>
      <c r="C68" s="4"/>
      <c r="D68" s="4" t="s">
        <v>2076</v>
      </c>
      <c r="E68" s="5"/>
    </row>
    <row r="69" spans="1:5" ht="14.25" customHeight="1">
      <c r="A69" s="4"/>
      <c r="B69" s="4"/>
      <c r="C69" s="4"/>
      <c r="D69" s="4"/>
      <c r="E69" s="5"/>
    </row>
    <row r="70" spans="1:5" ht="14.25" customHeight="1">
      <c r="A70" s="4"/>
      <c r="B70" s="4"/>
      <c r="C70" s="4"/>
      <c r="D70" s="4" t="s">
        <v>2077</v>
      </c>
      <c r="E70" s="5"/>
    </row>
    <row r="71" spans="1:5" ht="14.25" customHeight="1">
      <c r="A71" s="4"/>
      <c r="B71" s="4"/>
      <c r="C71" s="4"/>
      <c r="D71" s="4"/>
      <c r="E71" s="5"/>
    </row>
    <row r="72" spans="1:5" ht="14.25" customHeight="1">
      <c r="A72" s="4"/>
      <c r="B72" s="4"/>
      <c r="C72" s="4"/>
      <c r="D72" s="4" t="s">
        <v>2078</v>
      </c>
      <c r="E72" s="5"/>
    </row>
    <row r="73" spans="1:5" ht="14.25" customHeight="1">
      <c r="A73" s="4"/>
      <c r="B73" s="4"/>
      <c r="C73" s="4"/>
      <c r="D73" s="4"/>
      <c r="E73" s="5"/>
    </row>
    <row r="74" spans="1:5" ht="14.25" customHeight="1">
      <c r="A74" s="4"/>
      <c r="B74" s="4"/>
      <c r="C74" s="4"/>
      <c r="D74" s="4" t="s">
        <v>2079</v>
      </c>
      <c r="E74" s="5"/>
    </row>
    <row r="75" spans="1:5" ht="14.25" customHeight="1">
      <c r="A75" s="4"/>
      <c r="B75" s="4"/>
      <c r="C75" s="4"/>
      <c r="D75" s="4"/>
      <c r="E75" s="5"/>
    </row>
    <row r="76" spans="1:5" ht="14.25" customHeight="1">
      <c r="A76" s="4"/>
      <c r="B76" s="4"/>
      <c r="C76" s="4"/>
      <c r="D76" s="4" t="s">
        <v>2080</v>
      </c>
      <c r="E76" s="5"/>
    </row>
    <row r="77" spans="1:5" ht="14.25" customHeight="1">
      <c r="A77" s="4"/>
      <c r="B77" s="4"/>
      <c r="C77" s="4"/>
      <c r="D77" s="4"/>
      <c r="E77" s="5"/>
    </row>
    <row r="78" spans="1:5" ht="14.25" customHeight="1">
      <c r="A78" s="4"/>
      <c r="B78" s="4"/>
      <c r="C78" s="4"/>
      <c r="D78" s="4" t="s">
        <v>2081</v>
      </c>
      <c r="E78" s="5"/>
    </row>
    <row r="79" spans="1:5" ht="14.25" customHeight="1">
      <c r="A79" s="4"/>
      <c r="B79" s="4"/>
      <c r="C79" s="4"/>
      <c r="D79" s="4"/>
      <c r="E79" s="5"/>
    </row>
    <row r="80" spans="1:5" ht="14.25" customHeight="1">
      <c r="A80" s="4"/>
      <c r="B80" s="4"/>
      <c r="C80" s="4"/>
      <c r="D80" s="4" t="s">
        <v>2082</v>
      </c>
      <c r="E80" s="5"/>
    </row>
    <row r="81" spans="1:5" ht="14.25" customHeight="1">
      <c r="A81" s="4"/>
      <c r="B81" s="4"/>
      <c r="C81" s="4"/>
      <c r="D81" s="4"/>
      <c r="E81" s="5"/>
    </row>
    <row r="82" spans="1:5" ht="14.25" customHeight="1">
      <c r="A82" s="4"/>
      <c r="B82" s="4"/>
      <c r="C82" s="4"/>
      <c r="D82" s="4" t="s">
        <v>2083</v>
      </c>
      <c r="E82" s="5"/>
    </row>
    <row r="83" spans="1:5" ht="14.25" customHeight="1">
      <c r="A83" s="4"/>
      <c r="B83" s="4"/>
      <c r="C83" s="4"/>
      <c r="D83" s="4"/>
      <c r="E83" s="5"/>
    </row>
    <row r="84" spans="1:5" ht="14.25" customHeight="1">
      <c r="A84" s="4"/>
      <c r="B84" s="4"/>
      <c r="C84" s="4"/>
      <c r="D84" s="4" t="s">
        <v>2084</v>
      </c>
      <c r="E84" s="5"/>
    </row>
    <row r="85" spans="1:5" ht="14.25" customHeight="1">
      <c r="A85" s="4"/>
      <c r="B85" s="4"/>
      <c r="C85" s="4"/>
      <c r="D85" s="4"/>
      <c r="E85" s="5"/>
    </row>
    <row r="86" spans="1:5" ht="14.25" customHeight="1">
      <c r="A86" s="4"/>
      <c r="B86" s="4"/>
      <c r="C86" s="4"/>
      <c r="D86" s="4" t="s">
        <v>2085</v>
      </c>
      <c r="E86" s="5"/>
    </row>
    <row r="87" spans="1:5" ht="14.25" customHeight="1">
      <c r="A87" s="4"/>
      <c r="B87" s="4"/>
      <c r="C87" s="4"/>
      <c r="D87" s="4"/>
      <c r="E87" s="5"/>
    </row>
    <row r="88" spans="1:5" ht="14.25" customHeight="1">
      <c r="A88" s="4"/>
      <c r="B88" s="4"/>
      <c r="C88" s="4"/>
      <c r="D88" s="4" t="s">
        <v>2086</v>
      </c>
      <c r="E88" s="5"/>
    </row>
    <row r="89" spans="1:5" ht="14.25" customHeight="1">
      <c r="A89" s="4"/>
      <c r="B89" s="4"/>
      <c r="C89" s="4"/>
      <c r="D89" s="4"/>
      <c r="E89" s="5"/>
    </row>
    <row r="90" spans="1:5" ht="14.25" customHeight="1">
      <c r="A90" s="4"/>
      <c r="B90" s="4"/>
      <c r="C90" s="4"/>
      <c r="D90" s="4" t="s">
        <v>2087</v>
      </c>
      <c r="E90" s="5"/>
    </row>
    <row r="91" spans="1:5" ht="14.25" customHeight="1">
      <c r="A91" s="4"/>
      <c r="B91" s="4"/>
      <c r="C91" s="4"/>
      <c r="D91" s="4"/>
      <c r="E91" s="5"/>
    </row>
    <row r="92" spans="1:5" ht="14.25" customHeight="1">
      <c r="A92" s="4"/>
      <c r="B92" s="4"/>
      <c r="C92" s="4"/>
      <c r="D92" s="4" t="s">
        <v>2088</v>
      </c>
      <c r="E92" s="5"/>
    </row>
    <row r="93" spans="1:5" ht="14.25" customHeight="1">
      <c r="A93" s="4"/>
      <c r="B93" s="4"/>
      <c r="C93" s="4"/>
      <c r="D93" s="4"/>
      <c r="E93" s="5"/>
    </row>
    <row r="94" spans="1:5" ht="14.25" customHeight="1">
      <c r="A94" s="4"/>
      <c r="B94" s="4"/>
      <c r="C94" s="4"/>
      <c r="D94" s="4" t="s">
        <v>2089</v>
      </c>
      <c r="E94" s="5"/>
    </row>
    <row r="95" spans="1:5" ht="14.25" customHeight="1">
      <c r="A95" s="4"/>
      <c r="B95" s="4"/>
      <c r="C95" s="4"/>
      <c r="D95" s="4"/>
      <c r="E95" s="5"/>
    </row>
    <row r="96" spans="1:5" ht="14.25" customHeight="1">
      <c r="A96" s="4"/>
      <c r="B96" s="4"/>
      <c r="C96" s="4"/>
      <c r="D96" s="4" t="s">
        <v>751</v>
      </c>
      <c r="E96" s="5"/>
    </row>
    <row r="97" spans="1:5" ht="14.25" customHeight="1">
      <c r="A97" s="4"/>
      <c r="B97" s="4"/>
      <c r="C97" s="4"/>
      <c r="D97" s="4"/>
      <c r="E97" s="5"/>
    </row>
    <row r="98" spans="1:5" ht="14.25" customHeight="1">
      <c r="A98" s="4"/>
      <c r="B98" s="4"/>
      <c r="C98" s="4"/>
      <c r="D98" s="4" t="s">
        <v>2090</v>
      </c>
      <c r="E98" s="5"/>
    </row>
  </sheetData>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60.109375" customWidth="1"/>
    <col min="2" max="4" width="61.33203125" customWidth="1"/>
    <col min="5" max="5" width="56.88671875" customWidth="1"/>
  </cols>
  <sheetData>
    <row r="1" spans="1:5" ht="14.25" customHeight="1">
      <c r="A1" s="40" t="s">
        <v>2091</v>
      </c>
      <c r="B1" s="38"/>
      <c r="C1" s="39"/>
      <c r="D1" s="39"/>
      <c r="E1" s="2"/>
    </row>
    <row r="2" spans="1:5" ht="14.25" customHeight="1">
      <c r="A2" s="3" t="s">
        <v>2092</v>
      </c>
      <c r="B2" s="3" t="s">
        <v>2093</v>
      </c>
      <c r="C2" s="4"/>
      <c r="D2" s="4" t="s">
        <v>2094</v>
      </c>
      <c r="E2" s="5" t="str">
        <f ca="1">IFERROR(__xludf.DUMMYFUNCTION("FILTER(D1:D1004,D1:D1004&lt;&gt; """")"),"Wǒ de shǒujī méi diànle.")</f>
        <v>Wǒ de shǒujī méi diànle.</v>
      </c>
    </row>
    <row r="3" spans="1:5" ht="14.25" customHeight="1">
      <c r="A3" s="3" t="s">
        <v>2095</v>
      </c>
      <c r="B3" s="3" t="s">
        <v>2096</v>
      </c>
      <c r="C3" s="4"/>
      <c r="D3" s="4"/>
      <c r="E3" s="6" t="str">
        <f ca="1">IFERROR(__xludf.DUMMYFUNCTION("""COMPUTED_VALUE"""),"Wǒ kěyǐ jiè gè chōngdiàn bǎo ma?")</f>
        <v>Wǒ kěyǐ jiè gè chōngdiàn bǎo ma?</v>
      </c>
    </row>
    <row r="4" spans="1:5" ht="14.25" customHeight="1">
      <c r="A4" s="3" t="s">
        <v>2097</v>
      </c>
      <c r="B4" s="3" t="s">
        <v>2098</v>
      </c>
      <c r="C4" s="4" t="s">
        <v>2099</v>
      </c>
      <c r="D4" s="4" t="s">
        <v>2100</v>
      </c>
      <c r="E4" s="5" t="str">
        <f ca="1">IFERROR(__xludf.DUMMYFUNCTION("""COMPUTED_VALUE"""),"Diànyuán chāzuò zài nǎlǐ?")</f>
        <v>Diànyuán chāzuò zài nǎlǐ?</v>
      </c>
    </row>
    <row r="5" spans="1:5" ht="14.25" customHeight="1">
      <c r="A5" s="3" t="s">
        <v>2101</v>
      </c>
      <c r="B5" s="3" t="s">
        <v>2102</v>
      </c>
      <c r="C5" s="4"/>
      <c r="D5" s="4"/>
      <c r="E5" s="5" t="str">
        <f ca="1">IFERROR(__xludf.DUMMYFUNCTION("""COMPUTED_VALUE"""),"Wǒ xiǎng chōngzhí huàfèi.")</f>
        <v>Wǒ xiǎng chōngzhí huàfèi.</v>
      </c>
    </row>
    <row r="6" spans="1:5" ht="14.25" customHeight="1">
      <c r="A6" s="3" t="s">
        <v>2103</v>
      </c>
      <c r="B6" s="3" t="s">
        <v>2104</v>
      </c>
      <c r="C6" s="4"/>
      <c r="D6" s="4" t="s">
        <v>2105</v>
      </c>
      <c r="E6" s="5" t="str">
        <f ca="1">IFERROR(__xludf.DUMMYFUNCTION("""COMPUTED_VALUE"""),"Qǐng bāng wǒ chōngzhí 50 bǐsuǒ.")</f>
        <v>Qǐng bāng wǒ chōngzhí 50 bǐsuǒ.</v>
      </c>
    </row>
    <row r="7" spans="1:5" ht="14.25" customHeight="1">
      <c r="A7" s="3" t="s">
        <v>2106</v>
      </c>
      <c r="B7" s="3" t="s">
        <v>2107</v>
      </c>
      <c r="C7" s="4"/>
      <c r="D7" s="4"/>
      <c r="E7" s="5" t="str">
        <f ca="1">IFERROR(__xludf.DUMMYFUNCTION("""COMPUTED_VALUE"""),"Zhè shì wǒ de shǒujī hàomǎ.")</f>
        <v>Zhè shì wǒ de shǒujī hàomǎ.</v>
      </c>
    </row>
    <row r="8" spans="1:5" ht="14.25" customHeight="1">
      <c r="A8" s="3" t="s">
        <v>2108</v>
      </c>
      <c r="B8" s="3" t="s">
        <v>2109</v>
      </c>
      <c r="C8" s="4"/>
      <c r="D8" s="4" t="s">
        <v>2110</v>
      </c>
      <c r="E8" s="5" t="str">
        <f ca="1">IFERROR(__xludf.DUMMYFUNCTION("""COMPUTED_VALUE"""),"Zhèlǐ méiyǒu xìnhào.")</f>
        <v>Zhèlǐ méiyǒu xìnhào.</v>
      </c>
    </row>
    <row r="9" spans="1:5" ht="14.25" customHeight="1">
      <c r="A9" s="3" t="s">
        <v>2111</v>
      </c>
      <c r="B9" s="3" t="s">
        <v>677</v>
      </c>
      <c r="C9" s="4"/>
      <c r="D9" s="4"/>
      <c r="E9" s="5" t="str">
        <f ca="1">IFERROR(__xludf.DUMMYFUNCTION("""COMPUTED_VALUE"""),"Wi-Fi mìmǎ shì shénme?")</f>
        <v>Wi-Fi mìmǎ shì shénme?</v>
      </c>
    </row>
    <row r="10" spans="1:5" ht="14.25" customHeight="1">
      <c r="A10" s="3" t="s">
        <v>2112</v>
      </c>
      <c r="B10" s="3" t="s">
        <v>2113</v>
      </c>
      <c r="C10" s="4"/>
      <c r="D10" s="4" t="s">
        <v>2114</v>
      </c>
      <c r="E10" s="5" t="str">
        <f ca="1">IFERROR(__xludf.DUMMYFUNCTION("""COMPUTED_VALUE"""),"Wi-Fi tài mànle.")</f>
        <v>Wi-Fi tài mànle.</v>
      </c>
    </row>
    <row r="11" spans="1:5" ht="14.25" customHeight="1">
      <c r="A11" s="3" t="s">
        <v>2115</v>
      </c>
      <c r="B11" s="3" t="s">
        <v>2116</v>
      </c>
      <c r="C11" s="4"/>
      <c r="D11" s="4"/>
      <c r="E11" s="5" t="str">
        <f ca="1">IFERROR(__xludf.DUMMYFUNCTION("""COMPUTED_VALUE"""),"Wǒ zài gěi wǒ māmā dǎ diànhuà.")</f>
        <v>Wǒ zài gěi wǒ māmā dǎ diànhuà.</v>
      </c>
    </row>
    <row r="12" spans="1:5" ht="14.25" customHeight="1">
      <c r="A12" s="3" t="s">
        <v>2117</v>
      </c>
      <c r="B12" s="3" t="s">
        <v>2118</v>
      </c>
      <c r="C12" s="4"/>
      <c r="D12" s="4" t="s">
        <v>2119</v>
      </c>
      <c r="E12" s="6" t="str">
        <f ca="1">IFERROR(__xludf.DUMMYFUNCTION("""COMPUTED_VALUE"""),"Nǐ néng tīng dào wǒ shuōhuà ma?")</f>
        <v>Nǐ néng tīng dào wǒ shuōhuà ma?</v>
      </c>
    </row>
    <row r="13" spans="1:5" ht="14.25" customHeight="1">
      <c r="A13" s="3" t="s">
        <v>2120</v>
      </c>
      <c r="B13" s="3" t="s">
        <v>2121</v>
      </c>
      <c r="C13" s="4" t="s">
        <v>2122</v>
      </c>
      <c r="D13" s="4"/>
      <c r="E13" s="6" t="str">
        <f ca="1">IFERROR(__xludf.DUMMYFUNCTION("""COMPUTED_VALUE"""),"Xìnhào tài ruò, wǒ tīng bù qīngchǔ.")</f>
        <v>Xìnhào tài ruò, wǒ tīng bù qīngchǔ.</v>
      </c>
    </row>
    <row r="14" spans="1:5" ht="14.25" customHeight="1">
      <c r="A14" s="3" t="s">
        <v>2123</v>
      </c>
      <c r="B14" s="3" t="s">
        <v>2124</v>
      </c>
      <c r="C14" s="4"/>
      <c r="D14" s="4" t="s">
        <v>2125</v>
      </c>
      <c r="E14" s="6" t="str">
        <f ca="1">IFERROR(__xludf.DUMMYFUNCTION("""COMPUTED_VALUE"""),"Wǒ gěi nǐ fā duǎnxìn.")</f>
        <v>Wǒ gěi nǐ fā duǎnxìn.</v>
      </c>
    </row>
    <row r="15" spans="1:5" ht="14.25" customHeight="1">
      <c r="A15" s="3" t="s">
        <v>2126</v>
      </c>
      <c r="B15" s="3" t="s">
        <v>2127</v>
      </c>
      <c r="C15" s="4"/>
      <c r="D15" s="4"/>
      <c r="E15" s="6" t="str">
        <f ca="1">IFERROR(__xludf.DUMMYFUNCTION("""COMPUTED_VALUE"""),"Nǐ yòng Viber ma?")</f>
        <v>Nǐ yòng Viber ma?</v>
      </c>
    </row>
    <row r="16" spans="1:5" ht="14.25" customHeight="1">
      <c r="A16" s="3" t="s">
        <v>2128</v>
      </c>
      <c r="B16" s="3" t="s">
        <v>2129</v>
      </c>
      <c r="C16" s="4"/>
      <c r="D16" s="4" t="s">
        <v>2130</v>
      </c>
      <c r="E16" s="6" t="str">
        <f ca="1">IFERROR(__xludf.DUMMYFUNCTION("""COMPUTED_VALUE"""),"Wǒ gāng gěi nǐ fāle yī zhāng zhàopiàn.")</f>
        <v>Wǒ gāng gěi nǐ fāle yī zhāng zhàopiàn.</v>
      </c>
    </row>
    <row r="17" spans="1:5" ht="14.25" customHeight="1">
      <c r="A17" s="3" t="s">
        <v>2131</v>
      </c>
      <c r="B17" s="3" t="s">
        <v>2132</v>
      </c>
      <c r="C17" s="4" t="s">
        <v>2133</v>
      </c>
      <c r="D17" s="4"/>
      <c r="E17" s="6" t="str">
        <f ca="1">IFERROR(__xludf.DUMMYFUNCTION("""COMPUTED_VALUE"""),"Bié kàn zhège shìpín.")</f>
        <v>Bié kàn zhège shìpín.</v>
      </c>
    </row>
    <row r="18" spans="1:5" ht="14.25" customHeight="1">
      <c r="A18" s="3" t="s">
        <v>2134</v>
      </c>
      <c r="B18" s="3" t="s">
        <v>2135</v>
      </c>
      <c r="C18" s="4"/>
      <c r="D18" s="4" t="s">
        <v>2136</v>
      </c>
      <c r="E18" s="5" t="str">
        <f ca="1">IFERROR(__xludf.DUMMYFUNCTION("""COMPUTED_VALUE"""),"Zhège shìpín tài gǎoxiàole!")</f>
        <v>Zhège shìpín tài gǎoxiàole!</v>
      </c>
    </row>
    <row r="19" spans="1:5" ht="14.25" customHeight="1">
      <c r="A19" s="3" t="s">
        <v>2137</v>
      </c>
      <c r="B19" s="3" t="s">
        <v>2138</v>
      </c>
      <c r="C19" s="4"/>
      <c r="D19" s="4"/>
      <c r="E19" s="4" t="str">
        <f ca="1">IFERROR(__xludf.DUMMYFUNCTION("""COMPUTED_VALUE"""),"Wǒ xǐhuān nǐ de shìpín.")</f>
        <v>Wǒ xǐhuān nǐ de shìpín.</v>
      </c>
    </row>
    <row r="20" spans="1:5" ht="14.25" customHeight="1">
      <c r="A20" s="3" t="s">
        <v>2139</v>
      </c>
      <c r="B20" s="3" t="s">
        <v>2140</v>
      </c>
      <c r="C20" s="4"/>
      <c r="D20" s="4" t="s">
        <v>2141</v>
      </c>
      <c r="E20" s="5" t="str">
        <f ca="1">IFERROR(__xludf.DUMMYFUNCTION("""COMPUTED_VALUE"""),"Wǒ zài liúlǎn Facebook.")</f>
        <v>Wǒ zài liúlǎn Facebook.</v>
      </c>
    </row>
    <row r="21" spans="1:5" ht="14.25" customHeight="1">
      <c r="A21" s="3" t="s">
        <v>1240</v>
      </c>
      <c r="B21" s="3" t="s">
        <v>1241</v>
      </c>
      <c r="C21" s="4"/>
      <c r="D21" s="4"/>
      <c r="E21" s="6" t="str">
        <f ca="1">IFERROR(__xludf.DUMMYFUNCTION("""COMPUTED_VALUE"""),"Nǐ yǒu Facebook zhànghào ma?")</f>
        <v>Nǐ yǒu Facebook zhànghào ma?</v>
      </c>
    </row>
    <row r="22" spans="1:5" ht="14.25" customHeight="1">
      <c r="A22" s="3" t="s">
        <v>2142</v>
      </c>
      <c r="B22" s="3" t="s">
        <v>1243</v>
      </c>
      <c r="C22" s="4"/>
      <c r="D22" s="4" t="s">
        <v>2143</v>
      </c>
      <c r="E22" s="6" t="str">
        <f ca="1">IFERROR(__xludf.DUMMYFUNCTION("""COMPUTED_VALUE"""),"Qǐng jiā wǒ hǎoyǒu.")</f>
        <v>Qǐng jiā wǒ hǎoyǒu.</v>
      </c>
    </row>
    <row r="23" spans="1:5" ht="14.25" customHeight="1">
      <c r="A23" s="3" t="s">
        <v>2144</v>
      </c>
      <c r="B23" s="3" t="s">
        <v>2145</v>
      </c>
      <c r="C23" s="4"/>
      <c r="D23" s="4"/>
      <c r="E23" s="6" t="str">
        <f ca="1">IFERROR(__xludf.DUMMYFUNCTION("""COMPUTED_VALUE"""),"Bùyào bǎ wǒ de zhàopiàn fābù dào wǎngshàng.")</f>
        <v>Bùyào bǎ wǒ de zhàopiàn fābù dào wǎngshàng.</v>
      </c>
    </row>
    <row r="24" spans="1:5" ht="14.25" customHeight="1">
      <c r="A24" s="3" t="s">
        <v>2146</v>
      </c>
      <c r="B24" s="3" t="s">
        <v>2147</v>
      </c>
      <c r="C24" s="4"/>
      <c r="D24" s="4" t="s">
        <v>2148</v>
      </c>
      <c r="E24" s="6" t="str">
        <f ca="1">IFERROR(__xludf.DUMMYFUNCTION("""COMPUTED_VALUE"""),"Wǒ xiǎng shānchú zhè tiáo xìnxī.")</f>
        <v>Wǒ xiǎng shānchú zhè tiáo xìnxī.</v>
      </c>
    </row>
    <row r="25" spans="1:5" ht="14.25" customHeight="1">
      <c r="A25" s="3" t="s">
        <v>2149</v>
      </c>
      <c r="B25" s="3" t="s">
        <v>2150</v>
      </c>
      <c r="C25" s="4"/>
      <c r="D25" s="4"/>
      <c r="E25" s="6" t="str">
        <f ca="1">IFERROR(__xludf.DUMMYFUNCTION("""COMPUTED_VALUE"""),"Wǒ de shǒujī píngmù suìle.")</f>
        <v>Wǒ de shǒujī píngmù suìle.</v>
      </c>
    </row>
    <row r="26" spans="1:5" ht="14.25" customHeight="1">
      <c r="A26" s="3" t="s">
        <v>2151</v>
      </c>
      <c r="B26" s="3" t="s">
        <v>2152</v>
      </c>
      <c r="C26" s="4"/>
      <c r="D26" s="4" t="s">
        <v>2153</v>
      </c>
      <c r="E26" s="6" t="str">
        <f ca="1">IFERROR(__xludf.DUMMYFUNCTION("""COMPUTED_VALUE"""),"Nǎlǐ kěyǐ xiū shǒujī?")</f>
        <v>Nǎlǐ kěyǐ xiū shǒujī?</v>
      </c>
    </row>
    <row r="27" spans="1:5" ht="14.25" customHeight="1">
      <c r="A27" s="3" t="s">
        <v>2154</v>
      </c>
      <c r="B27" s="3" t="s">
        <v>2155</v>
      </c>
      <c r="C27" s="4"/>
      <c r="D27" s="4"/>
      <c r="E27" s="6" t="str">
        <f ca="1">IFERROR(__xludf.DUMMYFUNCTION("""COMPUTED_VALUE"""),"Wǒ xiǎng mǎi yī zhāng xīn de SIM kǎ.")</f>
        <v>Wǒ xiǎng mǎi yī zhāng xīn de SIM kǎ.</v>
      </c>
    </row>
    <row r="28" spans="1:5" ht="14.25" customHeight="1">
      <c r="A28" s="3" t="s">
        <v>2156</v>
      </c>
      <c r="B28" s="3" t="s">
        <v>2157</v>
      </c>
      <c r="C28" s="4"/>
      <c r="D28" s="4" t="s">
        <v>2158</v>
      </c>
      <c r="E28" s="6" t="str">
        <f ca="1">IFERROR(__xludf.DUMMYFUNCTION("""COMPUTED_VALUE"""),"Shénme páizǐ de SIM kǎ hǎo yòng?")</f>
        <v>Shénme páizǐ de SIM kǎ hǎo yòng?</v>
      </c>
    </row>
    <row r="29" spans="1:5" ht="14.25" customHeight="1">
      <c r="A29" s="3" t="s">
        <v>2159</v>
      </c>
      <c r="B29" s="3" t="s">
        <v>2160</v>
      </c>
      <c r="C29" s="4"/>
      <c r="D29" s="4"/>
      <c r="E29" s="37" t="str">
        <f ca="1">IFERROR(__xludf.DUMMYFUNCTION("""COMPUTED_VALUE"""),"Rúhé kāitōng liúliàng?")</f>
        <v>Rúhé kāitōng liúliàng?</v>
      </c>
    </row>
    <row r="30" spans="1:5" ht="14.25" customHeight="1">
      <c r="A30" s="3" t="s">
        <v>2161</v>
      </c>
      <c r="B30" s="3" t="s">
        <v>2162</v>
      </c>
      <c r="C30" s="4"/>
      <c r="D30" s="4" t="s">
        <v>2163</v>
      </c>
      <c r="E30" s="6" t="str">
        <f ca="1">IFERROR(__xludf.DUMMYFUNCTION("""COMPUTED_VALUE"""),"Wǒ de liúliàng yòng wánliǎo.")</f>
        <v>Wǒ de liúliàng yòng wánliǎo.</v>
      </c>
    </row>
    <row r="31" spans="1:5" ht="14.25" customHeight="1">
      <c r="A31" s="3" t="s">
        <v>2164</v>
      </c>
      <c r="B31" s="3" t="s">
        <v>2165</v>
      </c>
      <c r="C31" s="4"/>
      <c r="D31" s="4"/>
      <c r="E31" s="4" t="str">
        <f ca="1">IFERROR(__xludf.DUMMYFUNCTION("""COMPUTED_VALUE"""),"Wǒ zài YouTube shàng kàn diànyǐng.")</f>
        <v>Wǒ zài YouTube shàng kàn diànyǐng.</v>
      </c>
    </row>
    <row r="32" spans="1:5" ht="14.25" customHeight="1">
      <c r="A32" s="3" t="s">
        <v>2166</v>
      </c>
      <c r="B32" s="3" t="s">
        <v>2167</v>
      </c>
      <c r="C32" s="4"/>
      <c r="D32" s="4" t="s">
        <v>2168</v>
      </c>
      <c r="E32" s="4" t="str">
        <f ca="1">IFERROR(__xludf.DUMMYFUNCTION("""COMPUTED_VALUE"""),"Bié tài pínfán de yòng shǒujī.")</f>
        <v>Bié tài pínfán de yòng shǒujī.</v>
      </c>
    </row>
    <row r="33" spans="1:5" ht="14.25" customHeight="1">
      <c r="A33" s="3" t="s">
        <v>2169</v>
      </c>
      <c r="B33" s="3" t="s">
        <v>2170</v>
      </c>
      <c r="C33" s="4"/>
      <c r="D33" s="4"/>
      <c r="E33" s="4" t="str">
        <f ca="1">IFERROR(__xludf.DUMMYFUNCTION("""COMPUTED_VALUE"""),"Wǒ zhǐ yòng 10 fēnzhōng.")</f>
        <v>Wǒ zhǐ yòng 10 fēnzhōng.</v>
      </c>
    </row>
    <row r="34" spans="1:5" ht="14.25" customHeight="1">
      <c r="A34" s="3" t="s">
        <v>2171</v>
      </c>
      <c r="B34" s="3" t="s">
        <v>2172</v>
      </c>
      <c r="C34" s="4"/>
      <c r="D34" s="4" t="s">
        <v>2173</v>
      </c>
      <c r="E34" s="4" t="str">
        <f ca="1">IFERROR(__xludf.DUMMYFUNCTION("""COMPUTED_VALUE"""),"Wǒ kěyǐ jiè nǐ de shǒujī yòng yīhuǐ'er ma?")</f>
        <v>Wǒ kěyǐ jiè nǐ de shǒujī yòng yīhuǐ'er ma?</v>
      </c>
    </row>
    <row r="35" spans="1:5" ht="14.25" customHeight="1">
      <c r="A35" s="3" t="s">
        <v>2174</v>
      </c>
      <c r="B35" s="3" t="s">
        <v>2175</v>
      </c>
      <c r="C35" s="4"/>
      <c r="D35" s="4"/>
      <c r="E35" s="8" t="str">
        <f ca="1">IFERROR(__xludf.DUMMYFUNCTION("""COMPUTED_VALUE"""),"Wǒ xiǎng zìpāi.")</f>
        <v>Wǒ xiǎng zìpāi.</v>
      </c>
    </row>
    <row r="36" spans="1:5" ht="14.25" customHeight="1">
      <c r="A36" s="3" t="s">
        <v>2176</v>
      </c>
      <c r="B36" s="3" t="s">
        <v>2177</v>
      </c>
      <c r="C36" s="4"/>
      <c r="D36" s="4" t="s">
        <v>2178</v>
      </c>
      <c r="E36" s="5" t="str">
        <f ca="1">IFERROR(__xludf.DUMMYFUNCTION("""COMPUTED_VALUE"""),"Zhè zhāng zhàopiàn yǒudiǎn móhú.")</f>
        <v>Zhè zhāng zhàopiàn yǒudiǎn móhú.</v>
      </c>
    </row>
    <row r="37" spans="1:5" ht="14.25" customHeight="1">
      <c r="A37" s="3" t="s">
        <v>2179</v>
      </c>
      <c r="B37" s="3" t="s">
        <v>2180</v>
      </c>
      <c r="C37" s="4"/>
      <c r="D37" s="4"/>
      <c r="E37" s="8" t="str">
        <f ca="1">IFERROR(__xludf.DUMMYFUNCTION("""COMPUTED_VALUE"""),"Wǒ kěyǐ zài pāi yī zhāng ma?")</f>
        <v>Wǒ kěyǐ zài pāi yī zhāng ma?</v>
      </c>
    </row>
    <row r="38" spans="1:5" ht="14.25" customHeight="1">
      <c r="A38" s="3" t="s">
        <v>2181</v>
      </c>
      <c r="B38" s="3" t="s">
        <v>2182</v>
      </c>
      <c r="C38" s="4"/>
      <c r="D38" s="4" t="s">
        <v>2183</v>
      </c>
      <c r="E38" s="5" t="str">
        <f ca="1">IFERROR(__xludf.DUMMYFUNCTION("""COMPUTED_VALUE"""),"Nǐ zài yòng shénme yìngyòng?")</f>
        <v>Nǐ zài yòng shénme yìngyòng?</v>
      </c>
    </row>
    <row r="39" spans="1:5" ht="14.25" customHeight="1">
      <c r="A39" s="3" t="s">
        <v>2184</v>
      </c>
      <c r="B39" s="3" t="s">
        <v>2185</v>
      </c>
      <c r="C39" s="4"/>
      <c r="D39" s="4"/>
      <c r="E39" s="6" t="str">
        <f ca="1">IFERROR(__xludf.DUMMYFUNCTION("""COMPUTED_VALUE"""),"Wǒ gāi rúhé xiàzài zhège yìngyòng?")</f>
        <v>Wǒ gāi rúhé xiàzài zhège yìngyòng?</v>
      </c>
    </row>
    <row r="40" spans="1:5" ht="14.25" customHeight="1">
      <c r="A40" s="3" t="s">
        <v>2186</v>
      </c>
      <c r="B40" s="3" t="s">
        <v>2187</v>
      </c>
      <c r="C40" s="4"/>
      <c r="D40" s="4" t="s">
        <v>2188</v>
      </c>
      <c r="E40" s="6" t="str">
        <f ca="1">IFERROR(__xludf.DUMMYFUNCTION("""COMPUTED_VALUE"""),"Wǒ wàngjì mìmǎle.")</f>
        <v>Wǒ wàngjì mìmǎle.</v>
      </c>
    </row>
    <row r="41" spans="1:5" ht="14.25" customHeight="1">
      <c r="A41" s="3" t="s">
        <v>2189</v>
      </c>
      <c r="B41" s="3" t="s">
        <v>2190</v>
      </c>
      <c r="C41" s="4"/>
      <c r="D41" s="4"/>
      <c r="E41" s="5" t="str">
        <f ca="1">IFERROR(__xludf.DUMMYFUNCTION("""COMPUTED_VALUE"""),"Qǐng bāng wǒ zhǎo huí mìmǎ.")</f>
        <v>Qǐng bāng wǒ zhǎo huí mìmǎ.</v>
      </c>
    </row>
    <row r="42" spans="1:5" ht="14.25" customHeight="1">
      <c r="A42" s="3" t="s">
        <v>2191</v>
      </c>
      <c r="B42" s="3" t="s">
        <v>2192</v>
      </c>
      <c r="C42" s="4"/>
      <c r="D42" s="4" t="s">
        <v>2193</v>
      </c>
      <c r="E42" s="4" t="str">
        <f ca="1">IFERROR(__xludf.DUMMYFUNCTION("""COMPUTED_VALUE"""),"Wǒ de shǒujī tài tàngle.")</f>
        <v>Wǒ de shǒujī tài tàngle.</v>
      </c>
    </row>
    <row r="43" spans="1:5" ht="14.25" customHeight="1">
      <c r="A43" s="3" t="s">
        <v>2194</v>
      </c>
      <c r="B43" s="3" t="s">
        <v>2195</v>
      </c>
      <c r="C43" s="4"/>
      <c r="D43" s="4"/>
      <c r="E43" s="5" t="str">
        <f ca="1">IFERROR(__xludf.DUMMYFUNCTION("""COMPUTED_VALUE"""),"Qǐng guānjī.")</f>
        <v>Qǐng guānjī.</v>
      </c>
    </row>
    <row r="44" spans="1:5" ht="14.25" customHeight="1">
      <c r="A44" s="3" t="s">
        <v>2196</v>
      </c>
      <c r="B44" s="3" t="s">
        <v>2197</v>
      </c>
      <c r="C44" s="4"/>
      <c r="D44" s="4" t="s">
        <v>2198</v>
      </c>
      <c r="E44" s="4" t="str">
        <f ca="1">IFERROR(__xludf.DUMMYFUNCTION("""COMPUTED_VALUE"""),"Yǒurén gěi wǒ dǎ diànhuà ma?")</f>
        <v>Yǒurén gěi wǒ dǎ diànhuà ma?</v>
      </c>
    </row>
    <row r="45" spans="1:5" ht="14.25" customHeight="1">
      <c r="A45" s="3" t="s">
        <v>2199</v>
      </c>
      <c r="B45" s="3" t="s">
        <v>2200</v>
      </c>
      <c r="C45" s="4"/>
      <c r="D45" s="4"/>
      <c r="E45" s="5" t="str">
        <f ca="1">IFERROR(__xludf.DUMMYFUNCTION("""COMPUTED_VALUE"""),"Wǒ zài děng diànhuà.")</f>
        <v>Wǒ zài děng diànhuà.</v>
      </c>
    </row>
    <row r="46" spans="1:5" ht="14.25" customHeight="1">
      <c r="A46" s="3" t="s">
        <v>2201</v>
      </c>
      <c r="B46" s="3" t="s">
        <v>2202</v>
      </c>
      <c r="C46" s="4"/>
      <c r="D46" s="4" t="s">
        <v>2203</v>
      </c>
      <c r="E46" s="4" t="str">
        <f ca="1">IFERROR(__xludf.DUMMYFUNCTION("""COMPUTED_VALUE"""),"Qǐng jiētīng!")</f>
        <v>Qǐng jiētīng!</v>
      </c>
    </row>
    <row r="47" spans="1:5" ht="14.25" customHeight="1">
      <c r="A47" s="3" t="s">
        <v>2204</v>
      </c>
      <c r="B47" s="3" t="s">
        <v>2205</v>
      </c>
      <c r="C47" s="4"/>
      <c r="D47" s="4"/>
      <c r="E47" s="4" t="str">
        <f ca="1">IFERROR(__xludf.DUMMYFUNCTION("""COMPUTED_VALUE"""),"Wǒ de shǒujī shì jìngyīn móshì.")</f>
        <v>Wǒ de shǒujī shì jìngyīn móshì.</v>
      </c>
    </row>
    <row r="48" spans="1:5" ht="14.25" customHeight="1">
      <c r="A48" s="3" t="s">
        <v>2206</v>
      </c>
      <c r="B48" s="3" t="s">
        <v>2207</v>
      </c>
      <c r="C48" s="4"/>
      <c r="D48" s="4" t="s">
        <v>2208</v>
      </c>
      <c r="E48" s="4" t="str">
        <f ca="1">IFERROR(__xludf.DUMMYFUNCTION("""COMPUTED_VALUE"""),"Qǐng shāo hòu zài fā duǎnxìn gěi wǒ.")</f>
        <v>Qǐng shāo hòu zài fā duǎnxìn gěi wǒ.</v>
      </c>
    </row>
    <row r="49" spans="1:5" ht="14.25" customHeight="1">
      <c r="A49" s="3" t="s">
        <v>2209</v>
      </c>
      <c r="B49" s="3" t="s">
        <v>2210</v>
      </c>
      <c r="C49" s="4"/>
      <c r="D49" s="4"/>
      <c r="E49" s="5" t="str">
        <f ca="1">IFERROR(__xludf.DUMMYFUNCTION("""COMPUTED_VALUE"""),"Wǒ zài mángzhe xuéxí.")</f>
        <v>Wǒ zài mángzhe xuéxí.</v>
      </c>
    </row>
    <row r="50" spans="1:5" ht="14.25" customHeight="1">
      <c r="A50" s="3" t="s">
        <v>2211</v>
      </c>
      <c r="B50" s="3" t="s">
        <v>2212</v>
      </c>
      <c r="C50" s="4"/>
      <c r="D50" s="4" t="s">
        <v>2213</v>
      </c>
      <c r="E50" s="6" t="str">
        <f ca="1">IFERROR(__xludf.DUMMYFUNCTION("""COMPUTED_VALUE"""),"Wǒ de shǒujī shì wǒ de hǎo péngyǒu.")</f>
        <v>Wǒ de shǒujī shì wǒ de hǎo péngyǒu.</v>
      </c>
    </row>
    <row r="51" spans="1:5" ht="14.25" customHeight="1">
      <c r="A51" s="3" t="s">
        <v>2214</v>
      </c>
      <c r="B51" s="3" t="s">
        <v>2215</v>
      </c>
      <c r="C51" s="4"/>
      <c r="D51" s="4"/>
      <c r="E51" s="6" t="str">
        <f ca="1">IFERROR(__xludf.DUMMYFUNCTION("""COMPUTED_VALUE"""),"Dàn wǒ zhènghé péngyǒu chūqù wán.")</f>
        <v>Dàn wǒ zhènghé péngyǒu chūqù wán.</v>
      </c>
    </row>
    <row r="52" spans="1:5" ht="14.25" customHeight="1">
      <c r="A52" s="4"/>
      <c r="B52" s="4"/>
      <c r="C52" s="4"/>
      <c r="D52" s="4" t="s">
        <v>2216</v>
      </c>
    </row>
    <row r="53" spans="1:5" ht="14.25" customHeight="1">
      <c r="A53" s="4"/>
      <c r="B53" s="4"/>
      <c r="C53" s="4"/>
      <c r="D53" s="4"/>
      <c r="E53" s="5"/>
    </row>
    <row r="54" spans="1:5" ht="14.25" customHeight="1">
      <c r="A54" s="4"/>
      <c r="B54" s="4"/>
      <c r="C54" s="4"/>
      <c r="D54" s="4" t="s">
        <v>2217</v>
      </c>
      <c r="E54" s="5"/>
    </row>
    <row r="55" spans="1:5" ht="14.25" customHeight="1">
      <c r="A55" s="4"/>
      <c r="B55" s="4"/>
      <c r="C55" s="4"/>
      <c r="D55" s="4"/>
      <c r="E55" s="5"/>
    </row>
    <row r="56" spans="1:5" ht="14.25" customHeight="1">
      <c r="A56" s="4"/>
      <c r="B56" s="4"/>
      <c r="C56" s="4"/>
      <c r="D56" s="4" t="s">
        <v>2218</v>
      </c>
      <c r="E56" s="5"/>
    </row>
    <row r="57" spans="1:5" ht="14.25" customHeight="1">
      <c r="A57" s="4"/>
      <c r="B57" s="4"/>
      <c r="C57" s="4"/>
      <c r="D57" s="4"/>
      <c r="E57" s="5"/>
    </row>
    <row r="58" spans="1:5" ht="14.25" customHeight="1">
      <c r="A58" s="4"/>
      <c r="B58" s="4"/>
      <c r="C58" s="4"/>
      <c r="D58" s="4" t="s">
        <v>2219</v>
      </c>
      <c r="E58" s="5"/>
    </row>
    <row r="59" spans="1:5" ht="14.25" customHeight="1">
      <c r="A59" s="4"/>
      <c r="B59" s="4"/>
      <c r="C59" s="4"/>
      <c r="D59" s="4"/>
    </row>
    <row r="60" spans="1:5" ht="14.25" customHeight="1">
      <c r="A60" s="4"/>
      <c r="B60" s="4"/>
      <c r="C60" s="4"/>
      <c r="D60" s="4" t="s">
        <v>2220</v>
      </c>
      <c r="E60" s="5"/>
    </row>
    <row r="61" spans="1:5" ht="14.25" customHeight="1">
      <c r="A61" s="4"/>
      <c r="B61" s="4"/>
      <c r="C61" s="4"/>
      <c r="D61" s="4"/>
      <c r="E61" s="5"/>
    </row>
    <row r="62" spans="1:5" ht="14.25" customHeight="1">
      <c r="A62" s="4"/>
      <c r="B62" s="4"/>
      <c r="C62" s="4"/>
      <c r="D62" s="4" t="s">
        <v>2221</v>
      </c>
      <c r="E62" s="5"/>
    </row>
    <row r="63" spans="1:5" ht="14.25" customHeight="1">
      <c r="A63" s="4"/>
      <c r="B63" s="4"/>
      <c r="C63" s="4"/>
      <c r="D63" s="4"/>
      <c r="E63" s="5"/>
    </row>
    <row r="64" spans="1:5" ht="14.25" customHeight="1">
      <c r="A64" s="4"/>
      <c r="B64" s="4"/>
      <c r="C64" s="4"/>
      <c r="D64" s="4" t="s">
        <v>2222</v>
      </c>
      <c r="E64" s="5"/>
    </row>
    <row r="65" spans="1:5" ht="14.25" customHeight="1">
      <c r="A65" s="4"/>
      <c r="B65" s="4"/>
      <c r="C65" s="4"/>
      <c r="D65" s="4"/>
      <c r="E65" s="5"/>
    </row>
    <row r="66" spans="1:5" ht="14.25" customHeight="1">
      <c r="A66" s="4"/>
      <c r="B66" s="4"/>
      <c r="C66" s="4"/>
      <c r="D66" s="4" t="s">
        <v>2223</v>
      </c>
      <c r="E66" s="5"/>
    </row>
    <row r="67" spans="1:5" ht="14.25" customHeight="1">
      <c r="A67" s="4"/>
      <c r="B67" s="4"/>
      <c r="C67" s="4"/>
      <c r="D67" s="4"/>
      <c r="E67" s="5"/>
    </row>
    <row r="68" spans="1:5" ht="14.25" customHeight="1">
      <c r="A68" s="4"/>
      <c r="B68" s="4"/>
      <c r="C68" s="4"/>
      <c r="D68" s="4" t="s">
        <v>2224</v>
      </c>
      <c r="E68" s="5"/>
    </row>
    <row r="69" spans="1:5" ht="14.25" customHeight="1">
      <c r="A69" s="4"/>
      <c r="B69" s="4"/>
      <c r="C69" s="4"/>
      <c r="D69" s="4"/>
      <c r="E69" s="5"/>
    </row>
    <row r="70" spans="1:5" ht="14.25" customHeight="1">
      <c r="A70" s="4"/>
      <c r="B70" s="4"/>
      <c r="C70" s="4"/>
      <c r="D70" s="4" t="s">
        <v>2225</v>
      </c>
      <c r="E70" s="5"/>
    </row>
    <row r="71" spans="1:5" ht="14.25" customHeight="1">
      <c r="A71" s="4"/>
      <c r="B71" s="4"/>
      <c r="C71" s="4"/>
      <c r="D71" s="4"/>
      <c r="E71" s="5"/>
    </row>
    <row r="72" spans="1:5" ht="14.25" customHeight="1">
      <c r="A72" s="4"/>
      <c r="B72" s="4"/>
      <c r="C72" s="4"/>
      <c r="D72" s="4" t="s">
        <v>2226</v>
      </c>
      <c r="E72" s="5"/>
    </row>
    <row r="73" spans="1:5" ht="14.25" customHeight="1">
      <c r="A73" s="4"/>
      <c r="B73" s="4"/>
      <c r="C73" s="4"/>
      <c r="D73" s="4"/>
      <c r="E73" s="5"/>
    </row>
    <row r="74" spans="1:5" ht="14.25" customHeight="1">
      <c r="A74" s="4"/>
      <c r="B74" s="4"/>
      <c r="C74" s="4"/>
      <c r="D74" s="4" t="s">
        <v>2227</v>
      </c>
      <c r="E74" s="5"/>
    </row>
    <row r="75" spans="1:5" ht="14.25" customHeight="1">
      <c r="A75" s="4"/>
      <c r="B75" s="4"/>
      <c r="C75" s="4"/>
      <c r="D75" s="4"/>
      <c r="E75" s="5"/>
    </row>
    <row r="76" spans="1:5" ht="14.25" customHeight="1">
      <c r="A76" s="4"/>
      <c r="B76" s="4"/>
      <c r="C76" s="4"/>
      <c r="D76" s="4" t="s">
        <v>2228</v>
      </c>
      <c r="E76" s="5"/>
    </row>
    <row r="77" spans="1:5" ht="14.25" customHeight="1">
      <c r="A77" s="4"/>
      <c r="B77" s="4"/>
      <c r="C77" s="4"/>
      <c r="D77" s="4"/>
      <c r="E77" s="5"/>
    </row>
    <row r="78" spans="1:5" ht="14.25" customHeight="1">
      <c r="A78" s="4"/>
      <c r="B78" s="4"/>
      <c r="C78" s="4"/>
      <c r="D78" s="4" t="s">
        <v>2229</v>
      </c>
      <c r="E78" s="5"/>
    </row>
    <row r="79" spans="1:5" ht="14.25" customHeight="1">
      <c r="A79" s="4"/>
      <c r="B79" s="4"/>
      <c r="C79" s="4"/>
      <c r="D79" s="4"/>
      <c r="E79" s="5"/>
    </row>
    <row r="80" spans="1:5" ht="14.25" customHeight="1">
      <c r="A80" s="4"/>
      <c r="B80" s="4"/>
      <c r="C80" s="4"/>
      <c r="D80" s="4" t="s">
        <v>2230</v>
      </c>
      <c r="E80" s="5"/>
    </row>
    <row r="81" spans="1:5" ht="14.25" customHeight="1">
      <c r="A81" s="4"/>
      <c r="B81" s="4"/>
      <c r="C81" s="4"/>
      <c r="D81" s="4"/>
      <c r="E81" s="5"/>
    </row>
    <row r="82" spans="1:5" ht="14.25" customHeight="1">
      <c r="A82" s="4"/>
      <c r="B82" s="4"/>
      <c r="C82" s="4"/>
      <c r="D82" s="4" t="s">
        <v>2231</v>
      </c>
      <c r="E82" s="5"/>
    </row>
    <row r="83" spans="1:5" ht="14.25" customHeight="1">
      <c r="A83" s="4"/>
      <c r="B83" s="4"/>
      <c r="C83" s="4"/>
      <c r="D83" s="4"/>
      <c r="E83" s="5"/>
    </row>
    <row r="84" spans="1:5" ht="14.25" customHeight="1">
      <c r="A84" s="4"/>
      <c r="B84" s="4"/>
      <c r="C84" s="4"/>
      <c r="D84" s="4" t="s">
        <v>2232</v>
      </c>
      <c r="E84" s="5"/>
    </row>
    <row r="85" spans="1:5" ht="14.25" customHeight="1">
      <c r="A85" s="4"/>
      <c r="B85" s="4"/>
      <c r="C85" s="4"/>
      <c r="D85" s="4"/>
      <c r="E85" s="5"/>
    </row>
    <row r="86" spans="1:5" ht="14.25" customHeight="1">
      <c r="A86" s="4"/>
      <c r="B86" s="4"/>
      <c r="C86" s="4"/>
      <c r="D86" s="4" t="s">
        <v>2233</v>
      </c>
      <c r="E86" s="5"/>
    </row>
    <row r="87" spans="1:5" ht="14.25" customHeight="1">
      <c r="A87" s="4"/>
      <c r="B87" s="4"/>
      <c r="C87" s="4"/>
      <c r="D87" s="4"/>
      <c r="E87" s="5"/>
    </row>
    <row r="88" spans="1:5" ht="14.25" customHeight="1">
      <c r="A88" s="4"/>
      <c r="B88" s="4"/>
      <c r="C88" s="4"/>
      <c r="D88" s="4" t="s">
        <v>2234</v>
      </c>
      <c r="E88" s="5"/>
    </row>
    <row r="89" spans="1:5" ht="14.25" customHeight="1">
      <c r="A89" s="4"/>
      <c r="B89" s="4"/>
      <c r="C89" s="4"/>
      <c r="D89" s="4"/>
      <c r="E89" s="5"/>
    </row>
    <row r="90" spans="1:5" ht="14.25" customHeight="1">
      <c r="A90" s="4"/>
      <c r="B90" s="4"/>
      <c r="C90" s="4"/>
      <c r="D90" s="4" t="s">
        <v>2235</v>
      </c>
      <c r="E90" s="5"/>
    </row>
    <row r="91" spans="1:5" ht="14.25" customHeight="1">
      <c r="A91" s="4"/>
      <c r="B91" s="4"/>
      <c r="C91" s="4"/>
      <c r="D91" s="4"/>
      <c r="E91" s="5"/>
    </row>
    <row r="92" spans="1:5" ht="14.25" customHeight="1">
      <c r="A92" s="4"/>
      <c r="B92" s="4"/>
      <c r="C92" s="4"/>
      <c r="D92" s="4" t="s">
        <v>2236</v>
      </c>
      <c r="E92" s="5"/>
    </row>
    <row r="93" spans="1:5" ht="14.25" customHeight="1">
      <c r="A93" s="4"/>
      <c r="B93" s="4"/>
      <c r="C93" s="4"/>
      <c r="D93" s="4"/>
      <c r="E93" s="5"/>
    </row>
    <row r="94" spans="1:5" ht="14.25" customHeight="1">
      <c r="A94" s="4"/>
      <c r="B94" s="4"/>
      <c r="C94" s="4"/>
      <c r="D94" s="4" t="s">
        <v>2237</v>
      </c>
      <c r="E94" s="5"/>
    </row>
    <row r="95" spans="1:5" ht="14.25" customHeight="1">
      <c r="A95" s="4"/>
      <c r="B95" s="4"/>
      <c r="C95" s="4"/>
      <c r="D95" s="4"/>
      <c r="E95" s="5"/>
    </row>
    <row r="96" spans="1:5" ht="14.25" customHeight="1">
      <c r="A96" s="4"/>
      <c r="B96" s="4"/>
      <c r="C96" s="4"/>
      <c r="D96" s="4" t="s">
        <v>2238</v>
      </c>
      <c r="E96" s="5"/>
    </row>
    <row r="97" spans="1:5" ht="14.25" customHeight="1">
      <c r="A97" s="4"/>
      <c r="B97" s="4"/>
      <c r="C97" s="4"/>
      <c r="D97" s="4"/>
      <c r="E97" s="5"/>
    </row>
    <row r="98" spans="1:5" ht="14.25" customHeight="1">
      <c r="A98" s="4"/>
      <c r="B98" s="4"/>
      <c r="C98" s="4"/>
      <c r="D98" s="4" t="s">
        <v>2239</v>
      </c>
      <c r="E98" s="5"/>
    </row>
    <row r="99" spans="1:5" ht="14.25" customHeight="1">
      <c r="A99" s="4"/>
      <c r="B99" s="4"/>
      <c r="C99" s="4"/>
      <c r="D99" s="4"/>
      <c r="E99" s="5"/>
    </row>
    <row r="100" spans="1:5" ht="14.25" customHeight="1">
      <c r="A100" s="4"/>
      <c r="B100" s="4"/>
      <c r="C100" s="4"/>
      <c r="D100" s="4" t="s">
        <v>2240</v>
      </c>
      <c r="E100" s="5"/>
    </row>
  </sheetData>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54.88671875" customWidth="1"/>
    <col min="2" max="2" width="45.44140625" customWidth="1"/>
    <col min="3" max="4" width="71.109375" customWidth="1"/>
    <col min="5" max="5" width="56.88671875" customWidth="1"/>
  </cols>
  <sheetData>
    <row r="1" spans="1:5" ht="14.25" customHeight="1">
      <c r="A1" s="1" t="s">
        <v>2241</v>
      </c>
      <c r="C1" s="24"/>
      <c r="D1" s="24"/>
      <c r="E1" s="2"/>
    </row>
    <row r="2" spans="1:5" ht="14.25" customHeight="1">
      <c r="A2" s="41" t="s">
        <v>2242</v>
      </c>
      <c r="B2" s="10" t="s">
        <v>2243</v>
      </c>
      <c r="C2" s="34"/>
      <c r="D2" s="34" t="s">
        <v>2244</v>
      </c>
      <c r="E2" s="5" t="str">
        <f ca="1">IFERROR(__xludf.DUMMYFUNCTION("FILTER(D1:D1004,D1:D1004&lt;&gt; """")"),"Jīntiān shì shénme jiérì?")</f>
        <v>Jīntiān shì shénme jiérì?</v>
      </c>
    </row>
    <row r="3" spans="1:5" ht="14.25" customHeight="1">
      <c r="A3" s="41" t="s">
        <v>2245</v>
      </c>
      <c r="B3" s="10" t="s">
        <v>2246</v>
      </c>
      <c r="C3" s="34"/>
      <c r="D3" s="34"/>
      <c r="E3" s="6" t="str">
        <f ca="1">IFERROR(__xludf.DUMMYFUNCTION("""COMPUTED_VALUE"""),"Zhège jiérì jiào shénme míngzì?")</f>
        <v>Zhège jiérì jiào shénme míngzì?</v>
      </c>
    </row>
    <row r="4" spans="1:5" ht="14.25" customHeight="1">
      <c r="A4" s="41" t="s">
        <v>2247</v>
      </c>
      <c r="B4" s="10" t="s">
        <v>2248</v>
      </c>
      <c r="C4" s="34"/>
      <c r="D4" s="34" t="s">
        <v>2249</v>
      </c>
      <c r="E4" s="5" t="str">
        <f ca="1">IFERROR(__xludf.DUMMYFUNCTION("""COMPUTED_VALUE"""),"Jiérì kuàilè!")</f>
        <v>Jiérì kuàilè!</v>
      </c>
    </row>
    <row r="5" spans="1:5" ht="14.25" customHeight="1">
      <c r="A5" s="41" t="s">
        <v>2250</v>
      </c>
      <c r="B5" s="10" t="s">
        <v>2251</v>
      </c>
      <c r="C5" s="34" t="s">
        <v>2252</v>
      </c>
      <c r="D5" s="34"/>
      <c r="E5" s="5" t="str">
        <f ca="1">IFERROR(__xludf.DUMMYFUNCTION("""COMPUTED_VALUE"""),"Yóuxíng shénme shíhòu kāishǐ?")</f>
        <v>Yóuxíng shénme shíhòu kāishǐ?</v>
      </c>
    </row>
    <row r="6" spans="1:5" ht="14.25" customHeight="1">
      <c r="A6" s="41" t="s">
        <v>2253</v>
      </c>
      <c r="B6" s="10" t="s">
        <v>2254</v>
      </c>
      <c r="C6" s="34"/>
      <c r="D6" s="34" t="s">
        <v>2255</v>
      </c>
      <c r="E6" s="5" t="str">
        <f ca="1">IFERROR(__xludf.DUMMYFUNCTION("""COMPUTED_VALUE"""),"Rénmen tiàowǔ tiào dé zhēnměi!")</f>
        <v>Rénmen tiàowǔ tiào dé zhēnměi!</v>
      </c>
    </row>
    <row r="7" spans="1:5" ht="14.25" customHeight="1">
      <c r="A7" s="41" t="s">
        <v>2256</v>
      </c>
      <c r="B7" s="10" t="s">
        <v>2257</v>
      </c>
      <c r="C7" s="34"/>
      <c r="D7" s="34"/>
      <c r="E7" s="5" t="str">
        <f ca="1">IFERROR(__xludf.DUMMYFUNCTION("""COMPUTED_VALUE"""),"Wǒ kěyǐ pāizhào ma?")</f>
        <v>Wǒ kěyǐ pāizhào ma?</v>
      </c>
    </row>
    <row r="8" spans="1:5" ht="14.25" customHeight="1">
      <c r="A8" s="41" t="s">
        <v>2258</v>
      </c>
      <c r="B8" s="10" t="s">
        <v>2259</v>
      </c>
      <c r="C8" s="34" t="s">
        <v>2260</v>
      </c>
      <c r="D8" s="34" t="s">
        <v>2261</v>
      </c>
      <c r="E8" s="5" t="str">
        <f ca="1">IFERROR(__xludf.DUMMYFUNCTION("""COMPUTED_VALUE"""),"Zhè shēn yīfú zhēn piàoliang.")</f>
        <v>Zhè shēn yīfú zhēn piàoliang.</v>
      </c>
    </row>
    <row r="9" spans="1:5" ht="14.25" customHeight="1">
      <c r="A9" s="41" t="s">
        <v>2262</v>
      </c>
      <c r="B9" s="10" t="s">
        <v>2263</v>
      </c>
      <c r="C9" s="34"/>
      <c r="D9" s="34"/>
      <c r="E9" s="5" t="str">
        <f ca="1">IFERROR(__xludf.DUMMYFUNCTION("""COMPUTED_VALUE"""),"Zhè shì chuántǒng fúzhuāng ma?")</f>
        <v>Zhè shì chuántǒng fúzhuāng ma?</v>
      </c>
    </row>
    <row r="10" spans="1:5" ht="14.25" customHeight="1">
      <c r="A10" s="41" t="s">
        <v>2264</v>
      </c>
      <c r="B10" s="10" t="s">
        <v>2265</v>
      </c>
      <c r="C10" s="34" t="s">
        <v>2266</v>
      </c>
      <c r="D10" s="34" t="s">
        <v>2267</v>
      </c>
      <c r="E10" s="5" t="str">
        <f ca="1">IFERROR(__xludf.DUMMYFUNCTION("""COMPUTED_VALUE"""),"Wǒ xiǎng shì chuān yīxià bā lóng tā jiā lù (Barong Tagalog, nánshì chuántǒng chènshān).")</f>
        <v>Wǒ xiǎng shì chuān yīxià bā lóng tā jiā lù (Barong Tagalog, nánshì chuántǒng chènshān).</v>
      </c>
    </row>
    <row r="11" spans="1:5" ht="14.25" customHeight="1">
      <c r="A11" s="41" t="s">
        <v>2268</v>
      </c>
      <c r="B11" s="10" t="s">
        <v>2269</v>
      </c>
      <c r="C11" s="34"/>
      <c r="D11" s="34"/>
      <c r="E11" s="5" t="str">
        <f ca="1">IFERROR(__xludf.DUMMYFUNCTION("""COMPUTED_VALUE"""),"Wǒ xiǎng shì chuān yīxià fēilǜbīn chuántǒng fúshì (Filipinaiana, nǚshì chuántǒng fúzhuāng).")</f>
        <v>Wǒ xiǎng shì chuān yīxià fēilǜbīn chuántǒng fúshì (Filipinaiana, nǚshì chuántǒng fúzhuāng).</v>
      </c>
    </row>
    <row r="12" spans="1:5" ht="14.25" customHeight="1">
      <c r="A12" s="41" t="s">
        <v>2270</v>
      </c>
      <c r="B12" s="10" t="s">
        <v>2271</v>
      </c>
      <c r="C12" s="34"/>
      <c r="D12" s="34" t="s">
        <v>2272</v>
      </c>
      <c r="E12" s="6" t="str">
        <f ca="1">IFERROR(__xludf.DUMMYFUNCTION("""COMPUTED_VALUE"""),"Nǐ jiā zài bàn pàiduì ma?")</f>
        <v>Nǐ jiā zài bàn pàiduì ma?</v>
      </c>
    </row>
    <row r="13" spans="1:5" ht="14.25" customHeight="1">
      <c r="A13" s="41" t="s">
        <v>2273</v>
      </c>
      <c r="B13" s="10" t="s">
        <v>2274</v>
      </c>
      <c r="C13" s="34"/>
      <c r="D13" s="34"/>
      <c r="E13" s="6" t="str">
        <f ca="1">IFERROR(__xludf.DUMMYFUNCTION("""COMPUTED_VALUE"""),"Qǐng jìnlái chī diǎn dōngxī.")</f>
        <v>Qǐng jìnlái chī diǎn dōngxī.</v>
      </c>
    </row>
    <row r="14" spans="1:5" ht="14.25" customHeight="1">
      <c r="A14" s="41" t="s">
        <v>2275</v>
      </c>
      <c r="B14" s="10" t="s">
        <v>2276</v>
      </c>
      <c r="C14" s="34"/>
      <c r="D14" s="34" t="s">
        <v>2277</v>
      </c>
      <c r="E14" s="6" t="str">
        <f ca="1">IFERROR(__xludf.DUMMYFUNCTION("""COMPUTED_VALUE"""),"Zhè shì kǎo rǔ zhū (Lechon) ma?")</f>
        <v>Zhè shì kǎo rǔ zhū (Lechon) ma?</v>
      </c>
    </row>
    <row r="15" spans="1:5" ht="14.25" customHeight="1">
      <c r="A15" s="41" t="s">
        <v>2278</v>
      </c>
      <c r="B15" s="10" t="s">
        <v>2279</v>
      </c>
      <c r="C15" s="34"/>
      <c r="D15" s="34"/>
      <c r="E15" s="6" t="str">
        <f ca="1">IFERROR(__xludf.DUMMYFUNCTION("""COMPUTED_VALUE"""),"Wǒ xǐhuān chī mǐ gāo (Puto).")</f>
        <v>Wǒ xǐhuān chī mǐ gāo (Puto).</v>
      </c>
    </row>
    <row r="16" spans="1:5" ht="14.25" customHeight="1">
      <c r="A16" s="41" t="s">
        <v>2280</v>
      </c>
      <c r="B16" s="10" t="s">
        <v>2281</v>
      </c>
      <c r="C16" s="34"/>
      <c r="D16" s="34" t="s">
        <v>2282</v>
      </c>
      <c r="E16" s="6" t="str">
        <f ca="1">IFERROR(__xludf.DUMMYFUNCTION("""COMPUTED_VALUE"""),"Zhèlǐ de shèngdàn jié zhēn rènào!")</f>
        <v>Zhèlǐ de shèngdàn jié zhēn rènào!</v>
      </c>
    </row>
    <row r="17" spans="1:5" ht="14.25" customHeight="1">
      <c r="A17" s="41" t="s">
        <v>2283</v>
      </c>
      <c r="B17" s="10" t="s">
        <v>2284</v>
      </c>
      <c r="C17" s="34" t="s">
        <v>2285</v>
      </c>
      <c r="D17" s="34"/>
      <c r="E17" s="6" t="str">
        <f ca="1">IFERROR(__xludf.DUMMYFUNCTION("""COMPUTED_VALUE"""),"Shèngdàn kuàilè!")</f>
        <v>Shèngdàn kuàilè!</v>
      </c>
    </row>
    <row r="18" spans="1:5" ht="14.25" customHeight="1">
      <c r="A18" s="41" t="s">
        <v>2286</v>
      </c>
      <c r="B18" s="10" t="s">
        <v>2287</v>
      </c>
      <c r="C18" s="34"/>
      <c r="D18" s="34" t="s">
        <v>2288</v>
      </c>
      <c r="E18" s="5" t="str">
        <f ca="1">IFERROR(__xludf.DUMMYFUNCTION("""COMPUTED_VALUE"""),"Zhège dēnglóng jiào shénme?(Parol)")</f>
        <v>Zhège dēnglóng jiào shénme?(Parol)</v>
      </c>
    </row>
    <row r="19" spans="1:5" ht="14.25" customHeight="1">
      <c r="A19" s="41" t="s">
        <v>2289</v>
      </c>
      <c r="B19" s="10" t="s">
        <v>2290</v>
      </c>
      <c r="C19" s="34" t="s">
        <v>2291</v>
      </c>
      <c r="D19" s="34"/>
      <c r="E19" s="4" t="str">
        <f ca="1">IFERROR(__xludf.DUMMYFUNCTION("""COMPUTED_VALUE"""),"xīnnián kuàilè!")</f>
        <v>xīnnián kuàilè!</v>
      </c>
    </row>
    <row r="20" spans="1:5" ht="14.25" customHeight="1">
      <c r="A20" s="41" t="s">
        <v>2292</v>
      </c>
      <c r="B20" s="10" t="s">
        <v>2293</v>
      </c>
      <c r="C20" s="34"/>
      <c r="D20" s="34" t="s">
        <v>2294</v>
      </c>
      <c r="E20" s="5" t="str">
        <f ca="1">IFERROR(__xludf.DUMMYFUNCTION("""COMPUTED_VALUE"""),"Fēilǜbīn yǒu hěnduō jiérì.")</f>
        <v>Fēilǜbīn yǒu hěnduō jiérì.</v>
      </c>
    </row>
    <row r="21" spans="1:5" ht="14.25" customHeight="1">
      <c r="A21" s="41" t="s">
        <v>2295</v>
      </c>
      <c r="B21" s="10" t="s">
        <v>2296</v>
      </c>
      <c r="C21" s="34"/>
      <c r="D21" s="34"/>
      <c r="E21" s="6" t="str">
        <f ca="1">IFERROR(__xludf.DUMMYFUNCTION("""COMPUTED_VALUE"""),"Wǒ xǐhuān kàn yānhuā.")</f>
        <v>Wǒ xǐhuān kàn yānhuā.</v>
      </c>
    </row>
    <row r="22" spans="1:5" ht="14.25" customHeight="1">
      <c r="A22" s="41" t="s">
        <v>2297</v>
      </c>
      <c r="B22" s="10" t="s">
        <v>2298</v>
      </c>
      <c r="C22" s="34" t="s">
        <v>2299</v>
      </c>
      <c r="D22" s="34" t="s">
        <v>2300</v>
      </c>
      <c r="E22" s="6" t="str">
        <f ca="1">IFERROR(__xludf.DUMMYFUNCTION("""COMPUTED_VALUE"""),"Qǐng bùyào ránfàng biānpào, hěn wéixiǎn.")</f>
        <v>Qǐng bùyào ránfàng biānpào, hěn wéixiǎn.</v>
      </c>
    </row>
    <row r="23" spans="1:5" ht="14.25" customHeight="1">
      <c r="A23" s="41" t="s">
        <v>2301</v>
      </c>
      <c r="B23" s="10" t="s">
        <v>2302</v>
      </c>
      <c r="C23" s="34"/>
      <c r="D23" s="34"/>
      <c r="E23" s="6" t="str">
        <f ca="1">IFERROR(__xludf.DUMMYFUNCTION("""COMPUTED_VALUE"""),"Wǒ yào qù jiàotáng.")</f>
        <v>Wǒ yào qù jiàotáng.</v>
      </c>
    </row>
    <row r="24" spans="1:5" ht="14.25" customHeight="1">
      <c r="A24" s="41" t="s">
        <v>2303</v>
      </c>
      <c r="B24" s="10" t="s">
        <v>2304</v>
      </c>
      <c r="C24" s="34"/>
      <c r="D24" s="34" t="s">
        <v>2305</v>
      </c>
      <c r="E24" s="6" t="str">
        <f ca="1">IFERROR(__xludf.DUMMYFUNCTION("""COMPUTED_VALUE"""),"Zhè zuò jiàotáng zhēn gǔlǎo.")</f>
        <v>Zhè zuò jiàotáng zhēn gǔlǎo.</v>
      </c>
    </row>
    <row r="25" spans="1:5" ht="14.25" customHeight="1">
      <c r="A25" s="41" t="s">
        <v>2306</v>
      </c>
      <c r="B25" s="10" t="s">
        <v>2307</v>
      </c>
      <c r="C25" s="34"/>
      <c r="D25" s="34"/>
      <c r="E25" s="6" t="str">
        <f ca="1">IFERROR(__xludf.DUMMYFUNCTION("""COMPUTED_VALUE"""),"Fēilǜbīn rén fēicháng yǒuhǎo.")</f>
        <v>Fēilǜbīn rén fēicháng yǒuhǎo.</v>
      </c>
    </row>
    <row r="26" spans="1:5" ht="14.25" customHeight="1">
      <c r="A26" s="41" t="s">
        <v>2308</v>
      </c>
      <c r="B26" s="10" t="s">
        <v>2309</v>
      </c>
      <c r="C26" s="34"/>
      <c r="D26" s="34" t="s">
        <v>2310</v>
      </c>
      <c r="E26" s="6" t="str">
        <f ca="1">IFERROR(__xludf.DUMMYFUNCTION("""COMPUTED_VALUE"""),"Wǒ zhēn de hěn xǐhuān zhèlǐ de wénhuà.")</f>
        <v>Wǒ zhēn de hěn xǐhuān zhèlǐ de wénhuà.</v>
      </c>
    </row>
    <row r="27" spans="1:5" ht="14.25" customHeight="1">
      <c r="A27" s="41" t="s">
        <v>2311</v>
      </c>
      <c r="B27" s="10" t="s">
        <v>2312</v>
      </c>
      <c r="C27" s="34" t="s">
        <v>2313</v>
      </c>
      <c r="D27" s="34"/>
      <c r="E27" s="6" t="str">
        <f ca="1">IFERROR(__xludf.DUMMYFUNCTION("""COMPUTED_VALUE"""),"Qǐng gěi wǒ jiǎng gè tónghuà gùshì ba.")</f>
        <v>Qǐng gěi wǒ jiǎng gè tónghuà gùshì ba.</v>
      </c>
    </row>
    <row r="28" spans="1:5" ht="14.25" customHeight="1">
      <c r="A28" s="41" t="s">
        <v>2314</v>
      </c>
      <c r="B28" s="10" t="s">
        <v>2315</v>
      </c>
      <c r="C28" s="34" t="s">
        <v>2316</v>
      </c>
      <c r="D28" s="34" t="s">
        <v>2317</v>
      </c>
      <c r="E28" s="6" t="str">
        <f ca="1">IFERROR(__xludf.DUMMYFUNCTION("""COMPUTED_VALUE"""),"Zhè shì wǒ de xiǎo lǐwù.")</f>
        <v>Zhè shì wǒ de xiǎo lǐwù.</v>
      </c>
    </row>
    <row r="29" spans="1:5" ht="14.25" customHeight="1">
      <c r="A29" s="41" t="s">
        <v>2318</v>
      </c>
      <c r="B29" s="10" t="s">
        <v>2319</v>
      </c>
      <c r="C29" s="34"/>
      <c r="D29" s="34"/>
      <c r="E29" s="37" t="str">
        <f ca="1">IFERROR(__xludf.DUMMYFUNCTION("""COMPUTED_VALUE"""),"Xièxiè nǐ yāoqǐng wǒ.")</f>
        <v>Xièxiè nǐ yāoqǐng wǒ.</v>
      </c>
    </row>
    <row r="30" spans="1:5" ht="14.25" customHeight="1">
      <c r="A30" s="41" t="s">
        <v>2320</v>
      </c>
      <c r="B30" s="10" t="s">
        <v>2321</v>
      </c>
      <c r="C30" s="34"/>
      <c r="D30" s="34" t="s">
        <v>2322</v>
      </c>
      <c r="E30" s="6" t="str">
        <f ca="1">IFERROR(__xludf.DUMMYFUNCTION("""COMPUTED_VALUE"""),"Wǒ hěn gāoxìng lái dào zhèlǐ.")</f>
        <v>Wǒ hěn gāoxìng lái dào zhèlǐ.</v>
      </c>
    </row>
    <row r="31" spans="1:5" ht="14.25" customHeight="1">
      <c r="A31" s="41" t="s">
        <v>2323</v>
      </c>
      <c r="B31" s="10" t="s">
        <v>2324</v>
      </c>
      <c r="C31" s="34"/>
      <c r="D31" s="34"/>
      <c r="E31" s="4" t="str">
        <f ca="1">IFERROR(__xludf.DUMMYFUNCTION("""COMPUTED_VALUE"""),"Jīntiān shì shénme jiérì?")</f>
        <v>Jīntiān shì shénme jiérì?</v>
      </c>
    </row>
    <row r="32" spans="1:5" ht="14.25" customHeight="1">
      <c r="A32" s="41" t="s">
        <v>2325</v>
      </c>
      <c r="B32" s="10" t="s">
        <v>2326</v>
      </c>
      <c r="C32" s="34" t="s">
        <v>2327</v>
      </c>
      <c r="D32" s="34" t="s">
        <v>2328</v>
      </c>
      <c r="E32" s="4" t="str">
        <f ca="1">IFERROR(__xludf.DUMMYFUNCTION("""COMPUTED_VALUE"""),"Wǒ xiǎng mǎi xiē jìniànpǐn.")</f>
        <v>Wǒ xiǎng mǎi xiē jìniànpǐn.</v>
      </c>
    </row>
    <row r="33" spans="1:5" ht="14.25" customHeight="1">
      <c r="A33" s="41" t="s">
        <v>2329</v>
      </c>
      <c r="B33" s="10" t="s">
        <v>2330</v>
      </c>
      <c r="C33" s="34"/>
      <c r="D33" s="34"/>
      <c r="E33" s="4" t="str">
        <f ca="1">IFERROR(__xludf.DUMMYFUNCTION("""COMPUTED_VALUE"""),"Zhè shì shǒugōng zhìzuò de ma?")</f>
        <v>Zhè shì shǒugōng zhìzuò de ma?</v>
      </c>
    </row>
    <row r="34" spans="1:5" ht="14.25" customHeight="1">
      <c r="A34" s="41" t="s">
        <v>2331</v>
      </c>
      <c r="B34" s="10" t="s">
        <v>2332</v>
      </c>
      <c r="C34" s="34"/>
      <c r="D34" s="34" t="s">
        <v>2333</v>
      </c>
      <c r="E34" s="4" t="str">
        <f ca="1">IFERROR(__xludf.DUMMYFUNCTION("""COMPUTED_VALUE"""),"Tā zhēn piàoliang, dúyīwú'èr.")</f>
        <v>Tā zhēn piàoliang, dúyīwú'èr.</v>
      </c>
    </row>
    <row r="35" spans="1:5" ht="14.25" customHeight="1">
      <c r="A35" s="41" t="s">
        <v>2334</v>
      </c>
      <c r="B35" s="10" t="s">
        <v>2335</v>
      </c>
      <c r="C35" s="34"/>
      <c r="D35" s="34"/>
      <c r="E35" s="8" t="str">
        <f ca="1">IFERROR(__xludf.DUMMYFUNCTION("""COMPUTED_VALUE"""),"Wǒ yào bǎ tā dài huí yuènán.")</f>
        <v>Wǒ yào bǎ tā dài huí yuènán.</v>
      </c>
    </row>
    <row r="36" spans="1:5" ht="14.25" customHeight="1">
      <c r="A36" s="41" t="s">
        <v>2336</v>
      </c>
      <c r="B36" s="10" t="s">
        <v>2337</v>
      </c>
      <c r="C36" s="34"/>
      <c r="D36" s="34" t="s">
        <v>2338</v>
      </c>
      <c r="E36" s="5" t="str">
        <f ca="1">IFERROR(__xludf.DUMMYFUNCTION("""COMPUTED_VALUE"""),"Wǒ xiǎng xué zhúgān wǔ (Tinikling).")</f>
        <v>Wǒ xiǎng xué zhúgān wǔ (Tinikling).</v>
      </c>
    </row>
    <row r="37" spans="1:5" ht="14.25" customHeight="1">
      <c r="A37" s="41" t="s">
        <v>2339</v>
      </c>
      <c r="B37" s="10" t="s">
        <v>2340</v>
      </c>
      <c r="C37" s="34"/>
      <c r="D37" s="34"/>
      <c r="E37" s="8" t="str">
        <f ca="1">IFERROR(__xludf.DUMMYFUNCTION("""COMPUTED_VALUE"""),"Xiǎoxīn bié bèi zhúgān bàn zhù!")</f>
        <v>Xiǎoxīn bié bèi zhúgān bàn zhù!</v>
      </c>
    </row>
    <row r="38" spans="1:5" ht="14.25" customHeight="1">
      <c r="A38" s="41" t="s">
        <v>2341</v>
      </c>
      <c r="B38" s="10" t="s">
        <v>2342</v>
      </c>
      <c r="C38" s="34"/>
      <c r="D38" s="34" t="s">
        <v>2343</v>
      </c>
      <c r="E38" s="5" t="str">
        <f ca="1">IFERROR(__xludf.DUMMYFUNCTION("""COMPUTED_VALUE"""),"Yīnyuè jié zhēn hǎowán!")</f>
        <v>Yīnyuè jié zhēn hǎowán!</v>
      </c>
    </row>
    <row r="39" spans="1:5" ht="14.25" customHeight="1">
      <c r="A39" s="41" t="s">
        <v>2344</v>
      </c>
      <c r="B39" s="10" t="s">
        <v>2345</v>
      </c>
      <c r="C39" s="34"/>
      <c r="D39" s="34"/>
      <c r="E39" s="6" t="str">
        <f ca="1">IFERROR(__xludf.DUMMYFUNCTION("""COMPUTED_VALUE"""),"Wǒmen yīqǐ chànggē ba.")</f>
        <v>Wǒmen yīqǐ chànggē ba.</v>
      </c>
    </row>
    <row r="40" spans="1:5" ht="14.25" customHeight="1">
      <c r="A40" s="41" t="s">
        <v>2346</v>
      </c>
      <c r="B40" s="10" t="s">
        <v>2347</v>
      </c>
      <c r="C40" s="34"/>
      <c r="D40" s="34" t="s">
        <v>2348</v>
      </c>
      <c r="E40" s="6" t="str">
        <f ca="1">IFERROR(__xludf.DUMMYFUNCTION("""COMPUTED_VALUE"""),"Wǒ gǎndào fēicháng zìháo.")</f>
        <v>Wǒ gǎndào fēicháng zìháo.</v>
      </c>
    </row>
    <row r="41" spans="1:5" ht="14.25" customHeight="1">
      <c r="A41" s="41" t="s">
        <v>2349</v>
      </c>
      <c r="B41" s="10" t="s">
        <v>2350</v>
      </c>
      <c r="C41" s="34"/>
      <c r="D41" s="34"/>
      <c r="E41" s="5" t="str">
        <f ca="1">IFERROR(__xludf.DUMMYFUNCTION("""COMPUTED_VALUE"""),"Nǐ láizì nǎlǐ?")</f>
        <v>Nǐ láizì nǎlǐ?</v>
      </c>
    </row>
    <row r="42" spans="1:5" ht="14.25" customHeight="1">
      <c r="A42" s="41" t="s">
        <v>2351</v>
      </c>
      <c r="B42" s="10" t="s">
        <v>2352</v>
      </c>
      <c r="C42" s="34"/>
      <c r="D42" s="34" t="s">
        <v>2353</v>
      </c>
      <c r="E42" s="4" t="str">
        <f ca="1">IFERROR(__xludf.DUMMYFUNCTION("""COMPUTED_VALUE"""),"Wǒ xǐhuān qù bùtóng de shěngfèn lǚxíng.")</f>
        <v>Wǒ xǐhuān qù bùtóng de shěngfèn lǚxíng.</v>
      </c>
    </row>
    <row r="43" spans="1:5" ht="14.25" customHeight="1">
      <c r="A43" s="41" t="s">
        <v>2354</v>
      </c>
      <c r="B43" s="10" t="s">
        <v>2355</v>
      </c>
      <c r="C43" s="34"/>
      <c r="D43" s="34"/>
      <c r="E43" s="5" t="str">
        <f ca="1">IFERROR(__xludf.DUMMYFUNCTION("""COMPUTED_VALUE"""),"Yǒu shé me dāngdì tèchǎn ma?")</f>
        <v>Yǒu shé me dāngdì tèchǎn ma?</v>
      </c>
    </row>
    <row r="44" spans="1:5" ht="14.25" customHeight="1">
      <c r="A44" s="41" t="s">
        <v>2356</v>
      </c>
      <c r="B44" s="10" t="s">
        <v>2357</v>
      </c>
      <c r="C44" s="34"/>
      <c r="D44" s="34" t="s">
        <v>2358</v>
      </c>
      <c r="E44" s="4" t="str">
        <f ca="1">IFERROR(__xludf.DUMMYFUNCTION("""COMPUTED_VALUE"""),"Wǒ xiǎng mǎi yīxiē sòng rén.")</f>
        <v>Wǒ xiǎng mǎi yīxiē sòng rén.</v>
      </c>
    </row>
    <row r="45" spans="1:5" ht="14.25" customHeight="1">
      <c r="A45" s="41" t="s">
        <v>2359</v>
      </c>
      <c r="B45" s="10" t="s">
        <v>2360</v>
      </c>
      <c r="C45" s="34" t="s">
        <v>2361</v>
      </c>
      <c r="D45" s="34"/>
      <c r="E45" s="5" t="str">
        <f ca="1">IFERROR(__xludf.DUMMYFUNCTION("""COMPUTED_VALUE"""),"Qǐng bùyào zài jiérì qíjiān luàn rēng lèsè.")</f>
        <v>Qǐng bùyào zài jiérì qíjiān luàn rēng lèsè.</v>
      </c>
    </row>
    <row r="46" spans="1:5" ht="14.25" customHeight="1">
      <c r="A46" s="41" t="s">
        <v>2362</v>
      </c>
      <c r="B46" s="10" t="s">
        <v>2363</v>
      </c>
      <c r="C46" s="34" t="s">
        <v>2364</v>
      </c>
      <c r="D46" s="34" t="s">
        <v>2365</v>
      </c>
      <c r="E46" s="4" t="str">
        <f ca="1">IFERROR(__xludf.DUMMYFUNCTION("""COMPUTED_VALUE"""),"Qǐng bǎochí chǎngdì qīngjié.")</f>
        <v>Qǐng bǎochí chǎngdì qīngjié.</v>
      </c>
    </row>
    <row r="47" spans="1:5" ht="14.25" customHeight="1">
      <c r="A47" s="41" t="s">
        <v>2366</v>
      </c>
      <c r="B47" s="10" t="s">
        <v>2367</v>
      </c>
      <c r="C47" s="34"/>
      <c r="D47" s="34"/>
      <c r="E47" s="4" t="str">
        <f ca="1">IFERROR(__xludf.DUMMYFUNCTION("""COMPUTED_VALUE"""),"Zhège jiérì měinián dōu jǔbàn ma?")</f>
        <v>Zhège jiérì měinián dōu jǔbàn ma?</v>
      </c>
    </row>
    <row r="48" spans="1:5" ht="14.25" customHeight="1">
      <c r="A48" s="41" t="s">
        <v>2368</v>
      </c>
      <c r="B48" s="10" t="s">
        <v>2369</v>
      </c>
      <c r="C48" s="34"/>
      <c r="D48" s="34" t="s">
        <v>2370</v>
      </c>
      <c r="E48" s="4" t="str">
        <f ca="1">IFERROR(__xludf.DUMMYFUNCTION("""COMPUTED_VALUE"""),"Wǒ míngnián hái huì zàilái.")</f>
        <v>Wǒ míngnián hái huì zàilái.</v>
      </c>
    </row>
    <row r="49" spans="1:5" ht="14.25" customHeight="1">
      <c r="A49" s="41" t="s">
        <v>2371</v>
      </c>
      <c r="B49" s="10" t="s">
        <v>2372</v>
      </c>
      <c r="C49" s="34"/>
      <c r="D49" s="34"/>
      <c r="E49" s="5" t="str">
        <f ca="1">IFERROR(__xludf.DUMMYFUNCTION("""COMPUTED_VALUE"""),"Fēilǜbīn zhēnshi tài bàngle!")</f>
        <v>Fēilǜbīn zhēnshi tài bàngle!</v>
      </c>
    </row>
    <row r="50" spans="1:5" ht="14.25" customHeight="1">
      <c r="A50" s="41" t="s">
        <v>2373</v>
      </c>
      <c r="B50" s="10" t="s">
        <v>2374</v>
      </c>
      <c r="C50" s="34"/>
      <c r="D50" s="34" t="s">
        <v>2375</v>
      </c>
      <c r="E50" s="6" t="str">
        <f ca="1">IFERROR(__xludf.DUMMYFUNCTION("""COMPUTED_VALUE"""),"Wǒ xǐhuān zhèlǐ de rénmen.")</f>
        <v>Wǒ xǐhuān zhèlǐ de rénmen.</v>
      </c>
    </row>
    <row r="51" spans="1:5" ht="14.25" customHeight="1">
      <c r="A51" s="41" t="s">
        <v>2376</v>
      </c>
      <c r="B51" s="10" t="s">
        <v>2377</v>
      </c>
      <c r="C51" s="34"/>
      <c r="D51" s="34"/>
      <c r="E51" s="6" t="str">
        <f ca="1">IFERROR(__xludf.DUMMYFUNCTION("""COMPUTED_VALUE"""),"Zhù dàjiā jiérì kuàilè!")</f>
        <v>Zhù dàjiā jiérì kuàilè!</v>
      </c>
    </row>
    <row r="52" spans="1:5" ht="14.25" customHeight="1">
      <c r="A52" s="42"/>
      <c r="B52" s="10"/>
      <c r="C52" s="34"/>
      <c r="D52" s="34" t="s">
        <v>2378</v>
      </c>
    </row>
    <row r="53" spans="1:5" ht="14.25" customHeight="1">
      <c r="A53" s="42"/>
      <c r="B53" s="10"/>
      <c r="C53" s="34"/>
      <c r="D53" s="34"/>
      <c r="E53" s="5"/>
    </row>
    <row r="54" spans="1:5" ht="14.25" customHeight="1">
      <c r="A54" s="42"/>
      <c r="B54" s="10"/>
      <c r="C54" s="34"/>
      <c r="D54" s="34" t="s">
        <v>2379</v>
      </c>
      <c r="E54" s="5"/>
    </row>
    <row r="55" spans="1:5" ht="14.25" customHeight="1">
      <c r="A55" s="42"/>
      <c r="B55" s="10"/>
      <c r="C55" s="34"/>
      <c r="D55" s="34"/>
      <c r="E55" s="5"/>
    </row>
    <row r="56" spans="1:5" ht="14.25" customHeight="1">
      <c r="A56" s="42"/>
      <c r="B56" s="10"/>
      <c r="C56" s="34"/>
      <c r="D56" s="34" t="s">
        <v>2380</v>
      </c>
      <c r="E56" s="5"/>
    </row>
    <row r="57" spans="1:5" ht="14.25" customHeight="1">
      <c r="A57" s="42"/>
      <c r="B57" s="10"/>
      <c r="C57" s="34"/>
      <c r="D57" s="34"/>
      <c r="E57" s="5"/>
    </row>
    <row r="58" spans="1:5" ht="14.25" customHeight="1">
      <c r="A58" s="42"/>
      <c r="B58" s="10"/>
      <c r="C58" s="34"/>
      <c r="D58" s="34" t="s">
        <v>2381</v>
      </c>
      <c r="E58" s="5"/>
    </row>
    <row r="59" spans="1:5" ht="14.25" customHeight="1">
      <c r="A59" s="42"/>
      <c r="B59" s="10"/>
      <c r="C59" s="34"/>
      <c r="D59" s="34"/>
    </row>
    <row r="60" spans="1:5" ht="14.25" customHeight="1">
      <c r="A60" s="42"/>
      <c r="B60" s="10"/>
      <c r="C60" s="34"/>
      <c r="D60" s="34" t="s">
        <v>2244</v>
      </c>
      <c r="E60" s="5"/>
    </row>
    <row r="61" spans="1:5" ht="14.25" customHeight="1">
      <c r="A61" s="42"/>
      <c r="B61" s="10"/>
      <c r="C61" s="34"/>
      <c r="D61" s="34"/>
      <c r="E61" s="5"/>
    </row>
    <row r="62" spans="1:5" ht="14.25" customHeight="1">
      <c r="A62" s="42"/>
      <c r="B62" s="10"/>
      <c r="C62" s="34"/>
      <c r="D62" s="34" t="s">
        <v>2382</v>
      </c>
      <c r="E62" s="5"/>
    </row>
    <row r="63" spans="1:5" ht="14.25" customHeight="1">
      <c r="A63" s="42"/>
      <c r="B63" s="10"/>
      <c r="C63" s="34"/>
      <c r="D63" s="34"/>
      <c r="E63" s="5"/>
    </row>
    <row r="64" spans="1:5" ht="14.25" customHeight="1">
      <c r="A64" s="42"/>
      <c r="B64" s="10"/>
      <c r="C64" s="34"/>
      <c r="D64" s="34" t="s">
        <v>2383</v>
      </c>
      <c r="E64" s="5"/>
    </row>
    <row r="65" spans="1:5" ht="14.25" customHeight="1">
      <c r="A65" s="42"/>
      <c r="B65" s="10"/>
      <c r="C65" s="34"/>
      <c r="D65" s="34"/>
      <c r="E65" s="5"/>
    </row>
    <row r="66" spans="1:5" ht="14.25" customHeight="1">
      <c r="A66" s="42"/>
      <c r="B66" s="10"/>
      <c r="C66" s="34"/>
      <c r="D66" s="34" t="s">
        <v>2384</v>
      </c>
      <c r="E66" s="5"/>
    </row>
    <row r="67" spans="1:5" ht="14.25" customHeight="1">
      <c r="A67" s="42"/>
      <c r="B67" s="10"/>
      <c r="C67" s="34"/>
      <c r="D67" s="34"/>
      <c r="E67" s="5"/>
    </row>
    <row r="68" spans="1:5" ht="14.25" customHeight="1">
      <c r="A68" s="42"/>
      <c r="B68" s="10"/>
      <c r="C68" s="34"/>
      <c r="D68" s="34" t="s">
        <v>2385</v>
      </c>
      <c r="E68" s="5"/>
    </row>
    <row r="69" spans="1:5" ht="14.25" customHeight="1">
      <c r="A69" s="42"/>
      <c r="B69" s="10"/>
      <c r="C69" s="34"/>
      <c r="D69" s="34"/>
      <c r="E69" s="5"/>
    </row>
    <row r="70" spans="1:5" ht="14.25" customHeight="1">
      <c r="A70" s="42"/>
      <c r="B70" s="10"/>
      <c r="C70" s="34"/>
      <c r="D70" s="34" t="s">
        <v>2386</v>
      </c>
      <c r="E70" s="5"/>
    </row>
    <row r="71" spans="1:5" ht="14.25" customHeight="1">
      <c r="A71" s="42"/>
      <c r="B71" s="10"/>
      <c r="C71" s="34"/>
      <c r="D71" s="34"/>
      <c r="E71" s="5"/>
    </row>
    <row r="72" spans="1:5" ht="14.25" customHeight="1">
      <c r="A72" s="42"/>
      <c r="B72" s="10"/>
      <c r="C72" s="34"/>
      <c r="D72" s="34" t="s">
        <v>2387</v>
      </c>
      <c r="E72" s="5"/>
    </row>
    <row r="73" spans="1:5" ht="14.25" customHeight="1">
      <c r="A73" s="42"/>
      <c r="B73" s="10"/>
      <c r="C73" s="34"/>
      <c r="D73" s="34"/>
      <c r="E73" s="5"/>
    </row>
    <row r="74" spans="1:5" ht="14.25" customHeight="1">
      <c r="A74" s="42"/>
      <c r="B74" s="10"/>
      <c r="C74" s="34"/>
      <c r="D74" s="34" t="s">
        <v>2388</v>
      </c>
      <c r="E74" s="5"/>
    </row>
    <row r="75" spans="1:5" ht="14.25" customHeight="1">
      <c r="A75" s="42"/>
      <c r="B75" s="10"/>
      <c r="C75" s="34"/>
      <c r="D75" s="34"/>
      <c r="E75" s="5"/>
    </row>
    <row r="76" spans="1:5" ht="14.25" customHeight="1">
      <c r="A76" s="42"/>
      <c r="B76" s="10"/>
      <c r="C76" s="34"/>
      <c r="D76" s="34" t="s">
        <v>2389</v>
      </c>
      <c r="E76" s="5"/>
    </row>
    <row r="77" spans="1:5" ht="14.25" customHeight="1">
      <c r="A77" s="42"/>
      <c r="B77" s="10"/>
      <c r="C77" s="34"/>
      <c r="D77" s="34"/>
      <c r="E77" s="5"/>
    </row>
    <row r="78" spans="1:5" ht="14.25" customHeight="1">
      <c r="A78" s="42"/>
      <c r="B78" s="10"/>
      <c r="C78" s="34"/>
      <c r="D78" s="34" t="s">
        <v>2390</v>
      </c>
      <c r="E78" s="5"/>
    </row>
    <row r="79" spans="1:5" ht="14.25" customHeight="1">
      <c r="A79" s="42"/>
      <c r="B79" s="10"/>
      <c r="C79" s="34"/>
      <c r="D79" s="34"/>
      <c r="E79" s="5"/>
    </row>
    <row r="80" spans="1:5" ht="14.25" customHeight="1">
      <c r="A80" s="42"/>
      <c r="B80" s="10"/>
      <c r="C80" s="34"/>
      <c r="D80" s="34" t="s">
        <v>63</v>
      </c>
      <c r="E80" s="5"/>
    </row>
    <row r="81" spans="1:5" ht="14.25" customHeight="1">
      <c r="A81" s="42"/>
      <c r="B81" s="10"/>
      <c r="C81" s="34"/>
      <c r="D81" s="34"/>
      <c r="E81" s="5"/>
    </row>
    <row r="82" spans="1:5" ht="14.25" customHeight="1">
      <c r="A82" s="42"/>
      <c r="B82" s="10"/>
      <c r="C82" s="34"/>
      <c r="D82" s="34" t="s">
        <v>2391</v>
      </c>
      <c r="E82" s="5"/>
    </row>
    <row r="83" spans="1:5" ht="14.25" customHeight="1">
      <c r="A83" s="42"/>
      <c r="B83" s="10"/>
      <c r="C83" s="34"/>
      <c r="D83" s="34"/>
      <c r="E83" s="5"/>
    </row>
    <row r="84" spans="1:5" ht="14.25" customHeight="1">
      <c r="A84" s="42"/>
      <c r="B84" s="10"/>
      <c r="C84" s="34"/>
      <c r="D84" s="34" t="s">
        <v>2392</v>
      </c>
      <c r="E84" s="5"/>
    </row>
    <row r="85" spans="1:5" ht="14.25" customHeight="1">
      <c r="A85" s="42"/>
      <c r="B85" s="10"/>
      <c r="C85" s="34"/>
      <c r="D85" s="34"/>
      <c r="E85" s="5"/>
    </row>
    <row r="86" spans="1:5" ht="14.25" customHeight="1">
      <c r="A86" s="42"/>
      <c r="B86" s="10"/>
      <c r="C86" s="34"/>
      <c r="D86" s="34" t="s">
        <v>2393</v>
      </c>
      <c r="E86" s="5"/>
    </row>
    <row r="87" spans="1:5" ht="14.25" customHeight="1">
      <c r="A87" s="42"/>
      <c r="B87" s="10"/>
      <c r="C87" s="34"/>
      <c r="D87" s="34"/>
      <c r="E87" s="5"/>
    </row>
    <row r="88" spans="1:5" ht="14.25" customHeight="1">
      <c r="A88" s="42"/>
      <c r="B88" s="10"/>
      <c r="C88" s="34"/>
      <c r="D88" s="34" t="s">
        <v>2394</v>
      </c>
      <c r="E88" s="5"/>
    </row>
    <row r="89" spans="1:5" ht="14.25" customHeight="1">
      <c r="A89" s="42"/>
      <c r="B89" s="10"/>
      <c r="C89" s="34"/>
      <c r="D89" s="34"/>
      <c r="E89" s="5"/>
    </row>
    <row r="90" spans="1:5" ht="14.25" customHeight="1">
      <c r="A90" s="42"/>
      <c r="B90" s="10"/>
      <c r="C90" s="34"/>
      <c r="D90" s="34" t="s">
        <v>2395</v>
      </c>
      <c r="E90" s="5"/>
    </row>
    <row r="91" spans="1:5" ht="14.25" customHeight="1">
      <c r="A91" s="42"/>
      <c r="B91" s="10"/>
      <c r="C91" s="34"/>
      <c r="D91" s="34"/>
      <c r="E91" s="5"/>
    </row>
    <row r="92" spans="1:5" ht="14.25" customHeight="1">
      <c r="A92" s="42"/>
      <c r="B92" s="10"/>
      <c r="C92" s="34"/>
      <c r="D92" s="34" t="s">
        <v>2396</v>
      </c>
      <c r="E92" s="5"/>
    </row>
    <row r="93" spans="1:5" ht="14.25" customHeight="1">
      <c r="A93" s="42"/>
      <c r="B93" s="10"/>
      <c r="C93" s="34"/>
      <c r="D93" s="34"/>
      <c r="E93" s="5"/>
    </row>
    <row r="94" spans="1:5" ht="14.25" customHeight="1">
      <c r="A94" s="42"/>
      <c r="B94" s="10"/>
      <c r="C94" s="34"/>
      <c r="D94" s="34" t="s">
        <v>2397</v>
      </c>
      <c r="E94" s="5"/>
    </row>
    <row r="95" spans="1:5" ht="14.25" customHeight="1">
      <c r="A95" s="42"/>
      <c r="B95" s="10"/>
      <c r="C95" s="34"/>
      <c r="D95" s="34"/>
      <c r="E95" s="5"/>
    </row>
    <row r="96" spans="1:5" ht="14.25" customHeight="1">
      <c r="A96" s="42"/>
      <c r="B96" s="10"/>
      <c r="C96" s="34"/>
      <c r="D96" s="34" t="s">
        <v>2398</v>
      </c>
      <c r="E96" s="5"/>
    </row>
    <row r="97" spans="1:5" ht="14.25" customHeight="1">
      <c r="A97" s="42"/>
      <c r="B97" s="10"/>
      <c r="C97" s="34"/>
      <c r="D97" s="34"/>
      <c r="E97" s="5"/>
    </row>
    <row r="98" spans="1:5" ht="14.25" customHeight="1">
      <c r="A98" s="42"/>
      <c r="B98" s="10"/>
      <c r="C98" s="34"/>
      <c r="D98" s="34" t="s">
        <v>2399</v>
      </c>
      <c r="E98" s="5"/>
    </row>
    <row r="99" spans="1:5" ht="14.25" customHeight="1">
      <c r="A99" s="42"/>
      <c r="B99" s="10"/>
      <c r="C99" s="34"/>
      <c r="D99" s="34"/>
      <c r="E99" s="5"/>
    </row>
    <row r="100" spans="1:5" ht="14.25" customHeight="1">
      <c r="A100" s="42"/>
      <c r="B100" s="10"/>
      <c r="C100" s="34"/>
      <c r="D100" s="34" t="s">
        <v>2400</v>
      </c>
      <c r="E100" s="5"/>
    </row>
  </sheetData>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1" width="41.6640625" customWidth="1"/>
    <col min="2" max="4" width="51.6640625" customWidth="1"/>
    <col min="5" max="5" width="56.88671875" customWidth="1"/>
  </cols>
  <sheetData>
    <row r="1" spans="1:5" ht="14.25" customHeight="1">
      <c r="A1" s="12" t="s">
        <v>2401</v>
      </c>
      <c r="C1" s="24"/>
      <c r="D1" s="24"/>
      <c r="E1" s="2"/>
    </row>
    <row r="2" spans="1:5" ht="14.25" customHeight="1">
      <c r="A2" s="41" t="s">
        <v>2402</v>
      </c>
      <c r="B2" s="10" t="s">
        <v>2403</v>
      </c>
      <c r="C2" s="34"/>
      <c r="D2" s="34" t="s">
        <v>2404</v>
      </c>
      <c r="E2" s="5" t="str">
        <f ca="1">IFERROR(__xludf.DUMMYFUNCTION("FILTER(D1:D1002,D1:D1002&lt;&gt; """")"),"Nǐ xǐhuān yùndòng ma?")</f>
        <v>Nǐ xǐhuān yùndòng ma?</v>
      </c>
    </row>
    <row r="3" spans="1:5" ht="14.25" customHeight="1">
      <c r="A3" s="41" t="s">
        <v>2405</v>
      </c>
      <c r="B3" s="10" t="s">
        <v>2406</v>
      </c>
      <c r="C3" s="34"/>
      <c r="D3" s="34"/>
      <c r="E3" s="6" t="str">
        <f ca="1">IFERROR(__xludf.DUMMYFUNCTION("""COMPUTED_VALUE"""),"Wǒmen lái dǎ lánqiú ba!")</f>
        <v>Wǒmen lái dǎ lánqiú ba!</v>
      </c>
    </row>
    <row r="4" spans="1:5" ht="14.25" customHeight="1">
      <c r="A4" s="41" t="s">
        <v>2407</v>
      </c>
      <c r="B4" s="10" t="s">
        <v>2408</v>
      </c>
      <c r="C4" s="34"/>
      <c r="D4" s="34" t="s">
        <v>2409</v>
      </c>
      <c r="E4" s="5" t="str">
        <f ca="1">IFERROR(__xludf.DUMMYFUNCTION("""COMPUTED_VALUE"""),"Nǐ dǎ shénme wèizhì?")</f>
        <v>Nǐ dǎ shénme wèizhì?</v>
      </c>
    </row>
    <row r="5" spans="1:5" ht="14.25" customHeight="1">
      <c r="A5" s="41" t="s">
        <v>2410</v>
      </c>
      <c r="B5" s="10" t="s">
        <v>2411</v>
      </c>
      <c r="C5" s="34"/>
      <c r="D5" s="34"/>
      <c r="E5" s="5" t="str">
        <f ca="1">IFERROR(__xludf.DUMMYFUNCTION("""COMPUTED_VALUE"""),"Ràng wǒ jiārù nǐmen duì!")</f>
        <v>Ràng wǒ jiārù nǐmen duì!</v>
      </c>
    </row>
    <row r="6" spans="1:5" ht="14.25" customHeight="1">
      <c r="A6" s="41" t="s">
        <v>2412</v>
      </c>
      <c r="B6" s="10" t="s">
        <v>2413</v>
      </c>
      <c r="C6" s="34"/>
      <c r="D6" s="34" t="s">
        <v>2414</v>
      </c>
      <c r="E6" s="5" t="str">
        <f ca="1">IFERROR(__xludf.DUMMYFUNCTION("""COMPUTED_VALUE"""),"Tóulán!")</f>
        <v>Tóulán!</v>
      </c>
    </row>
    <row r="7" spans="1:5" ht="14.25" customHeight="1">
      <c r="A7" s="41" t="s">
        <v>2415</v>
      </c>
      <c r="B7" s="10" t="s">
        <v>2416</v>
      </c>
      <c r="C7" s="34"/>
      <c r="D7" s="34"/>
      <c r="E7" s="5" t="str">
        <f ca="1">IFERROR(__xludf.DUMMYFUNCTION("""COMPUTED_VALUE"""),"Bǎ qiú chuán gěi wǒ!")</f>
        <v>Bǎ qiú chuán gěi wǒ!</v>
      </c>
    </row>
    <row r="8" spans="1:5" ht="14.25" customHeight="1">
      <c r="A8" s="41" t="s">
        <v>2417</v>
      </c>
      <c r="B8" s="10" t="s">
        <v>2418</v>
      </c>
      <c r="C8" s="34"/>
      <c r="D8" s="34" t="s">
        <v>2419</v>
      </c>
      <c r="E8" s="5" t="str">
        <f ca="1">IFERROR(__xludf.DUMMYFUNCTION("""COMPUTED_VALUE"""),"Nǐ tóulán zhēn zhǔn!")</f>
        <v>Nǐ tóulán zhēn zhǔn!</v>
      </c>
    </row>
    <row r="9" spans="1:5" ht="14.25" customHeight="1">
      <c r="A9" s="41" t="s">
        <v>1205</v>
      </c>
      <c r="B9" s="10" t="s">
        <v>2420</v>
      </c>
      <c r="C9" s="34" t="s">
        <v>2421</v>
      </c>
      <c r="D9" s="34"/>
      <c r="E9" s="5" t="str">
        <f ca="1">IFERROR(__xludf.DUMMYFUNCTION("""COMPUTED_VALUE"""),"Nǎ duì lǐngxiān?")</f>
        <v>Nǎ duì lǐngxiān?</v>
      </c>
    </row>
    <row r="10" spans="1:5" ht="14.25" customHeight="1">
      <c r="A10" s="41" t="s">
        <v>2422</v>
      </c>
      <c r="B10" s="10" t="s">
        <v>2423</v>
      </c>
      <c r="C10" s="34"/>
      <c r="D10" s="34" t="s">
        <v>2424</v>
      </c>
      <c r="E10" s="5" t="str">
        <f ca="1">IFERROR(__xludf.DUMMYFUNCTION("""COMPUTED_VALUE"""),"Xiànzài bǐfēn shì duōshǎo?")</f>
        <v>Xiànzài bǐfēn shì duōshǎo?</v>
      </c>
    </row>
    <row r="11" spans="1:5" ht="14.25" customHeight="1">
      <c r="A11" s="41" t="s">
        <v>2425</v>
      </c>
      <c r="B11" s="10" t="s">
        <v>2426</v>
      </c>
      <c r="C11" s="34"/>
      <c r="D11" s="34"/>
      <c r="E11" s="5" t="str">
        <f ca="1">IFERROR(__xludf.DUMMYFUNCTION("""COMPUTED_VALUE"""),"Wǒ hǎo lèi, kěyǐ xiūxí yīhuǐ'er ma?")</f>
        <v>Wǒ hǎo lèi, kěyǐ xiūxí yīhuǐ'er ma?</v>
      </c>
    </row>
    <row r="12" spans="1:5" ht="14.25" customHeight="1">
      <c r="A12" s="41" t="s">
        <v>2427</v>
      </c>
      <c r="B12" s="10" t="s">
        <v>182</v>
      </c>
      <c r="C12" s="34"/>
      <c r="D12" s="34" t="s">
        <v>2428</v>
      </c>
      <c r="E12" s="6" t="str">
        <f ca="1">IFERROR(__xludf.DUMMYFUNCTION("""COMPUTED_VALUE"""),"Wǒ kěyǐ hē diǎn shuǐ ma?")</f>
        <v>Wǒ kěyǐ hē diǎn shuǐ ma?</v>
      </c>
    </row>
    <row r="13" spans="1:5" ht="14.25" customHeight="1">
      <c r="A13" s="41" t="s">
        <v>2429</v>
      </c>
      <c r="B13" s="10" t="s">
        <v>2430</v>
      </c>
      <c r="C13" s="34"/>
      <c r="D13" s="34"/>
      <c r="E13" s="6" t="str">
        <f ca="1">IFERROR(__xludf.DUMMYFUNCTION("""COMPUTED_VALUE"""),"Bǐsài zhēn jīngcǎi!")</f>
        <v>Bǐsài zhēn jīngcǎi!</v>
      </c>
    </row>
    <row r="14" spans="1:5" ht="14.25" customHeight="1">
      <c r="A14" s="41" t="s">
        <v>2431</v>
      </c>
      <c r="B14" s="10" t="s">
        <v>2432</v>
      </c>
      <c r="C14" s="34"/>
      <c r="D14" s="34" t="s">
        <v>2433</v>
      </c>
      <c r="E14" s="6" t="str">
        <f ca="1">IFERROR(__xludf.DUMMYFUNCTION("""COMPUTED_VALUE"""),"Nǐ shì wǒ zuì xǐhuān de qiúyuán!")</f>
        <v>Nǐ shì wǒ zuì xǐhuān de qiúyuán!</v>
      </c>
    </row>
    <row r="15" spans="1:5" ht="14.25" customHeight="1">
      <c r="A15" s="41" t="s">
        <v>2434</v>
      </c>
      <c r="B15" s="10" t="s">
        <v>2435</v>
      </c>
      <c r="C15" s="34"/>
      <c r="D15" s="34"/>
      <c r="E15" s="6" t="str">
        <f ca="1">IFERROR(__xludf.DUMMYFUNCTION("""COMPUTED_VALUE"""),"Wǒ xǐhuān dǎ yǔmáoqiú.")</f>
        <v>Wǒ xǐhuān dǎ yǔmáoqiú.</v>
      </c>
    </row>
    <row r="16" spans="1:5" ht="14.25" customHeight="1">
      <c r="A16" s="41" t="s">
        <v>2436</v>
      </c>
      <c r="B16" s="10" t="s">
        <v>2437</v>
      </c>
      <c r="C16" s="34"/>
      <c r="D16" s="34" t="s">
        <v>2438</v>
      </c>
      <c r="E16" s="6" t="str">
        <f ca="1">IFERROR(__xludf.DUMMYFUNCTION("""COMPUTED_VALUE"""),"Wǒ xǐhuān yóuyǒng.")</f>
        <v>Wǒ xǐhuān yóuyǒng.</v>
      </c>
    </row>
    <row r="17" spans="1:5" ht="14.25" customHeight="1">
      <c r="A17" s="41" t="s">
        <v>2439</v>
      </c>
      <c r="B17" s="10" t="s">
        <v>2440</v>
      </c>
      <c r="C17" s="34"/>
      <c r="D17" s="34"/>
      <c r="E17" s="6" t="str">
        <f ca="1">IFERROR(__xludf.DUMMYFUNCTION("""COMPUTED_VALUE"""),"Yóuyǒngchí zài nǎlǐ?")</f>
        <v>Yóuyǒngchí zài nǎlǐ?</v>
      </c>
    </row>
    <row r="18" spans="1:5" ht="14.25" customHeight="1">
      <c r="A18" s="41" t="s">
        <v>2441</v>
      </c>
      <c r="B18" s="10" t="s">
        <v>2442</v>
      </c>
      <c r="C18" s="34"/>
      <c r="D18" s="34" t="s">
        <v>2443</v>
      </c>
      <c r="E18" s="5" t="str">
        <f ca="1">IFERROR(__xludf.DUMMYFUNCTION("""COMPUTED_VALUE"""),"Shuǐshēn ma?")</f>
        <v>Shuǐshēn ma?</v>
      </c>
    </row>
    <row r="19" spans="1:5" ht="14.25" customHeight="1">
      <c r="A19" s="41" t="s">
        <v>2444</v>
      </c>
      <c r="B19" s="10" t="s">
        <v>2445</v>
      </c>
      <c r="C19" s="34"/>
      <c r="D19" s="34"/>
      <c r="E19" s="4" t="str">
        <f ca="1">IFERROR(__xludf.DUMMYFUNCTION("""COMPUTED_VALUE"""),"Bùyào zài yǒngchí biān luàn pǎo!")</f>
        <v>Bùyào zài yǒngchí biān luàn pǎo!</v>
      </c>
    </row>
    <row r="20" spans="1:5" ht="14.25" customHeight="1">
      <c r="A20" s="41" t="s">
        <v>2446</v>
      </c>
      <c r="B20" s="10" t="s">
        <v>2447</v>
      </c>
      <c r="C20" s="34"/>
      <c r="D20" s="34" t="s">
        <v>2448</v>
      </c>
      <c r="E20" s="5" t="str">
        <f ca="1">IFERROR(__xludf.DUMMYFUNCTION("""COMPUTED_VALUE"""),"Wǒ xǐhuān qù kàn diànyǐng.")</f>
        <v>Wǒ xǐhuān qù kàn diànyǐng.</v>
      </c>
    </row>
    <row r="21" spans="1:5" ht="14.25" customHeight="1">
      <c r="A21" s="41" t="s">
        <v>2449</v>
      </c>
      <c r="B21" s="10" t="s">
        <v>2450</v>
      </c>
      <c r="C21" s="34"/>
      <c r="D21" s="34"/>
      <c r="E21" s="6" t="str">
        <f ca="1">IFERROR(__xludf.DUMMYFUNCTION("""COMPUTED_VALUE"""),"Xiànzài zuì huǒ de diànyǐng shì shénme?")</f>
        <v>Xiànzài zuì huǒ de diànyǐng shì shénme?</v>
      </c>
    </row>
    <row r="22" spans="1:5" ht="14.25" customHeight="1">
      <c r="A22" s="41" t="s">
        <v>2451</v>
      </c>
      <c r="B22" s="10" t="s">
        <v>2452</v>
      </c>
      <c r="C22" s="34"/>
      <c r="D22" s="34" t="s">
        <v>2453</v>
      </c>
      <c r="E22" s="6" t="str">
        <f ca="1">IFERROR(__xludf.DUMMYFUNCTION("""COMPUTED_VALUE"""),"Wǒ kěyǐ mǎi liǎng zhāng diànyǐng piào ma?")</f>
        <v>Wǒ kěyǐ mǎi liǎng zhāng diànyǐng piào ma?</v>
      </c>
    </row>
    <row r="23" spans="1:5" ht="14.25" customHeight="1">
      <c r="A23" s="41" t="s">
        <v>2454</v>
      </c>
      <c r="B23" s="10" t="s">
        <v>2455</v>
      </c>
      <c r="C23" s="34" t="s">
        <v>2456</v>
      </c>
      <c r="D23" s="34"/>
      <c r="E23" s="6" t="str">
        <f ca="1">IFERROR(__xludf.DUMMYFUNCTION("""COMPUTED_VALUE"""),"Yǒu bào mǐhuā ma?")</f>
        <v>Yǒu bào mǐhuā ma?</v>
      </c>
    </row>
    <row r="24" spans="1:5" ht="14.25" customHeight="1">
      <c r="A24" s="41" t="s">
        <v>2457</v>
      </c>
      <c r="B24" s="10" t="s">
        <v>2458</v>
      </c>
      <c r="C24" s="34"/>
      <c r="D24" s="34" t="s">
        <v>2459</v>
      </c>
      <c r="E24" s="6" t="str">
        <f ca="1">IFERROR(__xludf.DUMMYFUNCTION("""COMPUTED_VALUE"""),"Zhè bù diànyǐng jǐ diǎn kāishǐ?")</f>
        <v>Zhè bù diànyǐng jǐ diǎn kāishǐ?</v>
      </c>
    </row>
    <row r="25" spans="1:5" ht="14.25" customHeight="1">
      <c r="A25" s="41" t="s">
        <v>2460</v>
      </c>
      <c r="B25" s="10" t="s">
        <v>2461</v>
      </c>
      <c r="C25" s="34"/>
      <c r="D25" s="34"/>
      <c r="E25" s="6" t="str">
        <f ca="1">IFERROR(__xludf.DUMMYFUNCTION("""COMPUTED_VALUE"""),"Zhè bù diànyǐng hěn bàng, wǒ fēicháng xǐhuān!")</f>
        <v>Zhè bù diànyǐng hěn bàng, wǒ fēicháng xǐhuān!</v>
      </c>
    </row>
    <row r="26" spans="1:5" ht="14.25" customHeight="1">
      <c r="A26" s="41" t="s">
        <v>2462</v>
      </c>
      <c r="B26" s="10" t="s">
        <v>2463</v>
      </c>
      <c r="C26" s="34" t="s">
        <v>2464</v>
      </c>
      <c r="D26" s="34" t="s">
        <v>2465</v>
      </c>
      <c r="E26" s="6" t="str">
        <f ca="1">IFERROR(__xludf.DUMMYFUNCTION("""COMPUTED_VALUE"""),"Wǒ xǐhuān kàn xǐjù.")</f>
        <v>Wǒ xǐhuān kàn xǐjù.</v>
      </c>
    </row>
    <row r="27" spans="1:5" ht="14.25" customHeight="1">
      <c r="A27" s="41" t="s">
        <v>2466</v>
      </c>
      <c r="B27" s="10" t="s">
        <v>2467</v>
      </c>
      <c r="C27" s="34"/>
      <c r="D27" s="34"/>
      <c r="E27" s="6" t="str">
        <f ca="1">IFERROR(__xludf.DUMMYFUNCTION("""COMPUTED_VALUE"""),"Xiǎng qù shāngchǎng ma?")</f>
        <v>Xiǎng qù shāngchǎng ma?</v>
      </c>
    </row>
    <row r="28" spans="1:5" ht="14.25" customHeight="1">
      <c r="A28" s="41" t="s">
        <v>2468</v>
      </c>
      <c r="B28" s="10" t="s">
        <v>2469</v>
      </c>
      <c r="C28" s="34"/>
      <c r="D28" s="34" t="s">
        <v>2470</v>
      </c>
      <c r="E28" s="6" t="str">
        <f ca="1">IFERROR(__xludf.DUMMYFUNCTION("""COMPUTED_VALUE"""),"Shāngchǎng lǐ kòngtiáo hěn zú.")</f>
        <v>Shāngchǎng lǐ kòngtiáo hěn zú.</v>
      </c>
    </row>
    <row r="29" spans="1:5" ht="14.25" customHeight="1">
      <c r="A29" s="41" t="s">
        <v>2471</v>
      </c>
      <c r="B29" s="10" t="s">
        <v>2472</v>
      </c>
      <c r="C29" s="34"/>
      <c r="D29" s="34"/>
      <c r="E29" s="37" t="str">
        <f ca="1">IFERROR(__xludf.DUMMYFUNCTION("""COMPUTED_VALUE"""),"Wǒ xǐhuān zài yóuxì tīng wán yóuxì.")</f>
        <v>Wǒ xǐhuān zài yóuxì tīng wán yóuxì.</v>
      </c>
    </row>
    <row r="30" spans="1:5" ht="14.25" customHeight="1">
      <c r="A30" s="41" t="s">
        <v>2473</v>
      </c>
      <c r="B30" s="10" t="s">
        <v>2474</v>
      </c>
      <c r="C30" s="34" t="s">
        <v>2475</v>
      </c>
      <c r="D30" s="34" t="s">
        <v>2476</v>
      </c>
      <c r="E30" s="6" t="str">
        <f ca="1">IFERROR(__xludf.DUMMYFUNCTION("""COMPUTED_VALUE"""),"Gěi wǒ yīxiē yìngbì wán zhuā wáwá jī ba.")</f>
        <v>Gěi wǒ yīxiē yìngbì wán zhuā wáwá jī ba.</v>
      </c>
    </row>
    <row r="31" spans="1:5" ht="14.25" customHeight="1">
      <c r="A31" s="41" t="s">
        <v>2477</v>
      </c>
      <c r="B31" s="10" t="s">
        <v>2478</v>
      </c>
      <c r="C31" s="34" t="s">
        <v>2479</v>
      </c>
      <c r="D31" s="34"/>
      <c r="E31" s="4" t="str">
        <f ca="1">IFERROR(__xludf.DUMMYFUNCTION("""COMPUTED_VALUE"""),"Wǒ xiǎng zhuā dào zhè zhǐ tài dí xióng!")</f>
        <v>Wǒ xiǎng zhuā dào zhè zhǐ tài dí xióng!</v>
      </c>
    </row>
    <row r="32" spans="1:5" ht="14.25" customHeight="1">
      <c r="A32" s="41" t="s">
        <v>2480</v>
      </c>
      <c r="B32" s="10" t="s">
        <v>2481</v>
      </c>
      <c r="C32" s="34"/>
      <c r="D32" s="34" t="s">
        <v>2482</v>
      </c>
      <c r="E32" s="4" t="str">
        <f ca="1">IFERROR(__xludf.DUMMYFUNCTION("""COMPUTED_VALUE"""),"Nǐ xǐhuān chànggē ma?")</f>
        <v>Nǐ xǐhuān chànggē ma?</v>
      </c>
    </row>
    <row r="33" spans="1:5" ht="14.25" customHeight="1">
      <c r="A33" s="41" t="s">
        <v>2483</v>
      </c>
      <c r="B33" s="10" t="s">
        <v>2484</v>
      </c>
      <c r="C33" s="34"/>
      <c r="D33" s="34"/>
      <c r="E33" s="4" t="str">
        <f ca="1">IFERROR(__xludf.DUMMYFUNCTION("""COMPUTED_VALUE""")," Wǒmen qù chàng kǎlā OK ba!")</f>
        <v xml:space="preserve"> Wǒmen qù chàng kǎlā OK ba!</v>
      </c>
    </row>
    <row r="34" spans="1:5" ht="14.25" customHeight="1">
      <c r="A34" s="41" t="s">
        <v>2485</v>
      </c>
      <c r="B34" s="10" t="s">
        <v>2486</v>
      </c>
      <c r="C34" s="34"/>
      <c r="D34" s="34" t="s">
        <v>2487</v>
      </c>
      <c r="E34" s="4" t="str">
        <f ca="1">IFERROR(__xludf.DUMMYFUNCTION("""COMPUTED_VALUE"""),"Lún dào nǐ chànggēle!")</f>
        <v>Lún dào nǐ chànggēle!</v>
      </c>
    </row>
    <row r="35" spans="1:5" ht="14.25" customHeight="1">
      <c r="A35" s="41" t="s">
        <v>2488</v>
      </c>
      <c r="B35" s="10" t="s">
        <v>2489</v>
      </c>
      <c r="C35" s="34"/>
      <c r="D35" s="34"/>
      <c r="E35" s="8" t="str">
        <f ca="1">IFERROR(__xludf.DUMMYFUNCTION("""COMPUTED_VALUE"""),"Wǒmen xuǎn nǎ shǒu gē ne?")</f>
        <v>Wǒmen xuǎn nǎ shǒu gē ne?</v>
      </c>
    </row>
    <row r="36" spans="1:5" ht="14.25" customHeight="1">
      <c r="A36" s="41" t="s">
        <v>2490</v>
      </c>
      <c r="B36" s="10" t="s">
        <v>2491</v>
      </c>
      <c r="C36" s="34"/>
      <c r="D36" s="34" t="s">
        <v>2492</v>
      </c>
      <c r="E36" s="5" t="str">
        <f ca="1">IFERROR(__xludf.DUMMYFUNCTION("""COMPUTED_VALUE"""),"Nǐ chàng dé zhēn hǎo, xiàng gè zhuānyè gēshǒu!")</f>
        <v>Nǐ chàng dé zhēn hǎo, xiàng gè zhuānyè gēshǒu!</v>
      </c>
    </row>
    <row r="37" spans="1:5" ht="14.25" customHeight="1">
      <c r="A37" s="41" t="s">
        <v>2493</v>
      </c>
      <c r="B37" s="10" t="s">
        <v>2494</v>
      </c>
      <c r="C37" s="34"/>
      <c r="D37" s="34"/>
      <c r="E37" s="8" t="str">
        <f ca="1">IFERROR(__xludf.DUMMYFUNCTION("""COMPUTED_VALUE"""),"Wǒ xǐhuān zài TikTok shàng tiàowǔ.")</f>
        <v>Wǒ xǐhuān zài TikTok shàng tiàowǔ.</v>
      </c>
    </row>
    <row r="38" spans="1:5" ht="14.25" customHeight="1">
      <c r="A38" s="41" t="s">
        <v>2495</v>
      </c>
      <c r="B38" s="10" t="s">
        <v>2496</v>
      </c>
      <c r="C38" s="34"/>
      <c r="D38" s="34" t="s">
        <v>2497</v>
      </c>
      <c r="E38" s="5" t="str">
        <f ca="1">IFERROR(__xludf.DUMMYFUNCTION("""COMPUTED_VALUE"""),"Wǒmen yīqǐ pāi gè shìpín ba!")</f>
        <v>Wǒmen yīqǐ pāi gè shìpín ba!</v>
      </c>
    </row>
    <row r="39" spans="1:5" ht="14.25" customHeight="1">
      <c r="A39" s="41" t="s">
        <v>2498</v>
      </c>
      <c r="B39" s="10" t="s">
        <v>2499</v>
      </c>
      <c r="C39" s="34"/>
      <c r="D39" s="34"/>
      <c r="E39" s="6" t="str">
        <f ca="1">IFERROR(__xludf.DUMMYFUNCTION("""COMPUTED_VALUE"""),"Wǒ xǐhuān xià qí.")</f>
        <v>Wǒ xǐhuān xià qí.</v>
      </c>
    </row>
    <row r="40" spans="1:5" ht="14.25" customHeight="1">
      <c r="A40" s="41" t="s">
        <v>2500</v>
      </c>
      <c r="B40" s="10" t="s">
        <v>2501</v>
      </c>
      <c r="C40" s="34"/>
      <c r="D40" s="34" t="s">
        <v>2502</v>
      </c>
      <c r="E40" s="6" t="str">
        <f ca="1">IFERROR(__xludf.DUMMYFUNCTION("""COMPUTED_VALUE"""),"Nǐ yíngle, tài bàngle!")</f>
        <v>Nǐ yíngle, tài bàngle!</v>
      </c>
    </row>
    <row r="41" spans="1:5" ht="14.25" customHeight="1">
      <c r="A41" s="41" t="s">
        <v>2503</v>
      </c>
      <c r="B41" s="10" t="s">
        <v>2504</v>
      </c>
      <c r="C41" s="34"/>
      <c r="D41" s="34"/>
      <c r="E41" s="5" t="str">
        <f ca="1">IFERROR(__xludf.DUMMYFUNCTION("""COMPUTED_VALUE"""),"Wǒ shūle, wǒmen zàilái yī jú!")</f>
        <v>Wǒ shūle, wǒmen zàilái yī jú!</v>
      </c>
    </row>
    <row r="42" spans="1:5" ht="14.25" customHeight="1">
      <c r="A42" s="41" t="s">
        <v>2505</v>
      </c>
      <c r="B42" s="10" t="s">
        <v>2506</v>
      </c>
      <c r="C42" s="34" t="s">
        <v>2507</v>
      </c>
      <c r="D42" s="34" t="s">
        <v>2508</v>
      </c>
      <c r="E42" s="4" t="str">
        <f ca="1">IFERROR(__xludf.DUMMYFUNCTION("""COMPUTED_VALUE"""),"Bié zuòbì!")</f>
        <v>Bié zuòbì!</v>
      </c>
    </row>
    <row r="43" spans="1:5" ht="14.25" customHeight="1">
      <c r="A43" s="41" t="s">
        <v>2509</v>
      </c>
      <c r="B43" s="10" t="s">
        <v>2510</v>
      </c>
      <c r="C43" s="34"/>
      <c r="D43" s="34"/>
      <c r="E43" s="5" t="str">
        <f ca="1">IFERROR(__xludf.DUMMYFUNCTION("""COMPUTED_VALUE"""),"Wán dé kāixīn jiù hǎo!")</f>
        <v>Wán dé kāixīn jiù hǎo!</v>
      </c>
    </row>
    <row r="44" spans="1:5" ht="14.25" customHeight="1">
      <c r="A44" s="41" t="s">
        <v>2511</v>
      </c>
      <c r="B44" s="10" t="s">
        <v>2512</v>
      </c>
      <c r="C44" s="34"/>
      <c r="D44" s="34" t="s">
        <v>2513</v>
      </c>
      <c r="E44" s="4" t="str">
        <f ca="1">IFERROR(__xludf.DUMMYFUNCTION("""COMPUTED_VALUE"""),"Nǐ hái yǒu qítā àihào ma?")</f>
        <v>Nǐ hái yǒu qítā àihào ma?</v>
      </c>
    </row>
    <row r="45" spans="1:5" ht="14.25" customHeight="1">
      <c r="A45" s="41" t="s">
        <v>2514</v>
      </c>
      <c r="B45" s="10" t="s">
        <v>2515</v>
      </c>
      <c r="C45" s="34"/>
      <c r="D45" s="34"/>
      <c r="E45" s="5" t="str">
        <f ca="1">IFERROR(__xludf.DUMMYFUNCTION("""COMPUTED_VALUE"""),"Wǒ xǐhuān shōují móxíng.")</f>
        <v>Wǒ xǐhuān shōují móxíng.</v>
      </c>
    </row>
    <row r="46" spans="1:5" ht="14.25" customHeight="1">
      <c r="A46" s="41" t="s">
        <v>2516</v>
      </c>
      <c r="B46" s="10" t="s">
        <v>2517</v>
      </c>
      <c r="C46" s="34"/>
      <c r="D46" s="34" t="s">
        <v>2518</v>
      </c>
      <c r="E46" s="4" t="str">
        <f ca="1">IFERROR(__xludf.DUMMYFUNCTION("""COMPUTED_VALUE"""),"Kàn kàn wǒ de shōucáng!")</f>
        <v>Kàn kàn wǒ de shōucáng!</v>
      </c>
    </row>
    <row r="47" spans="1:5" ht="14.25" customHeight="1">
      <c r="A47" s="41" t="s">
        <v>2519</v>
      </c>
      <c r="B47" s="10" t="s">
        <v>2520</v>
      </c>
      <c r="C47" s="34"/>
      <c r="D47" s="34"/>
      <c r="E47" s="4" t="str">
        <f ca="1">IFERROR(__xludf.DUMMYFUNCTION("""COMPUTED_VALUE"""),"Nǐ xiǎng qù yóu lèyuán ma?")</f>
        <v>Nǐ xiǎng qù yóu lèyuán ma?</v>
      </c>
    </row>
    <row r="48" spans="1:5" ht="14.25" customHeight="1">
      <c r="A48" s="41" t="s">
        <v>2521</v>
      </c>
      <c r="B48" s="10" t="s">
        <v>2522</v>
      </c>
      <c r="C48" s="34" t="s">
        <v>2523</v>
      </c>
      <c r="D48" s="34" t="s">
        <v>2524</v>
      </c>
      <c r="E48" s="4" t="str">
        <f ca="1">IFERROR(__xludf.DUMMYFUNCTION("""COMPUTED_VALUE"""),"Wǒ xǐhuān zuò guòshānchē.")</f>
        <v>Wǒ xǐhuān zuò guòshānchē.</v>
      </c>
    </row>
    <row r="49" spans="1:5" ht="14.25" customHeight="1">
      <c r="A49" s="41" t="s">
        <v>2525</v>
      </c>
      <c r="B49" s="10" t="s">
        <v>2526</v>
      </c>
      <c r="C49" s="34"/>
      <c r="D49" s="34"/>
      <c r="E49" s="5" t="str">
        <f ca="1">IFERROR(__xludf.DUMMYFUNCTION("""COMPUTED_VALUE"""),"Suīrán yǒudiǎn xiàrén, dànshì hěn hǎowán!")</f>
        <v>Suīrán yǒudiǎn xiàrén, dànshì hěn hǎowán!</v>
      </c>
    </row>
    <row r="50" spans="1:5" ht="14.25" customHeight="1">
      <c r="A50" s="41" t="s">
        <v>2527</v>
      </c>
      <c r="B50" s="10" t="s">
        <v>2528</v>
      </c>
      <c r="C50" s="34"/>
      <c r="D50" s="34" t="s">
        <v>2529</v>
      </c>
      <c r="E50" s="6" t="str">
        <f ca="1">IFERROR(__xludf.DUMMYFUNCTION("""COMPUTED_VALUE"""),"Jīntiān zhēnshi měihǎo de yītiān!")</f>
        <v>Jīntiān zhēnshi měihǎo de yītiān!</v>
      </c>
    </row>
    <row r="51" spans="1:5" ht="14.25" customHeight="1">
      <c r="A51" s="41" t="s">
        <v>2530</v>
      </c>
      <c r="B51" s="10" t="s">
        <v>2531</v>
      </c>
      <c r="C51" s="34"/>
      <c r="D51" s="34"/>
      <c r="E51" s="6" t="str">
        <f ca="1">IFERROR(__xludf.DUMMYFUNCTION("""COMPUTED_VALUE"""),"Xièxiè nǐ péi wǒ chūqù wán!")</f>
        <v>Xièxiè nǐ péi wǒ chūqù wán!</v>
      </c>
    </row>
    <row r="52" spans="1:5" ht="14.25" customHeight="1">
      <c r="A52" s="42"/>
      <c r="B52" s="10"/>
      <c r="C52" s="34"/>
      <c r="D52" s="34" t="s">
        <v>2532</v>
      </c>
    </row>
    <row r="53" spans="1:5" ht="14.25" customHeight="1">
      <c r="A53" s="42"/>
      <c r="B53" s="10"/>
      <c r="C53" s="34"/>
      <c r="D53" s="34"/>
      <c r="E53" s="5"/>
    </row>
    <row r="54" spans="1:5" ht="14.25" customHeight="1">
      <c r="A54" s="42"/>
      <c r="B54" s="10"/>
      <c r="C54" s="34"/>
      <c r="D54" s="34" t="s">
        <v>2533</v>
      </c>
      <c r="E54" s="5"/>
    </row>
    <row r="55" spans="1:5" ht="14.25" customHeight="1">
      <c r="A55" s="42"/>
      <c r="B55" s="10"/>
      <c r="C55" s="34"/>
      <c r="D55" s="34"/>
      <c r="E55" s="5"/>
    </row>
    <row r="56" spans="1:5" ht="14.25" customHeight="1">
      <c r="A56" s="42"/>
      <c r="B56" s="10"/>
      <c r="C56" s="34"/>
      <c r="D56" s="34" t="s">
        <v>2534</v>
      </c>
      <c r="E56" s="5"/>
    </row>
    <row r="57" spans="1:5" ht="14.25" customHeight="1">
      <c r="A57" s="42"/>
      <c r="B57" s="10"/>
      <c r="C57" s="34"/>
      <c r="D57" s="34"/>
      <c r="E57" s="5"/>
    </row>
    <row r="58" spans="1:5" ht="14.25" customHeight="1">
      <c r="A58" s="42"/>
      <c r="B58" s="10"/>
      <c r="C58" s="34"/>
      <c r="D58" s="34" t="s">
        <v>2535</v>
      </c>
      <c r="E58" s="5"/>
    </row>
    <row r="59" spans="1:5" ht="14.25" customHeight="1">
      <c r="A59" s="42"/>
      <c r="B59" s="10"/>
      <c r="C59" s="34"/>
      <c r="D59" s="34"/>
    </row>
    <row r="60" spans="1:5" ht="14.25" customHeight="1">
      <c r="A60" s="42"/>
      <c r="B60" s="10"/>
      <c r="C60" s="34"/>
      <c r="D60" s="34" t="s">
        <v>2536</v>
      </c>
      <c r="E60" s="5"/>
    </row>
    <row r="61" spans="1:5" ht="14.25" customHeight="1">
      <c r="A61" s="42"/>
      <c r="B61" s="10"/>
      <c r="C61" s="34"/>
      <c r="D61" s="34"/>
      <c r="E61" s="5"/>
    </row>
    <row r="62" spans="1:5" ht="14.25" customHeight="1">
      <c r="A62" s="42"/>
      <c r="B62" s="10"/>
      <c r="C62" s="34"/>
      <c r="D62" s="34" t="s">
        <v>2537</v>
      </c>
      <c r="E62" s="5"/>
    </row>
    <row r="63" spans="1:5" ht="14.25" customHeight="1">
      <c r="A63" s="42"/>
      <c r="B63" s="10"/>
      <c r="C63" s="34"/>
      <c r="D63" s="34" t="s">
        <v>2538</v>
      </c>
      <c r="E63" s="5"/>
    </row>
    <row r="64" spans="1:5" ht="14.25" customHeight="1">
      <c r="A64" s="42"/>
      <c r="B64" s="10"/>
      <c r="C64" s="34"/>
      <c r="D64" s="34" t="s">
        <v>2539</v>
      </c>
      <c r="E64" s="5"/>
    </row>
    <row r="65" spans="1:5" ht="14.25" customHeight="1">
      <c r="A65" s="42"/>
      <c r="B65" s="10"/>
      <c r="C65" s="34"/>
      <c r="D65" s="34"/>
      <c r="E65" s="5"/>
    </row>
    <row r="66" spans="1:5" ht="14.25" customHeight="1">
      <c r="A66" s="42"/>
      <c r="B66" s="10"/>
      <c r="C66" s="34"/>
      <c r="D66" s="34" t="s">
        <v>2540</v>
      </c>
      <c r="E66" s="5"/>
    </row>
    <row r="67" spans="1:5" ht="14.25" customHeight="1">
      <c r="A67" s="42"/>
      <c r="B67" s="10"/>
      <c r="C67" s="34"/>
      <c r="D67" s="34"/>
      <c r="E67" s="5"/>
    </row>
    <row r="68" spans="1:5" ht="14.25" customHeight="1">
      <c r="A68" s="42"/>
      <c r="B68" s="10"/>
      <c r="C68" s="34"/>
      <c r="D68" s="34" t="s">
        <v>2541</v>
      </c>
      <c r="E68" s="5"/>
    </row>
    <row r="69" spans="1:5" ht="14.25" customHeight="1">
      <c r="A69" s="42"/>
      <c r="B69" s="10"/>
      <c r="C69" s="34"/>
      <c r="D69" s="34"/>
      <c r="E69" s="5"/>
    </row>
    <row r="70" spans="1:5" ht="14.25" customHeight="1">
      <c r="A70" s="42"/>
      <c r="B70" s="10"/>
      <c r="C70" s="34"/>
      <c r="D70" s="34" t="s">
        <v>2542</v>
      </c>
      <c r="E70" s="5"/>
    </row>
    <row r="71" spans="1:5" ht="14.25" customHeight="1">
      <c r="A71" s="42"/>
      <c r="B71" s="10"/>
      <c r="C71" s="34"/>
      <c r="D71" s="34"/>
      <c r="E71" s="5"/>
    </row>
    <row r="72" spans="1:5" ht="14.25" customHeight="1">
      <c r="A72" s="42"/>
      <c r="B72" s="10"/>
      <c r="C72" s="34"/>
      <c r="D72" s="34" t="s">
        <v>2543</v>
      </c>
      <c r="E72" s="5"/>
    </row>
    <row r="73" spans="1:5" ht="14.25" customHeight="1">
      <c r="A73" s="42"/>
      <c r="B73" s="10"/>
      <c r="C73" s="34"/>
      <c r="D73" s="34"/>
      <c r="E73" s="5"/>
    </row>
    <row r="74" spans="1:5" ht="14.25" customHeight="1">
      <c r="A74" s="42"/>
      <c r="B74" s="10"/>
      <c r="C74" s="34"/>
      <c r="D74" s="34" t="s">
        <v>2544</v>
      </c>
      <c r="E74" s="5"/>
    </row>
    <row r="75" spans="1:5" ht="14.25" customHeight="1">
      <c r="A75" s="42"/>
      <c r="B75" s="10"/>
      <c r="C75" s="34"/>
      <c r="D75" s="34"/>
      <c r="E75" s="5"/>
    </row>
    <row r="76" spans="1:5" ht="14.25" customHeight="1">
      <c r="A76" s="42"/>
      <c r="B76" s="10"/>
      <c r="C76" s="34"/>
      <c r="D76" s="34" t="s">
        <v>2545</v>
      </c>
      <c r="E76" s="5"/>
    </row>
    <row r="77" spans="1:5" ht="14.25" customHeight="1">
      <c r="A77" s="42"/>
      <c r="B77" s="10"/>
      <c r="C77" s="34"/>
      <c r="D77" s="34"/>
      <c r="E77" s="5"/>
    </row>
    <row r="78" spans="1:5" ht="14.25" customHeight="1">
      <c r="A78" s="42"/>
      <c r="B78" s="10"/>
      <c r="C78" s="34"/>
      <c r="D78" s="34" t="s">
        <v>2546</v>
      </c>
      <c r="E78" s="5"/>
    </row>
    <row r="79" spans="1:5" ht="14.25" customHeight="1">
      <c r="A79" s="42"/>
      <c r="B79" s="10"/>
      <c r="C79" s="34"/>
      <c r="D79" s="34"/>
      <c r="E79" s="5"/>
    </row>
    <row r="80" spans="1:5" ht="14.25" customHeight="1">
      <c r="A80" s="42"/>
      <c r="B80" s="10"/>
      <c r="C80" s="34"/>
      <c r="D80" s="34" t="s">
        <v>2547</v>
      </c>
      <c r="E80" s="5"/>
    </row>
    <row r="81" spans="1:5" ht="14.25" customHeight="1">
      <c r="A81" s="42"/>
      <c r="B81" s="10"/>
      <c r="C81" s="34"/>
      <c r="D81" s="34"/>
      <c r="E81" s="5"/>
    </row>
    <row r="82" spans="1:5" ht="14.25" customHeight="1">
      <c r="A82" s="42"/>
      <c r="B82" s="10"/>
      <c r="C82" s="34"/>
      <c r="D82" s="34" t="s">
        <v>2548</v>
      </c>
      <c r="E82" s="5"/>
    </row>
    <row r="83" spans="1:5" ht="14.25" customHeight="1">
      <c r="A83" s="42"/>
      <c r="B83" s="10"/>
      <c r="C83" s="34"/>
      <c r="D83" s="34"/>
      <c r="E83" s="5"/>
    </row>
    <row r="84" spans="1:5" ht="14.25" customHeight="1">
      <c r="A84" s="42"/>
      <c r="B84" s="10"/>
      <c r="C84" s="34"/>
      <c r="D84" s="34" t="s">
        <v>2549</v>
      </c>
      <c r="E84" s="5"/>
    </row>
    <row r="85" spans="1:5" ht="14.25" customHeight="1">
      <c r="A85" s="42"/>
      <c r="B85" s="10"/>
      <c r="C85" s="34"/>
      <c r="D85" s="34"/>
      <c r="E85" s="5"/>
    </row>
    <row r="86" spans="1:5" ht="14.25" customHeight="1">
      <c r="A86" s="42"/>
      <c r="B86" s="10"/>
      <c r="C86" s="34"/>
      <c r="D86" s="34" t="s">
        <v>2550</v>
      </c>
      <c r="E86" s="5"/>
    </row>
    <row r="87" spans="1:5" ht="14.25" customHeight="1">
      <c r="A87" s="42"/>
      <c r="B87" s="10"/>
      <c r="C87" s="34"/>
      <c r="D87" s="34"/>
      <c r="E87" s="5"/>
    </row>
    <row r="88" spans="1:5" ht="14.25" customHeight="1">
      <c r="A88" s="42"/>
      <c r="B88" s="10"/>
      <c r="C88" s="34"/>
      <c r="D88" s="34" t="s">
        <v>2551</v>
      </c>
      <c r="E88" s="5"/>
    </row>
    <row r="89" spans="1:5" ht="14.25" customHeight="1">
      <c r="A89" s="42"/>
      <c r="B89" s="10"/>
      <c r="C89" s="34"/>
      <c r="D89" s="34"/>
      <c r="E89" s="5"/>
    </row>
    <row r="90" spans="1:5" ht="14.25" customHeight="1">
      <c r="A90" s="42"/>
      <c r="B90" s="10"/>
      <c r="C90" s="34"/>
      <c r="D90" s="34" t="s">
        <v>2552</v>
      </c>
      <c r="E90" s="5"/>
    </row>
    <row r="91" spans="1:5" ht="14.25" customHeight="1">
      <c r="A91" s="42"/>
      <c r="B91" s="10"/>
      <c r="C91" s="34"/>
      <c r="D91" s="34"/>
      <c r="E91" s="5"/>
    </row>
    <row r="92" spans="1:5" ht="14.25" customHeight="1">
      <c r="A92" s="42"/>
      <c r="B92" s="10"/>
      <c r="C92" s="34"/>
      <c r="D92" s="34" t="s">
        <v>1326</v>
      </c>
      <c r="E92" s="5"/>
    </row>
    <row r="93" spans="1:5" ht="14.25" customHeight="1">
      <c r="A93" s="42"/>
      <c r="B93" s="10"/>
      <c r="C93" s="34"/>
      <c r="D93" s="34"/>
      <c r="E93" s="5"/>
    </row>
    <row r="94" spans="1:5" ht="14.25" customHeight="1">
      <c r="A94" s="42"/>
      <c r="B94" s="10"/>
      <c r="C94" s="34"/>
      <c r="D94" s="34" t="s">
        <v>2553</v>
      </c>
      <c r="E94" s="5"/>
    </row>
    <row r="95" spans="1:5" ht="14.25" customHeight="1">
      <c r="A95" s="42"/>
      <c r="B95" s="10"/>
      <c r="C95" s="34"/>
      <c r="D95" s="34"/>
      <c r="E95" s="5"/>
    </row>
    <row r="96" spans="1:5" ht="14.25" customHeight="1">
      <c r="A96" s="42"/>
      <c r="B96" s="10"/>
      <c r="C96" s="34"/>
      <c r="D96" s="34" t="s">
        <v>2554</v>
      </c>
      <c r="E96" s="5"/>
    </row>
    <row r="97" spans="1:5" ht="14.25" customHeight="1">
      <c r="A97" s="42"/>
      <c r="B97" s="10"/>
      <c r="C97" s="34"/>
      <c r="D97" s="34"/>
      <c r="E97" s="5"/>
    </row>
    <row r="98" spans="1:5" ht="14.25" customHeight="1">
      <c r="A98" s="42"/>
      <c r="B98" s="10"/>
      <c r="C98" s="34"/>
      <c r="D98" s="34" t="s">
        <v>2555</v>
      </c>
      <c r="E98" s="5"/>
    </row>
  </sheetData>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1" width="60.88671875" customWidth="1"/>
    <col min="2" max="2" width="38.88671875" customWidth="1"/>
    <col min="3" max="3" width="55.5546875" customWidth="1"/>
    <col min="4" max="4" width="29" customWidth="1"/>
    <col min="5" max="5" width="56.88671875" customWidth="1"/>
  </cols>
  <sheetData>
    <row r="1" spans="1:5" ht="14.25" customHeight="1">
      <c r="A1" s="12" t="s">
        <v>2556</v>
      </c>
      <c r="C1" s="24"/>
      <c r="D1" s="24"/>
      <c r="E1" s="2"/>
    </row>
    <row r="2" spans="1:5" ht="14.25" customHeight="1">
      <c r="A2" s="41" t="s">
        <v>2557</v>
      </c>
      <c r="B2" s="43" t="s">
        <v>2558</v>
      </c>
      <c r="C2" s="44"/>
      <c r="D2" s="44" t="s">
        <v>2559</v>
      </c>
      <c r="E2" s="5" t="str">
        <f ca="1">IFERROR(__xludf.DUMMYFUNCTION("FILTER(D1:D1002,D1:D1002&lt;&gt; """")"),"Zhè zhǐ gǒu zhēn kě'ài!")</f>
        <v>Zhè zhǐ gǒu zhēn kě'ài!</v>
      </c>
    </row>
    <row r="3" spans="1:5" ht="14.25" customHeight="1">
      <c r="A3" s="41" t="s">
        <v>2560</v>
      </c>
      <c r="B3" s="43" t="s">
        <v>2561</v>
      </c>
      <c r="C3" s="44"/>
      <c r="D3" s="44"/>
      <c r="E3" s="6" t="str">
        <f ca="1">IFERROR(__xludf.DUMMYFUNCTION("""COMPUTED_VALUE"""),"Māo zài shuìjiào.")</f>
        <v>Māo zài shuìjiào.</v>
      </c>
    </row>
    <row r="4" spans="1:5" ht="14.25" customHeight="1">
      <c r="A4" s="41" t="s">
        <v>2562</v>
      </c>
      <c r="B4" s="43" t="s">
        <v>2563</v>
      </c>
      <c r="C4" s="44" t="s">
        <v>2564</v>
      </c>
      <c r="D4" s="44" t="s">
        <v>2565</v>
      </c>
      <c r="E4" s="5" t="str">
        <f ca="1">IFERROR(__xludf.DUMMYFUNCTION("""COMPUTED_VALUE"""),"Gōngjī zǎoshang zài tí jiào.")</f>
        <v>Gōngjī zǎoshang zài tí jiào.</v>
      </c>
    </row>
    <row r="5" spans="1:5" ht="14.25" customHeight="1">
      <c r="A5" s="41" t="s">
        <v>2566</v>
      </c>
      <c r="B5" s="43" t="s">
        <v>2567</v>
      </c>
      <c r="C5" s="44" t="s">
        <v>2568</v>
      </c>
      <c r="D5" s="44"/>
      <c r="E5" s="5" t="str">
        <f ca="1">IFERROR(__xludf.DUMMYFUNCTION("""COMPUTED_VALUE"""),"Wǒ hàipà shé.")</f>
        <v>Wǒ hàipà shé.</v>
      </c>
    </row>
    <row r="6" spans="1:5" ht="14.25" customHeight="1">
      <c r="A6" s="41" t="s">
        <v>2569</v>
      </c>
      <c r="B6" s="43" t="s">
        <v>2570</v>
      </c>
      <c r="C6" s="44"/>
      <c r="D6" s="44" t="s">
        <v>2571</v>
      </c>
      <c r="E6" s="5" t="str">
        <f ca="1">IFERROR(__xludf.DUMMYFUNCTION("""COMPUTED_VALUE"""),"Niǎo zài chànggē.")</f>
        <v>Niǎo zài chànggē.</v>
      </c>
    </row>
    <row r="7" spans="1:5" ht="14.25" customHeight="1">
      <c r="A7" s="41" t="s">
        <v>2572</v>
      </c>
      <c r="B7" s="43" t="s">
        <v>2573</v>
      </c>
      <c r="C7" s="44"/>
      <c r="D7" s="44"/>
      <c r="E7" s="5" t="str">
        <f ca="1">IFERROR(__xludf.DUMMYFUNCTION("""COMPUTED_VALUE""")," Yú zài shuǐ xiàyóu dòng.")</f>
        <v xml:space="preserve"> Yú zài shuǐ xiàyóu dòng.</v>
      </c>
    </row>
    <row r="8" spans="1:5" ht="14.25" customHeight="1">
      <c r="A8" s="41" t="s">
        <v>2574</v>
      </c>
      <c r="B8" s="43" t="s">
        <v>2575</v>
      </c>
      <c r="C8" s="44" t="s">
        <v>2576</v>
      </c>
      <c r="D8" s="44" t="s">
        <v>2577</v>
      </c>
      <c r="E8" s="5" t="str">
        <f ca="1">IFERROR(__xludf.DUMMYFUNCTION("""COMPUTED_VALUE"""),"Wǒ xǐhuān húdié.")</f>
        <v>Wǒ xǐhuān húdié.</v>
      </c>
    </row>
    <row r="9" spans="1:5" ht="14.25" customHeight="1">
      <c r="A9" s="41" t="s">
        <v>2578</v>
      </c>
      <c r="B9" s="43" t="s">
        <v>2579</v>
      </c>
      <c r="C9" s="44" t="s">
        <v>2580</v>
      </c>
      <c r="D9" s="44"/>
      <c r="E9" s="5" t="str">
        <f ca="1">IFERROR(__xludf.DUMMYFUNCTION("""COMPUTED_VALUE"""),"Niú zài chī cǎo. ")</f>
        <v xml:space="preserve">Niú zài chī cǎo. </v>
      </c>
    </row>
    <row r="10" spans="1:5" ht="14.25" customHeight="1">
      <c r="A10" s="41" t="s">
        <v>2581</v>
      </c>
      <c r="B10" s="43" t="s">
        <v>2582</v>
      </c>
      <c r="C10" s="44" t="s">
        <v>2583</v>
      </c>
      <c r="D10" s="44" t="s">
        <v>2584</v>
      </c>
      <c r="E10" s="5" t="str">
        <f ca="1">IFERROR(__xludf.DUMMYFUNCTION("""COMPUTED_VALUE"""),"Wǒ xiǎng qù kàn hǎiguī.")</f>
        <v>Wǒ xiǎng qù kàn hǎiguī.</v>
      </c>
    </row>
    <row r="11" spans="1:5" ht="14.25" customHeight="1">
      <c r="A11" s="41" t="s">
        <v>2585</v>
      </c>
      <c r="B11" s="43" t="s">
        <v>2586</v>
      </c>
      <c r="C11" s="44" t="s">
        <v>2587</v>
      </c>
      <c r="D11" s="44" t="s">
        <v>2588</v>
      </c>
      <c r="E11" s="5" t="str">
        <f ca="1">IFERROR(__xludf.DUMMYFUNCTION("""COMPUTED_VALUE"""),"Hóuzǐ xǐhuān chī xiāngjiāo. ")</f>
        <v xml:space="preserve">Hóuzǐ xǐhuān chī xiāngjiāo. </v>
      </c>
    </row>
    <row r="12" spans="1:5" ht="14.25" customHeight="1">
      <c r="A12" s="41" t="s">
        <v>2589</v>
      </c>
      <c r="B12" s="43" t="s">
        <v>2590</v>
      </c>
      <c r="C12" s="44" t="s">
        <v>2591</v>
      </c>
      <c r="D12" s="44" t="s">
        <v>2592</v>
      </c>
      <c r="E12" s="6" t="str">
        <f ca="1">IFERROR(__xludf.DUMMYFUNCTION("""COMPUTED_VALUE"""),"Bùyào xìnòng gǒu gǒu!")</f>
        <v>Bùyào xìnòng gǒu gǒu!</v>
      </c>
    </row>
    <row r="13" spans="1:5" ht="14.25" customHeight="1">
      <c r="A13" s="41" t="s">
        <v>2593</v>
      </c>
      <c r="B13" s="43" t="s">
        <v>2594</v>
      </c>
      <c r="C13" s="44"/>
      <c r="D13" s="44" t="s">
        <v>2595</v>
      </c>
      <c r="E13" s="6" t="str">
        <f ca="1">IFERROR(__xludf.DUMMYFUNCTION("""COMPUTED_VALUE"""),"Zhèlǐ dì hǎishuǐ hǎo lán a.")</f>
        <v>Zhèlǐ dì hǎishuǐ hǎo lán a.</v>
      </c>
    </row>
    <row r="14" spans="1:5" ht="14.25" customHeight="1">
      <c r="A14" s="41" t="s">
        <v>2596</v>
      </c>
      <c r="B14" s="43" t="s">
        <v>2597</v>
      </c>
      <c r="C14" s="44" t="s">
        <v>2598</v>
      </c>
      <c r="D14" s="44" t="s">
        <v>2599</v>
      </c>
      <c r="E14" s="6" t="str">
        <f ca="1">IFERROR(__xludf.DUMMYFUNCTION("""COMPUTED_VALUE"""),"Shāzǐ yòu bái yòu xì.")</f>
        <v>Shāzǐ yòu bái yòu xì.</v>
      </c>
    </row>
    <row r="15" spans="1:5" ht="14.25" customHeight="1">
      <c r="A15" s="41" t="s">
        <v>2600</v>
      </c>
      <c r="B15" s="43" t="s">
        <v>2601</v>
      </c>
      <c r="C15" s="44" t="s">
        <v>2602</v>
      </c>
      <c r="D15" s="44"/>
      <c r="E15" s="6" t="str">
        <f ca="1">IFERROR(__xludf.DUMMYFUNCTION("""COMPUTED_VALUE"""),"Wǒ xǐhuān shōují bèiké.")</f>
        <v>Wǒ xǐhuān shōují bèiké.</v>
      </c>
    </row>
    <row r="16" spans="1:5" ht="14.25" customHeight="1">
      <c r="A16" s="41" t="s">
        <v>2603</v>
      </c>
      <c r="B16" s="43" t="s">
        <v>2604</v>
      </c>
      <c r="C16" s="44"/>
      <c r="D16" s="44" t="s">
        <v>2605</v>
      </c>
      <c r="E16" s="6" t="str">
        <f ca="1">IFERROR(__xludf.DUMMYFUNCTION("""COMPUTED_VALUE""")," Nà zuò shān hào gāo a!")</f>
        <v xml:space="preserve"> Nà zuò shān hào gāo a!</v>
      </c>
    </row>
    <row r="17" spans="1:5" ht="14.25" customHeight="1">
      <c r="A17" s="41" t="s">
        <v>2606</v>
      </c>
      <c r="B17" s="43" t="s">
        <v>2607</v>
      </c>
      <c r="C17" s="44"/>
      <c r="D17" s="44" t="s">
        <v>2608</v>
      </c>
      <c r="E17" s="6" t="str">
        <f ca="1">IFERROR(__xludf.DUMMYFUNCTION("""COMPUTED_VALUE"""),"Wǒ xiǎng qù páshān.")</f>
        <v>Wǒ xiǎng qù páshān.</v>
      </c>
    </row>
    <row r="18" spans="1:5" ht="14.25" customHeight="1">
      <c r="A18" s="41" t="s">
        <v>2609</v>
      </c>
      <c r="B18" s="43" t="s">
        <v>2610</v>
      </c>
      <c r="C18" s="44"/>
      <c r="D18" s="44" t="s">
        <v>2611</v>
      </c>
      <c r="E18" s="5" t="str">
        <f ca="1">IFERROR(__xludf.DUMMYFUNCTION("""COMPUTED_VALUE"""),"Zhè kē shù jiào shénme míngzì?")</f>
        <v>Zhè kē shù jiào shénme míngzì?</v>
      </c>
    </row>
    <row r="19" spans="1:5" ht="14.25" customHeight="1">
      <c r="A19" s="41" t="s">
        <v>2612</v>
      </c>
      <c r="B19" s="43" t="s">
        <v>2613</v>
      </c>
      <c r="C19" s="44" t="s">
        <v>2614</v>
      </c>
      <c r="D19" s="44"/>
      <c r="E19" s="4" t="str">
        <f ca="1">IFERROR(__xludf.DUMMYFUNCTION("""COMPUTED_VALUE"""),"Zhè duǒ huā wén qǐlái hǎo xiāng a.")</f>
        <v>Zhè duǒ huā wén qǐlái hǎo xiāng a.</v>
      </c>
    </row>
    <row r="20" spans="1:5" ht="14.25" customHeight="1">
      <c r="A20" s="41" t="s">
        <v>2615</v>
      </c>
      <c r="B20" s="43" t="s">
        <v>2616</v>
      </c>
      <c r="C20" s="44" t="s">
        <v>2617</v>
      </c>
      <c r="D20" s="44" t="s">
        <v>2618</v>
      </c>
      <c r="E20" s="5" t="str">
        <f ca="1">IFERROR(__xludf.DUMMYFUNCTION("""COMPUTED_VALUE"""),"Wǒ xiǎng gěi zhíwù jiāo shuǐ.")</f>
        <v>Wǒ xiǎng gěi zhíwù jiāo shuǐ.</v>
      </c>
    </row>
    <row r="21" spans="1:5" ht="14.25" customHeight="1">
      <c r="A21" s="41" t="s">
        <v>2619</v>
      </c>
      <c r="B21" s="43" t="s">
        <v>2620</v>
      </c>
      <c r="C21" s="44" t="s">
        <v>2621</v>
      </c>
      <c r="D21" s="44"/>
      <c r="E21" s="6" t="str">
        <f ca="1">IFERROR(__xludf.DUMMYFUNCTION("""COMPUTED_VALUE"""),"Bùyào zhāihuā!")</f>
        <v>Bùyào zhāihuā!</v>
      </c>
    </row>
    <row r="22" spans="1:5" ht="14.25" customHeight="1">
      <c r="A22" s="41" t="s">
        <v>2622</v>
      </c>
      <c r="B22" s="43" t="s">
        <v>2623</v>
      </c>
      <c r="C22" s="44" t="s">
        <v>2624</v>
      </c>
      <c r="D22" s="44" t="s">
        <v>2625</v>
      </c>
      <c r="E22" s="6" t="str">
        <f ca="1">IFERROR(__xludf.DUMMYFUNCTION("""COMPUTED_VALUE"""),"Jīntiān yīn tiānzhēn duō!")</f>
        <v>Jīntiān yīn tiānzhēn duō!</v>
      </c>
    </row>
    <row r="23" spans="1:5" ht="14.25" customHeight="1">
      <c r="A23" s="41" t="s">
        <v>2626</v>
      </c>
      <c r="B23" s="43" t="s">
        <v>2627</v>
      </c>
      <c r="C23" s="44" t="s">
        <v>2628</v>
      </c>
      <c r="D23" s="44" t="s">
        <v>2629</v>
      </c>
      <c r="E23" s="6" t="str">
        <f ca="1">IFERROR(__xludf.DUMMYFUNCTION("""COMPUTED_VALUE"""),"Kàn xīngxīng!")</f>
        <v>Kàn xīngxīng!</v>
      </c>
    </row>
    <row r="24" spans="1:5" ht="14.25" customHeight="1">
      <c r="A24" s="41" t="s">
        <v>2630</v>
      </c>
      <c r="B24" s="43" t="s">
        <v>2631</v>
      </c>
      <c r="C24" s="44" t="s">
        <v>2632</v>
      </c>
      <c r="D24" s="44" t="s">
        <v>2633</v>
      </c>
      <c r="E24" s="6" t="str">
        <f ca="1">IFERROR(__xludf.DUMMYFUNCTION("""COMPUTED_VALUE"""),"Yuèliàng hǎo liàng!")</f>
        <v>Yuèliàng hǎo liàng!</v>
      </c>
    </row>
    <row r="25" spans="1:5" ht="14.25" customHeight="1">
      <c r="A25" s="41" t="s">
        <v>2634</v>
      </c>
      <c r="B25" s="43" t="s">
        <v>2635</v>
      </c>
      <c r="C25" s="44"/>
      <c r="D25" s="44"/>
      <c r="E25" s="6" t="str">
        <f ca="1">IFERROR(__xludf.DUMMYFUNCTION("""COMPUTED_VALUE"""),"Wǒ xǐhuān kàn rì chū!")</f>
        <v>Wǒ xǐhuān kàn rì chū!</v>
      </c>
    </row>
    <row r="26" spans="1:5" ht="14.25" customHeight="1">
      <c r="A26" s="41" t="s">
        <v>2636</v>
      </c>
      <c r="B26" s="43" t="s">
        <v>2637</v>
      </c>
      <c r="C26" s="44"/>
      <c r="D26" s="44" t="s">
        <v>2638</v>
      </c>
      <c r="E26" s="6" t="str">
        <f ca="1">IFERROR(__xludf.DUMMYFUNCTION("""COMPUTED_VALUE"""),"Rìluò zhēnměi! ")</f>
        <v xml:space="preserve">Rìluò zhēnměi! </v>
      </c>
    </row>
    <row r="27" spans="1:5" ht="14.25" customHeight="1">
      <c r="A27" s="41" t="s">
        <v>2639</v>
      </c>
      <c r="B27" s="43" t="s">
        <v>2640</v>
      </c>
      <c r="C27" s="44"/>
      <c r="D27" s="44"/>
      <c r="E27" s="6" t="str">
        <f ca="1">IFERROR(__xludf.DUMMYFUNCTION("""COMPUTED_VALUE"""),"Yǒu wénzǐ, xiǎoxīn bié bèi yǎole!")</f>
        <v>Yǒu wénzǐ, xiǎoxīn bié bèi yǎole!</v>
      </c>
    </row>
    <row r="28" spans="1:5" ht="14.25" customHeight="1">
      <c r="A28" s="41" t="s">
        <v>2641</v>
      </c>
      <c r="B28" s="43" t="s">
        <v>2642</v>
      </c>
      <c r="C28" s="44" t="s">
        <v>2643</v>
      </c>
      <c r="D28" s="44" t="s">
        <v>2644</v>
      </c>
      <c r="E28" s="6" t="str">
        <f ca="1">IFERROR(__xludf.DUMMYFUNCTION("""COMPUTED_VALUE"""),"Wǒ xǐhuān tùzǐ!")</f>
        <v>Wǒ xǐhuān tùzǐ!</v>
      </c>
    </row>
    <row r="29" spans="1:5" ht="14.25" customHeight="1">
      <c r="A29" s="41" t="s">
        <v>2645</v>
      </c>
      <c r="B29" s="43" t="s">
        <v>2646</v>
      </c>
      <c r="C29" s="44"/>
      <c r="D29" s="44"/>
      <c r="E29" s="37" t="str">
        <f ca="1">IFERROR(__xludf.DUMMYFUNCTION("""COMPUTED_VALUE"""),"Zhū hēng hēng jiào!")</f>
        <v>Zhū hēng hēng jiào!</v>
      </c>
    </row>
    <row r="30" spans="1:5" ht="14.25" customHeight="1">
      <c r="A30" s="41" t="s">
        <v>2647</v>
      </c>
      <c r="B30" s="43" t="s">
        <v>2648</v>
      </c>
      <c r="C30" s="44" t="s">
        <v>2649</v>
      </c>
      <c r="D30" s="44" t="s">
        <v>2650</v>
      </c>
      <c r="E30" s="6" t="str">
        <f ca="1">IFERROR(__xludf.DUMMYFUNCTION("""COMPUTED_VALUE"""),"Mǎ pǎo dé hǎo kuài!")</f>
        <v>Mǎ pǎo dé hǎo kuài!</v>
      </c>
    </row>
    <row r="31" spans="1:5" ht="14.25" customHeight="1">
      <c r="A31" s="41" t="s">
        <v>2651</v>
      </c>
      <c r="B31" s="43" t="s">
        <v>2652</v>
      </c>
      <c r="C31" s="44"/>
      <c r="D31" s="45"/>
      <c r="E31" s="4" t="str">
        <f ca="1">IFERROR(__xludf.DUMMYFUNCTION("""COMPUTED_VALUE"""),"Wǒ xiǎng qù dòngwùyuán!")</f>
        <v>Wǒ xiǎng qù dòngwùyuán!</v>
      </c>
    </row>
    <row r="32" spans="1:5" ht="14.25" customHeight="1">
      <c r="A32" s="41" t="s">
        <v>2653</v>
      </c>
      <c r="B32" s="43" t="s">
        <v>2654</v>
      </c>
      <c r="C32" s="44"/>
      <c r="D32" s="44" t="s">
        <v>2655</v>
      </c>
      <c r="E32" s="4" t="str">
        <f ca="1">IFERROR(__xludf.DUMMYFUNCTION("""COMPUTED_VALUE"""),"Dòngwù shì wǒmen de péngyǒu!")</f>
        <v>Dòngwù shì wǒmen de péngyǒu!</v>
      </c>
    </row>
    <row r="33" spans="1:5" ht="14.25" customHeight="1">
      <c r="A33" s="41" t="s">
        <v>2656</v>
      </c>
      <c r="B33" s="43" t="s">
        <v>2657</v>
      </c>
      <c r="C33" s="44" t="s">
        <v>2658</v>
      </c>
      <c r="D33" s="44"/>
      <c r="E33" s="4" t="str">
        <f ca="1">IFERROR(__xludf.DUMMYFUNCTION("""COMPUTED_VALUE""")," Bùyào shānghài tāmen!")</f>
        <v xml:space="preserve"> Bùyào shānghài tāmen!</v>
      </c>
    </row>
    <row r="34" spans="1:5" ht="14.25" customHeight="1">
      <c r="A34" s="41" t="s">
        <v>2659</v>
      </c>
      <c r="B34" s="43" t="s">
        <v>2660</v>
      </c>
      <c r="C34" s="44"/>
      <c r="D34" s="44" t="s">
        <v>2661</v>
      </c>
      <c r="E34" s="4" t="str">
        <f ca="1">IFERROR(__xludf.DUMMYFUNCTION("""COMPUTED_VALUE"""),"Wǒ xǐhuān zhèlǐ de kōngqì!")</f>
        <v>Wǒ xǐhuān zhèlǐ de kōngqì!</v>
      </c>
    </row>
    <row r="35" spans="1:5" ht="14.25" customHeight="1">
      <c r="A35" s="41" t="s">
        <v>2662</v>
      </c>
      <c r="B35" s="43" t="s">
        <v>2663</v>
      </c>
      <c r="C35" s="44"/>
      <c r="D35" s="44"/>
      <c r="E35" s="8" t="str">
        <f ca="1">IFERROR(__xludf.DUMMYFUNCTION("""COMPUTED_VALUE""")," Fùjìn yǒu pùbù ma?")</f>
        <v xml:space="preserve"> Fùjìn yǒu pùbù ma?</v>
      </c>
    </row>
    <row r="36" spans="1:5" ht="14.25" customHeight="1">
      <c r="A36" s="41" t="s">
        <v>2664</v>
      </c>
      <c r="B36" s="43" t="s">
        <v>2665</v>
      </c>
      <c r="C36" s="44" t="s">
        <v>2666</v>
      </c>
      <c r="D36" s="44" t="s">
        <v>2667</v>
      </c>
      <c r="E36" s="5" t="str">
        <f ca="1">IFERROR(__xludf.DUMMYFUNCTION("""COMPUTED_VALUE"""),"Quánshuǐ hǎo liángshuǎng!")</f>
        <v>Quánshuǐ hǎo liángshuǎng!</v>
      </c>
    </row>
    <row r="37" spans="1:5" ht="14.25" customHeight="1">
      <c r="A37" s="41" t="s">
        <v>2668</v>
      </c>
      <c r="B37" s="43" t="s">
        <v>2669</v>
      </c>
      <c r="C37" s="44" t="s">
        <v>2670</v>
      </c>
      <c r="D37" s="44"/>
      <c r="E37" s="8" t="str">
        <f ca="1">IFERROR(__xludf.DUMMYFUNCTION("""COMPUTED_VALUE"""),"Wǒ xǐhuān qù sēnlín lǐ yěcān! ")</f>
        <v xml:space="preserve">Wǒ xǐhuān qù sēnlín lǐ yěcān! </v>
      </c>
    </row>
    <row r="38" spans="1:5" ht="14.25" customHeight="1">
      <c r="A38" s="41" t="s">
        <v>2671</v>
      </c>
      <c r="B38" s="43" t="s">
        <v>2672</v>
      </c>
      <c r="C38" s="44" t="s">
        <v>2673</v>
      </c>
      <c r="D38" s="44" t="s">
        <v>2674</v>
      </c>
      <c r="E38" s="5" t="str">
        <f ca="1">IFERROR(__xludf.DUMMYFUNCTION("""COMPUTED_VALUE"""),"Qǐng bǎohù huánjìng!")</f>
        <v>Qǐng bǎohù huánjìng!</v>
      </c>
    </row>
    <row r="39" spans="1:5" ht="14.25" customHeight="1">
      <c r="A39" s="41" t="s">
        <v>2675</v>
      </c>
      <c r="B39" s="43" t="s">
        <v>2676</v>
      </c>
      <c r="C39" s="44"/>
      <c r="D39" s="44"/>
      <c r="E39" s="6" t="str">
        <f ca="1">IFERROR(__xludf.DUMMYFUNCTION("""COMPUTED_VALUE""")," Bùyào bǎ lèsè rēng jìn hǎilǐ!")</f>
        <v xml:space="preserve"> Bùyào bǎ lèsè rēng jìn hǎilǐ!</v>
      </c>
    </row>
    <row r="40" spans="1:5" ht="14.25" customHeight="1">
      <c r="A40" s="41" t="s">
        <v>2677</v>
      </c>
      <c r="B40" s="43" t="s">
        <v>2678</v>
      </c>
      <c r="C40" s="44" t="s">
        <v>2679</v>
      </c>
      <c r="D40" s="44" t="s">
        <v>2680</v>
      </c>
      <c r="E40" s="6" t="str">
        <f ca="1">IFERROR(__xludf.DUMMYFUNCTION("""COMPUTED_VALUE"""),"Yāzǐ zài yóuyǒng!")</f>
        <v>Yāzǐ zài yóuyǒng!</v>
      </c>
    </row>
    <row r="41" spans="1:5" ht="14.25" customHeight="1">
      <c r="A41" s="41" t="s">
        <v>2681</v>
      </c>
      <c r="B41" s="43" t="s">
        <v>2682</v>
      </c>
      <c r="C41" s="44" t="s">
        <v>2683</v>
      </c>
      <c r="D41" s="44"/>
      <c r="E41" s="5" t="str">
        <f ca="1">IFERROR(__xludf.DUMMYFUNCTION("""COMPUTED_VALUE""")," Shuǐniú zài gàn huó! ")</f>
        <v xml:space="preserve"> Shuǐniú zài gàn huó! </v>
      </c>
    </row>
    <row r="42" spans="1:5" ht="14.25" customHeight="1">
      <c r="A42" s="41" t="s">
        <v>2684</v>
      </c>
      <c r="B42" s="43" t="s">
        <v>2685</v>
      </c>
      <c r="C42" s="44" t="s">
        <v>2686</v>
      </c>
      <c r="D42" s="44" t="s">
        <v>2687</v>
      </c>
      <c r="E42" s="4" t="str">
        <f ca="1">IFERROR(__xludf.DUMMYFUNCTION("""COMPUTED_VALUE"""),"Wǒ xiǎng yǎng yī zhǐ wūguī!")</f>
        <v>Wǒ xiǎng yǎng yī zhǐ wūguī!</v>
      </c>
    </row>
    <row r="43" spans="1:5" ht="14.25" customHeight="1">
      <c r="A43" s="41" t="s">
        <v>2688</v>
      </c>
      <c r="B43" s="43" t="s">
        <v>2689</v>
      </c>
      <c r="C43" s="44"/>
      <c r="D43" s="44" t="s">
        <v>2690</v>
      </c>
      <c r="E43" s="5" t="str">
        <f ca="1">IFERROR(__xludf.DUMMYFUNCTION("""COMPUTED_VALUE"""),"Lǎohǔ hǎo kěpà! ")</f>
        <v xml:space="preserve">Lǎohǔ hǎo kěpà! </v>
      </c>
    </row>
    <row r="44" spans="1:5" ht="14.25" customHeight="1">
      <c r="A44" s="41" t="s">
        <v>2691</v>
      </c>
      <c r="B44" s="43" t="s">
        <v>2692</v>
      </c>
      <c r="C44" s="44"/>
      <c r="D44" s="44" t="s">
        <v>2693</v>
      </c>
      <c r="E44" s="4" t="str">
        <f ca="1">IFERROR(__xludf.DUMMYFUNCTION("""COMPUTED_VALUE"""),"Dà xiàng hào dà!")</f>
        <v>Dà xiàng hào dà!</v>
      </c>
    </row>
    <row r="45" spans="1:5" ht="14.25" customHeight="1">
      <c r="A45" s="41" t="s">
        <v>2694</v>
      </c>
      <c r="B45" s="43" t="s">
        <v>2695</v>
      </c>
      <c r="C45" s="44" t="s">
        <v>2696</v>
      </c>
      <c r="D45" s="44"/>
      <c r="E45" s="5" t="str">
        <f ca="1">IFERROR(__xludf.DUMMYFUNCTION("""COMPUTED_VALUE"""),"Wǒ xǐhuān kàn mǎyǐ!")</f>
        <v>Wǒ xǐhuān kàn mǎyǐ!</v>
      </c>
    </row>
    <row r="46" spans="1:5" ht="14.25" customHeight="1">
      <c r="A46" s="41" t="s">
        <v>2697</v>
      </c>
      <c r="B46" s="43" t="s">
        <v>2698</v>
      </c>
      <c r="C46" s="44" t="s">
        <v>2699</v>
      </c>
      <c r="D46" s="44" t="s">
        <v>2700</v>
      </c>
      <c r="E46" s="4" t="str">
        <f ca="1">IFERROR(__xludf.DUMMYFUNCTION("""COMPUTED_VALUE""")," Zhīzhū zài zhī wǎng!")</f>
        <v xml:space="preserve"> Zhīzhū zài zhī wǎng!</v>
      </c>
    </row>
    <row r="47" spans="1:5" ht="14.25" customHeight="1">
      <c r="A47" s="41" t="s">
        <v>2701</v>
      </c>
      <c r="B47" s="43" t="s">
        <v>2702</v>
      </c>
      <c r="C47" s="44"/>
      <c r="D47" s="44"/>
      <c r="E47" s="4" t="str">
        <f ca="1">IFERROR(__xludf.DUMMYFUNCTION("""COMPUTED_VALUE""")," Wǒ xǐhuān liángshuǎng de tiānqì!")</f>
        <v xml:space="preserve"> Wǒ xǐhuān liángshuǎng de tiānqì!</v>
      </c>
    </row>
    <row r="48" spans="1:5" ht="14.25" customHeight="1">
      <c r="A48" s="41" t="s">
        <v>2703</v>
      </c>
      <c r="B48" s="43" t="s">
        <v>2704</v>
      </c>
      <c r="C48" s="44"/>
      <c r="D48" s="44" t="s">
        <v>2705</v>
      </c>
      <c r="E48" s="4" t="str">
        <f ca="1">IFERROR(__xludf.DUMMYFUNCTION("""COMPUTED_VALUE""")," Kàn, yīgè xiǎo dǎo!")</f>
        <v xml:space="preserve"> Kàn, yīgè xiǎo dǎo!</v>
      </c>
    </row>
    <row r="49" spans="1:5" ht="14.25" customHeight="1">
      <c r="A49" s="41" t="s">
        <v>2706</v>
      </c>
      <c r="B49" s="43" t="s">
        <v>2707</v>
      </c>
      <c r="C49" s="44" t="s">
        <v>2708</v>
      </c>
      <c r="D49" s="44"/>
      <c r="E49" s="5" t="str">
        <f ca="1">IFERROR(__xludf.DUMMYFUNCTION("""COMPUTED_VALUE"""),"Wǒ xiǎng qù qiánshuǐ!")</f>
        <v>Wǒ xiǎng qù qiánshuǐ!</v>
      </c>
    </row>
    <row r="50" spans="1:5" ht="14.25" customHeight="1">
      <c r="A50" s="41" t="s">
        <v>2709</v>
      </c>
      <c r="B50" s="43" t="s">
        <v>2710</v>
      </c>
      <c r="C50" s="44" t="s">
        <v>2711</v>
      </c>
      <c r="D50" s="44" t="s">
        <v>2712</v>
      </c>
      <c r="E50" s="6" t="str">
        <f ca="1">IFERROR(__xludf.DUMMYFUNCTION("""COMPUTED_VALUE"""),"Dà zìrán zhēn shénqí! ")</f>
        <v xml:space="preserve">Dà zìrán zhēn shénqí! </v>
      </c>
    </row>
    <row r="51" spans="1:5" ht="14.25" customHeight="1">
      <c r="A51" s="41" t="s">
        <v>2713</v>
      </c>
      <c r="B51" s="43" t="s">
        <v>2714</v>
      </c>
      <c r="C51" s="44"/>
      <c r="D51" s="44"/>
      <c r="E51" s="6" t="str">
        <f ca="1">IFERROR(__xludf.DUMMYFUNCTION("""COMPUTED_VALUE"""),"Wǒ rè'ài dìqiú!")</f>
        <v>Wǒ rè'ài dìqiú!</v>
      </c>
    </row>
    <row r="52" spans="1:5" ht="14.25" customHeight="1">
      <c r="A52" s="42"/>
      <c r="B52" s="46"/>
      <c r="C52" s="44"/>
      <c r="D52" s="44" t="s">
        <v>2715</v>
      </c>
    </row>
    <row r="53" spans="1:5" ht="14.25" customHeight="1">
      <c r="A53" s="42"/>
      <c r="B53" s="46"/>
      <c r="C53" s="44"/>
      <c r="D53" s="44" t="s">
        <v>2716</v>
      </c>
      <c r="E53" s="5"/>
    </row>
    <row r="54" spans="1:5" ht="14.25" customHeight="1">
      <c r="A54" s="42"/>
      <c r="B54" s="46"/>
      <c r="C54" s="44"/>
      <c r="D54" s="44" t="s">
        <v>2717</v>
      </c>
      <c r="E54" s="5"/>
    </row>
    <row r="55" spans="1:5" ht="14.25" customHeight="1">
      <c r="A55" s="42"/>
      <c r="B55" s="46"/>
      <c r="C55" s="44"/>
      <c r="D55" s="44" t="s">
        <v>2718</v>
      </c>
      <c r="E55" s="5"/>
    </row>
    <row r="56" spans="1:5" ht="14.25" customHeight="1">
      <c r="A56" s="42"/>
      <c r="B56" s="46"/>
      <c r="C56" s="44"/>
      <c r="D56" s="44" t="s">
        <v>2719</v>
      </c>
      <c r="E56" s="5"/>
    </row>
    <row r="57" spans="1:5" ht="14.25" customHeight="1">
      <c r="A57" s="42"/>
      <c r="B57" s="46"/>
      <c r="C57" s="44"/>
      <c r="D57" s="44" t="s">
        <v>2720</v>
      </c>
      <c r="E57" s="5"/>
    </row>
    <row r="58" spans="1:5" ht="14.25" customHeight="1">
      <c r="A58" s="42"/>
      <c r="B58" s="46"/>
      <c r="C58" s="44"/>
      <c r="D58" s="10" t="s">
        <v>2721</v>
      </c>
      <c r="E58" s="5"/>
    </row>
    <row r="59" spans="1:5" ht="14.25" customHeight="1">
      <c r="A59" s="42"/>
      <c r="B59" s="46"/>
      <c r="C59" s="44"/>
      <c r="D59" s="44" t="s">
        <v>2722</v>
      </c>
    </row>
    <row r="60" spans="1:5" ht="14.25" customHeight="1">
      <c r="A60" s="42"/>
      <c r="B60" s="46"/>
      <c r="C60" s="44"/>
      <c r="D60" s="44" t="s">
        <v>2723</v>
      </c>
      <c r="E60" s="5"/>
    </row>
    <row r="61" spans="1:5" ht="14.25" customHeight="1">
      <c r="A61" s="42"/>
      <c r="B61" s="46"/>
      <c r="C61" s="44"/>
      <c r="D61" s="10" t="s">
        <v>2724</v>
      </c>
      <c r="E61" s="5"/>
    </row>
    <row r="62" spans="1:5" ht="14.25" customHeight="1">
      <c r="A62" s="42"/>
      <c r="B62" s="46"/>
      <c r="C62" s="44"/>
      <c r="D62" s="44" t="s">
        <v>2725</v>
      </c>
      <c r="E62" s="5"/>
    </row>
    <row r="63" spans="1:5" ht="14.25" customHeight="1">
      <c r="A63" s="42"/>
      <c r="B63" s="46"/>
      <c r="C63" s="44"/>
      <c r="D63" s="44" t="s">
        <v>2726</v>
      </c>
      <c r="E63" s="5"/>
    </row>
    <row r="64" spans="1:5" ht="14.25" customHeight="1">
      <c r="A64" s="42"/>
      <c r="B64" s="46"/>
      <c r="C64" s="44"/>
      <c r="D64" s="10" t="s">
        <v>2727</v>
      </c>
      <c r="E64" s="5"/>
    </row>
    <row r="65" spans="1:5" ht="14.25" customHeight="1">
      <c r="A65" s="42"/>
      <c r="B65" s="46"/>
      <c r="C65" s="44"/>
      <c r="D65" s="10" t="s">
        <v>2728</v>
      </c>
      <c r="E65" s="5"/>
    </row>
    <row r="66" spans="1:5" ht="14.25" customHeight="1">
      <c r="A66" s="42"/>
      <c r="B66" s="46"/>
      <c r="C66" s="44"/>
      <c r="D66" s="10" t="s">
        <v>2729</v>
      </c>
      <c r="E66" s="5"/>
    </row>
    <row r="67" spans="1:5" ht="14.25" customHeight="1">
      <c r="A67" s="42"/>
      <c r="B67" s="46"/>
      <c r="C67" s="44"/>
      <c r="E67" s="5"/>
    </row>
    <row r="68" spans="1:5" ht="14.25" customHeight="1">
      <c r="A68" s="42"/>
      <c r="B68" s="46"/>
      <c r="C68" s="44"/>
      <c r="E68" s="5"/>
    </row>
    <row r="69" spans="1:5" ht="14.25" customHeight="1">
      <c r="A69" s="42"/>
      <c r="B69" s="46"/>
      <c r="C69" s="44"/>
      <c r="D69" s="44" t="s">
        <v>2730</v>
      </c>
      <c r="E69" s="5"/>
    </row>
    <row r="70" spans="1:5" ht="14.25" customHeight="1">
      <c r="A70" s="42"/>
      <c r="B70" s="46"/>
      <c r="C70" s="44"/>
      <c r="D70" s="44" t="s">
        <v>2731</v>
      </c>
      <c r="E70" s="5"/>
    </row>
    <row r="71" spans="1:5" ht="14.25" customHeight="1">
      <c r="A71" s="42"/>
      <c r="B71" s="46"/>
      <c r="C71" s="44"/>
      <c r="D71" s="44"/>
      <c r="E71" s="5"/>
    </row>
    <row r="72" spans="1:5" ht="14.25" customHeight="1">
      <c r="A72" s="42"/>
      <c r="B72" s="46"/>
      <c r="C72" s="44"/>
      <c r="D72" s="44" t="s">
        <v>2732</v>
      </c>
      <c r="E72" s="5"/>
    </row>
    <row r="73" spans="1:5" ht="14.25" customHeight="1">
      <c r="A73" s="42"/>
      <c r="B73" s="46"/>
      <c r="C73" s="44"/>
      <c r="D73" s="44" t="s">
        <v>2733</v>
      </c>
      <c r="E73" s="5"/>
    </row>
    <row r="74" spans="1:5" ht="14.25" customHeight="1">
      <c r="A74" s="42"/>
      <c r="B74" s="46"/>
      <c r="C74" s="44"/>
      <c r="D74" s="44" t="s">
        <v>2734</v>
      </c>
      <c r="E74" s="5"/>
    </row>
    <row r="75" spans="1:5" ht="14.25" customHeight="1">
      <c r="A75" s="42"/>
      <c r="B75" s="46"/>
      <c r="C75" s="44"/>
      <c r="D75" s="44"/>
      <c r="E75" s="5"/>
    </row>
    <row r="76" spans="1:5" ht="14.25" customHeight="1">
      <c r="A76" s="42"/>
      <c r="B76" s="46"/>
      <c r="C76" s="44"/>
      <c r="D76" s="44"/>
      <c r="E76" s="5"/>
    </row>
    <row r="77" spans="1:5" ht="14.25" customHeight="1">
      <c r="A77" s="42"/>
      <c r="B77" s="46"/>
      <c r="C77" s="44"/>
      <c r="D77" s="44"/>
      <c r="E77" s="5"/>
    </row>
    <row r="78" spans="1:5" ht="14.25" customHeight="1">
      <c r="A78" s="42"/>
      <c r="B78" s="46"/>
      <c r="C78" s="44"/>
      <c r="D78" s="44"/>
      <c r="E78" s="5"/>
    </row>
    <row r="79" spans="1:5" ht="14.25" customHeight="1">
      <c r="A79" s="42"/>
      <c r="B79" s="46"/>
      <c r="C79" s="44"/>
      <c r="D79" s="44"/>
      <c r="E79" s="5"/>
    </row>
    <row r="80" spans="1:5" ht="14.25" customHeight="1">
      <c r="A80" s="42"/>
      <c r="B80" s="46"/>
      <c r="C80" s="44"/>
      <c r="D80" s="44"/>
      <c r="E80" s="5"/>
    </row>
    <row r="81" spans="1:5" ht="14.25" customHeight="1">
      <c r="A81" s="42"/>
      <c r="B81" s="46"/>
      <c r="C81" s="44"/>
      <c r="D81" s="44"/>
      <c r="E81" s="5"/>
    </row>
    <row r="82" spans="1:5" ht="14.25" customHeight="1">
      <c r="A82" s="42"/>
      <c r="B82" s="46"/>
      <c r="C82" s="44"/>
      <c r="D82" s="44"/>
      <c r="E82" s="5"/>
    </row>
    <row r="83" spans="1:5" ht="14.25" customHeight="1">
      <c r="A83" s="42"/>
      <c r="B83" s="46"/>
      <c r="C83" s="44"/>
      <c r="D83" s="44"/>
      <c r="E83" s="5"/>
    </row>
    <row r="84" spans="1:5" ht="14.25" customHeight="1">
      <c r="A84" s="42"/>
      <c r="B84" s="46"/>
      <c r="C84" s="44"/>
      <c r="D84" s="44"/>
      <c r="E84" s="5"/>
    </row>
    <row r="85" spans="1:5" ht="14.25" customHeight="1">
      <c r="A85" s="42"/>
      <c r="B85" s="46"/>
      <c r="C85" s="44"/>
      <c r="D85" s="44"/>
      <c r="E85" s="5"/>
    </row>
    <row r="86" spans="1:5" ht="14.25" customHeight="1">
      <c r="A86" s="42"/>
      <c r="B86" s="46"/>
      <c r="C86" s="44"/>
      <c r="D86" s="44"/>
      <c r="E86" s="5"/>
    </row>
    <row r="87" spans="1:5" ht="14.25" customHeight="1">
      <c r="A87" s="42"/>
      <c r="B87" s="46"/>
      <c r="C87" s="44"/>
      <c r="D87" s="44"/>
      <c r="E87" s="5"/>
    </row>
    <row r="88" spans="1:5" ht="14.25" customHeight="1">
      <c r="A88" s="42"/>
      <c r="B88" s="46"/>
      <c r="C88" s="44"/>
      <c r="D88" s="44"/>
      <c r="E88" s="5"/>
    </row>
    <row r="89" spans="1:5" ht="14.25" customHeight="1">
      <c r="A89" s="42"/>
      <c r="B89" s="46"/>
      <c r="C89" s="44"/>
      <c r="D89" s="44"/>
      <c r="E89" s="5"/>
    </row>
    <row r="90" spans="1:5" ht="14.25" customHeight="1">
      <c r="A90" s="42"/>
      <c r="B90" s="46"/>
      <c r="C90" s="44"/>
      <c r="D90" s="44"/>
      <c r="E90" s="5"/>
    </row>
    <row r="91" spans="1:5" ht="14.25" customHeight="1">
      <c r="A91" s="42"/>
      <c r="B91" s="46"/>
      <c r="C91" s="44"/>
      <c r="D91" s="44"/>
      <c r="E91" s="5"/>
    </row>
    <row r="92" spans="1:5" ht="14.25" customHeight="1">
      <c r="A92" s="42"/>
      <c r="B92" s="46"/>
      <c r="C92" s="44"/>
      <c r="D92" s="44"/>
      <c r="E92" s="5"/>
    </row>
    <row r="93" spans="1:5" ht="14.25" customHeight="1">
      <c r="A93" s="42"/>
      <c r="B93" s="46"/>
      <c r="C93" s="44"/>
      <c r="D93" s="44"/>
      <c r="E93" s="5"/>
    </row>
    <row r="94" spans="1:5" ht="14.25" customHeight="1">
      <c r="A94" s="42"/>
      <c r="B94" s="46"/>
      <c r="C94" s="44"/>
      <c r="D94" s="44"/>
      <c r="E94" s="5"/>
    </row>
    <row r="95" spans="1:5" ht="14.25" customHeight="1">
      <c r="A95" s="42"/>
      <c r="B95" s="46"/>
      <c r="C95" s="44"/>
      <c r="D95" s="44"/>
      <c r="E95" s="5"/>
    </row>
    <row r="96" spans="1:5" ht="14.25" customHeight="1">
      <c r="A96" s="42"/>
      <c r="B96" s="46"/>
      <c r="C96" s="44"/>
      <c r="D96" s="44"/>
      <c r="E96" s="5"/>
    </row>
    <row r="97" spans="1:5" ht="14.25" customHeight="1">
      <c r="A97" s="42"/>
      <c r="B97" s="46"/>
      <c r="C97" s="44"/>
      <c r="D97" s="44"/>
      <c r="E97" s="5"/>
    </row>
    <row r="98" spans="1:5" ht="14.25" customHeight="1">
      <c r="A98" s="42"/>
      <c r="B98" s="46"/>
      <c r="C98" s="44"/>
      <c r="D98" s="44"/>
      <c r="E98" s="5"/>
    </row>
  </sheetData>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49.6640625" customWidth="1"/>
    <col min="5" max="5" width="56.88671875" customWidth="1"/>
  </cols>
  <sheetData>
    <row r="1" spans="1:5" ht="14.25" customHeight="1">
      <c r="A1" s="12" t="s">
        <v>2735</v>
      </c>
      <c r="C1" s="24"/>
      <c r="D1" s="24"/>
      <c r="E1" s="2"/>
    </row>
    <row r="2" spans="1:5" ht="14.25" customHeight="1">
      <c r="A2" s="41" t="s">
        <v>2736</v>
      </c>
      <c r="B2" s="41" t="s">
        <v>2737</v>
      </c>
      <c r="C2" s="42"/>
      <c r="D2" s="42" t="s">
        <v>2738</v>
      </c>
      <c r="E2" s="5" t="str">
        <f ca="1">IFERROR(__xludf.DUMMYFUNCTION("FILTER(D1:D1002,D1:D1002&lt;&gt; """")"),"Wǒ hǎo kāixīn!")</f>
        <v>Wǒ hǎo kāixīn!</v>
      </c>
    </row>
    <row r="3" spans="1:5" ht="14.25" customHeight="1">
      <c r="A3" s="41" t="s">
        <v>2739</v>
      </c>
      <c r="B3" s="43" t="s">
        <v>2740</v>
      </c>
      <c r="C3" s="44"/>
      <c r="D3" s="44"/>
      <c r="E3" s="6" t="str">
        <f ca="1">IFERROR(__xludf.DUMMYFUNCTION("""COMPUTED_VALUE"""),"Wǒ yǒudiǎn nánguò.")</f>
        <v>Wǒ yǒudiǎn nánguò.</v>
      </c>
    </row>
    <row r="4" spans="1:5" ht="14.25" customHeight="1">
      <c r="A4" s="41" t="s">
        <v>2741</v>
      </c>
      <c r="B4" s="43" t="s">
        <v>2742</v>
      </c>
      <c r="C4" s="44"/>
      <c r="D4" s="44" t="s">
        <v>2743</v>
      </c>
      <c r="E4" s="5" t="str">
        <f ca="1">IFERROR(__xludf.DUMMYFUNCTION("""COMPUTED_VALUE"""),"Nǐ wèishéme shēngqì?")</f>
        <v>Nǐ wèishéme shēngqì?</v>
      </c>
    </row>
    <row r="5" spans="1:5" ht="14.25" customHeight="1">
      <c r="A5" s="41" t="s">
        <v>2744</v>
      </c>
      <c r="B5" s="43" t="s">
        <v>2745</v>
      </c>
      <c r="C5" s="44"/>
      <c r="D5" s="44"/>
      <c r="E5" s="5" t="str">
        <f ca="1">IFERROR(__xludf.DUMMYFUNCTION("""COMPUTED_VALUE"""),"Wǒ méiyǒu shēngqì.")</f>
        <v>Wǒ méiyǒu shēngqì.</v>
      </c>
    </row>
    <row r="6" spans="1:5" ht="14.25" customHeight="1">
      <c r="A6" s="41" t="s">
        <v>2746</v>
      </c>
      <c r="B6" s="43" t="s">
        <v>2747</v>
      </c>
      <c r="C6" s="44"/>
      <c r="D6" s="44" t="s">
        <v>2748</v>
      </c>
      <c r="E6" s="5" t="str">
        <f ca="1">IFERROR(__xludf.DUMMYFUNCTION("""COMPUTED_VALUE"""),"Wǒ yǒudiǎn dānxīn.")</f>
        <v>Wǒ yǒudiǎn dānxīn.</v>
      </c>
    </row>
    <row r="7" spans="1:5" ht="14.25" customHeight="1">
      <c r="A7" s="41" t="s">
        <v>2749</v>
      </c>
      <c r="B7" s="43" t="s">
        <v>2750</v>
      </c>
      <c r="C7" s="44"/>
      <c r="D7" s="44"/>
      <c r="E7" s="5" t="str">
        <f ca="1">IFERROR(__xludf.DUMMYFUNCTION("""COMPUTED_VALUE"""),"Bié hàipà, wǒ zài zhèlǐ.")</f>
        <v>Bié hàipà, wǒ zài zhèlǐ.</v>
      </c>
    </row>
    <row r="8" spans="1:5" ht="14.25" customHeight="1">
      <c r="A8" s="41" t="s">
        <v>2751</v>
      </c>
      <c r="B8" s="41" t="s">
        <v>2752</v>
      </c>
      <c r="C8" s="42"/>
      <c r="D8" s="42" t="s">
        <v>2753</v>
      </c>
      <c r="E8" s="5" t="str">
        <f ca="1">IFERROR(__xludf.DUMMYFUNCTION("""COMPUTED_VALUE"""),"Wǒ hǎo jīngyà!")</f>
        <v>Wǒ hǎo jīngyà!</v>
      </c>
    </row>
    <row r="9" spans="1:5" ht="14.25" customHeight="1">
      <c r="A9" s="41" t="s">
        <v>2754</v>
      </c>
      <c r="B9" s="43" t="s">
        <v>2755</v>
      </c>
      <c r="C9" s="44"/>
      <c r="D9" s="44"/>
      <c r="E9" s="5" t="str">
        <f ca="1">IFERROR(__xludf.DUMMYFUNCTION("""COMPUTED_VALUE"""),"Wǒ wèi nǐ gǎndào jiāo'ào.")</f>
        <v>Wǒ wèi nǐ gǎndào jiāo'ào.</v>
      </c>
    </row>
    <row r="10" spans="1:5" ht="14.25" customHeight="1">
      <c r="A10" s="41" t="s">
        <v>2756</v>
      </c>
      <c r="B10" s="41" t="s">
        <v>2757</v>
      </c>
      <c r="C10" s="42"/>
      <c r="D10" s="42" t="s">
        <v>2758</v>
      </c>
      <c r="E10" s="5" t="str">
        <f ca="1">IFERROR(__xludf.DUMMYFUNCTION("""COMPUTED_VALUE"""),"Wǒ hǎo lèi. ")</f>
        <v xml:space="preserve">Wǒ hǎo lèi. </v>
      </c>
    </row>
    <row r="11" spans="1:5" ht="14.25" customHeight="1">
      <c r="A11" s="41" t="s">
        <v>2759</v>
      </c>
      <c r="B11" s="41" t="s">
        <v>2760</v>
      </c>
      <c r="C11" s="42"/>
      <c r="D11" s="42"/>
      <c r="E11" s="5" t="str">
        <f ca="1">IFERROR(__xludf.DUMMYFUNCTION("""COMPUTED_VALUE"""),"Wǒ hǎo kùn. ")</f>
        <v xml:space="preserve">Wǒ hǎo kùn. </v>
      </c>
    </row>
    <row r="12" spans="1:5" ht="14.25" customHeight="1">
      <c r="A12" s="41" t="s">
        <v>2761</v>
      </c>
      <c r="B12" s="43" t="s">
        <v>2762</v>
      </c>
      <c r="C12" s="44"/>
      <c r="D12" s="44" t="s">
        <v>2763</v>
      </c>
      <c r="E12" s="6" t="str">
        <f ca="1">IFERROR(__xludf.DUMMYFUNCTION("""COMPUTED_VALUE"""),"Wǒ hǎo è. ")</f>
        <v xml:space="preserve">Wǒ hǎo è. </v>
      </c>
    </row>
    <row r="13" spans="1:5" ht="14.25" customHeight="1">
      <c r="A13" s="41" t="s">
        <v>2764</v>
      </c>
      <c r="B13" s="41" t="s">
        <v>2765</v>
      </c>
      <c r="C13" s="42"/>
      <c r="D13" s="42"/>
      <c r="E13" s="6" t="str">
        <f ca="1">IFERROR(__xludf.DUMMYFUNCTION("""COMPUTED_VALUE"""),"Wǒ hǎo kě. ")</f>
        <v xml:space="preserve">Wǒ hǎo kě. </v>
      </c>
    </row>
    <row r="14" spans="1:5" ht="14.25" customHeight="1">
      <c r="A14" s="41" t="s">
        <v>2766</v>
      </c>
      <c r="B14" s="43" t="s">
        <v>2767</v>
      </c>
      <c r="C14" s="44"/>
      <c r="D14" s="44" t="s">
        <v>2768</v>
      </c>
      <c r="E14" s="6" t="str">
        <f ca="1">IFERROR(__xludf.DUMMYFUNCTION("""COMPUTED_VALUE"""),"Wǒ hǎo wúliáo. ")</f>
        <v xml:space="preserve">Wǒ hǎo wúliáo. </v>
      </c>
    </row>
    <row r="15" spans="1:5" ht="14.25" customHeight="1">
      <c r="A15" s="41" t="s">
        <v>2769</v>
      </c>
      <c r="B15" s="43" t="s">
        <v>2770</v>
      </c>
      <c r="C15" s="44"/>
      <c r="D15" s="44"/>
      <c r="E15" s="6" t="str">
        <f ca="1">IFERROR(__xludf.DUMMYFUNCTION("""COMPUTED_VALUE"""),"Wǒmen qù wán ba!")</f>
        <v>Wǒmen qù wán ba!</v>
      </c>
    </row>
    <row r="16" spans="1:5" ht="14.25" customHeight="1">
      <c r="A16" s="41" t="s">
        <v>2771</v>
      </c>
      <c r="B16" s="41" t="s">
        <v>2772</v>
      </c>
      <c r="C16" s="42"/>
      <c r="D16" s="42" t="s">
        <v>2773</v>
      </c>
      <c r="E16" s="6" t="str">
        <f ca="1">IFERROR(__xludf.DUMMYFUNCTION("""COMPUTED_VALUE"""),"Wǒ xǐhuān zhège.")</f>
        <v>Wǒ xǐhuān zhège.</v>
      </c>
    </row>
    <row r="17" spans="1:5" ht="14.25" customHeight="1">
      <c r="A17" s="41" t="s">
        <v>2774</v>
      </c>
      <c r="B17" s="43" t="s">
        <v>2775</v>
      </c>
      <c r="C17" s="44"/>
      <c r="D17" s="44"/>
      <c r="E17" s="6" t="str">
        <f ca="1">IFERROR(__xludf.DUMMYFUNCTION("""COMPUTED_VALUE""")," Wǒ bù xǐhuān nàgè.")</f>
        <v xml:space="preserve"> Wǒ bù xǐhuān nàgè.</v>
      </c>
    </row>
    <row r="18" spans="1:5" ht="14.25" customHeight="1">
      <c r="A18" s="41" t="s">
        <v>2776</v>
      </c>
      <c r="B18" s="41" t="s">
        <v>2777</v>
      </c>
      <c r="C18" s="42"/>
      <c r="D18" s="42" t="s">
        <v>2778</v>
      </c>
      <c r="E18" s="5" t="str">
        <f ca="1">IFERROR(__xludf.DUMMYFUNCTION("""COMPUTED_VALUE"""),"Wǒ ài nǐ!")</f>
        <v>Wǒ ài nǐ!</v>
      </c>
    </row>
    <row r="19" spans="1:5" ht="14.25" customHeight="1">
      <c r="A19" s="41" t="s">
        <v>2779</v>
      </c>
      <c r="B19" s="43" t="s">
        <v>2780</v>
      </c>
      <c r="C19" s="44"/>
      <c r="D19" s="44" t="s">
        <v>2781</v>
      </c>
      <c r="E19" s="4" t="str">
        <f ca="1">IFERROR(__xludf.DUMMYFUNCTION("""COMPUTED_VALUE"""),"Wǒ hǎo xiǎng nǐ. ")</f>
        <v xml:space="preserve">Wǒ hǎo xiǎng nǐ. </v>
      </c>
    </row>
    <row r="20" spans="1:5" ht="14.25" customHeight="1">
      <c r="A20" s="41" t="s">
        <v>2782</v>
      </c>
      <c r="B20" s="43" t="s">
        <v>2783</v>
      </c>
      <c r="C20" s="44"/>
      <c r="D20" s="10" t="s">
        <v>2784</v>
      </c>
      <c r="E20" s="5" t="str">
        <f ca="1">IFERROR(__xludf.DUMMYFUNCTION("""COMPUTED_VALUE"""),"Nǐ zhēn hǎo.")</f>
        <v>Nǐ zhēn hǎo.</v>
      </c>
    </row>
    <row r="21" spans="1:5" ht="14.25" customHeight="1">
      <c r="A21" s="41" t="s">
        <v>2785</v>
      </c>
      <c r="B21" s="43" t="s">
        <v>2786</v>
      </c>
      <c r="C21" s="44"/>
      <c r="D21" s="10" t="s">
        <v>2787</v>
      </c>
      <c r="E21" s="6" t="str">
        <f ca="1">IFERROR(__xludf.DUMMYFUNCTION("""COMPUTED_VALUE"""),"Wǒ hěn gāoxìng lái dào zhèlǐ")</f>
        <v>Wǒ hěn gāoxìng lái dào zhèlǐ</v>
      </c>
    </row>
    <row r="22" spans="1:5" ht="14.25" customHeight="1">
      <c r="A22" s="41" t="s">
        <v>2788</v>
      </c>
      <c r="B22" s="43" t="s">
        <v>2789</v>
      </c>
      <c r="C22" s="44"/>
      <c r="D22" s="10" t="s">
        <v>2790</v>
      </c>
      <c r="E22" s="6" t="str">
        <f ca="1">IFERROR(__xludf.DUMMYFUNCTION("""COMPUTED_VALUE"""),"bié kū")</f>
        <v>bié kū</v>
      </c>
    </row>
    <row r="23" spans="1:5" ht="14.25" customHeight="1">
      <c r="A23" s="41" t="s">
        <v>1235</v>
      </c>
      <c r="B23" s="41" t="s">
        <v>2791</v>
      </c>
      <c r="C23" s="42"/>
      <c r="D23" s="10" t="s">
        <v>2792</v>
      </c>
      <c r="E23" s="6" t="str">
        <f ca="1">IFERROR(__xludf.DUMMYFUNCTION("""COMPUTED_VALUE"""),"xiào yīxiào!")</f>
        <v>xiào yīxiào!</v>
      </c>
    </row>
    <row r="24" spans="1:5" ht="14.25" customHeight="1">
      <c r="A24" s="41" t="s">
        <v>2793</v>
      </c>
      <c r="B24" s="41" t="s">
        <v>2794</v>
      </c>
      <c r="C24" s="42"/>
      <c r="E24" s="6" t="str">
        <f ca="1">IFERROR(__xludf.DUMMYFUNCTION("""COMPUTED_VALUE"""),"Wǒ yǒudiǎn bù hǎoyìsi")</f>
        <v>Wǒ yǒudiǎn bù hǎoyìsi</v>
      </c>
    </row>
    <row r="25" spans="1:5" ht="14.25" customHeight="1">
      <c r="A25" s="41" t="s">
        <v>2795</v>
      </c>
      <c r="B25" s="43" t="s">
        <v>2796</v>
      </c>
      <c r="C25" s="44"/>
      <c r="D25" s="44" t="s">
        <v>2797</v>
      </c>
      <c r="E25" s="6" t="str">
        <f ca="1">IFERROR(__xludf.DUMMYFUNCTION("""COMPUTED_VALUE"""),"bié hàixiū")</f>
        <v>bié hàixiū</v>
      </c>
    </row>
    <row r="26" spans="1:5" ht="14.25" customHeight="1">
      <c r="A26" s="41" t="s">
        <v>2798</v>
      </c>
      <c r="B26" s="43" t="s">
        <v>2799</v>
      </c>
      <c r="C26" s="44"/>
      <c r="D26" s="44" t="s">
        <v>2800</v>
      </c>
      <c r="E26" s="6" t="str">
        <f ca="1">IFERROR(__xludf.DUMMYFUNCTION("""COMPUTED_VALUE"""),"wǒ hěn yǒu xìnxīn")</f>
        <v>wǒ hěn yǒu xìnxīn</v>
      </c>
    </row>
    <row r="27" spans="1:5" ht="14.25" customHeight="1">
      <c r="A27" s="41" t="s">
        <v>2801</v>
      </c>
      <c r="B27" s="43" t="s">
        <v>2802</v>
      </c>
      <c r="C27" s="44" t="s">
        <v>2803</v>
      </c>
      <c r="D27" s="44"/>
      <c r="E27" s="6" t="str">
        <f ca="1">IFERROR(__xludf.DUMMYFUNCTION("""COMPUTED_VALUE"""),"wǒ tóngyì nǐ de kànfǎ")</f>
        <v>wǒ tóngyì nǐ de kànfǎ</v>
      </c>
    </row>
    <row r="28" spans="1:5" ht="14.25" customHeight="1">
      <c r="A28" s="41" t="s">
        <v>2804</v>
      </c>
      <c r="B28" s="43" t="s">
        <v>2805</v>
      </c>
      <c r="C28" s="44"/>
      <c r="D28" s="44" t="s">
        <v>2806</v>
      </c>
      <c r="E28" s="6" t="str">
        <f ca="1">IFERROR(__xludf.DUMMYFUNCTION("""COMPUTED_VALUE"""),"wǒ bù tóngyì")</f>
        <v>wǒ bù tóngyì</v>
      </c>
    </row>
    <row r="29" spans="1:5" ht="14.25" customHeight="1">
      <c r="A29" s="41" t="s">
        <v>2807</v>
      </c>
      <c r="B29" s="43" t="s">
        <v>2808</v>
      </c>
      <c r="C29" s="44"/>
      <c r="D29" s="42" t="s">
        <v>2809</v>
      </c>
      <c r="E29" s="37" t="str">
        <f ca="1">IFERROR(__xludf.DUMMYFUNCTION("""COMPUTED_VALUE"""),"wǒ juédé hěn hǎo")</f>
        <v>wǒ juédé hěn hǎo</v>
      </c>
    </row>
    <row r="30" spans="1:5" ht="14.25" customHeight="1">
      <c r="A30" s="41" t="s">
        <v>2810</v>
      </c>
      <c r="B30" s="43" t="s">
        <v>2811</v>
      </c>
      <c r="C30" s="44"/>
      <c r="D30" s="42" t="s">
        <v>137</v>
      </c>
      <c r="E30" s="6" t="str">
        <f ca="1">IFERROR(__xludf.DUMMYFUNCTION("""COMPUTED_VALUE"""),"wǒ juédé zhège gèng piàoliang")</f>
        <v>wǒ juédé zhège gèng piàoliang</v>
      </c>
    </row>
    <row r="31" spans="1:5" ht="14.25" customHeight="1">
      <c r="A31" s="41" t="s">
        <v>2812</v>
      </c>
      <c r="B31" s="43" t="s">
        <v>2813</v>
      </c>
      <c r="C31" s="44"/>
      <c r="D31" s="47"/>
      <c r="E31" s="4" t="str">
        <f ca="1">IFERROR(__xludf.DUMMYFUNCTION("""COMPUTED_VALUE"""),"wǒ bù tài quèdìng")</f>
        <v>wǒ bù tài quèdìng</v>
      </c>
    </row>
    <row r="32" spans="1:5" ht="14.25" customHeight="1">
      <c r="A32" s="41" t="s">
        <v>2814</v>
      </c>
      <c r="B32" s="43" t="s">
        <v>2815</v>
      </c>
      <c r="C32" s="44"/>
      <c r="D32" s="44" t="s">
        <v>2816</v>
      </c>
      <c r="E32" s="4" t="str">
        <f ca="1">IFERROR(__xludf.DUMMYFUNCTION("""COMPUTED_VALUE"""),"nǐ quèdìng ma?")</f>
        <v>nǐ quèdìng ma?</v>
      </c>
    </row>
    <row r="33" spans="1:5" ht="14.25" customHeight="1">
      <c r="A33" s="41" t="s">
        <v>2817</v>
      </c>
      <c r="B33" s="41" t="s">
        <v>2818</v>
      </c>
      <c r="C33" s="42"/>
      <c r="D33" s="42"/>
      <c r="E33" s="4" t="str">
        <f ca="1">IFERROR(__xludf.DUMMYFUNCTION("""COMPUTED_VALUE"""),"Xīwàng rúcǐ")</f>
        <v>Xīwàng rúcǐ</v>
      </c>
    </row>
    <row r="34" spans="1:5" ht="14.25" customHeight="1">
      <c r="A34" s="41" t="s">
        <v>2819</v>
      </c>
      <c r="B34" s="43" t="s">
        <v>2820</v>
      </c>
      <c r="C34" s="44"/>
      <c r="D34" s="44" t="s">
        <v>2821</v>
      </c>
      <c r="E34" s="4" t="str">
        <f ca="1">IFERROR(__xludf.DUMMYFUNCTION("""COMPUTED_VALUE"""),"bié dānxīn")</f>
        <v>bié dānxīn</v>
      </c>
    </row>
    <row r="35" spans="1:5" ht="14.25" customHeight="1">
      <c r="A35" s="41" t="s">
        <v>2822</v>
      </c>
      <c r="B35" s="43" t="s">
        <v>2823</v>
      </c>
      <c r="C35" s="44"/>
      <c r="D35" s="44"/>
      <c r="E35" s="8" t="str">
        <f ca="1">IFERROR(__xludf.DUMMYFUNCTION("""COMPUTED_VALUE"""),"yīqiè dūhuì hǎo qǐlái de")</f>
        <v>yīqiè dūhuì hǎo qǐlái de</v>
      </c>
    </row>
    <row r="36" spans="1:5" ht="14.25" customHeight="1">
      <c r="A36" s="41" t="s">
        <v>2824</v>
      </c>
      <c r="B36" s="43" t="s">
        <v>2825</v>
      </c>
      <c r="C36" s="44"/>
      <c r="D36" s="44" t="s">
        <v>2826</v>
      </c>
      <c r="E36" s="5" t="str">
        <f ca="1">IFERROR(__xludf.DUMMYFUNCTION("""COMPUTED_VALUE"""),"wǒ juédé hěn yǒuqù")</f>
        <v>wǒ juédé hěn yǒuqù</v>
      </c>
    </row>
    <row r="37" spans="1:5" ht="14.25" customHeight="1">
      <c r="A37" s="41" t="s">
        <v>2827</v>
      </c>
      <c r="B37" s="43" t="s">
        <v>2828</v>
      </c>
      <c r="C37" s="44"/>
      <c r="D37" s="44"/>
      <c r="E37" s="8" t="str">
        <f ca="1">IFERROR(__xludf.DUMMYFUNCTION("""COMPUTED_VALUE"""),"wǒ gǎnjué yǒudiǎn bù zìzài")</f>
        <v>wǒ gǎnjué yǒudiǎn bù zìzài</v>
      </c>
    </row>
    <row r="38" spans="1:5" ht="14.25" customHeight="1">
      <c r="A38" s="41" t="s">
        <v>2829</v>
      </c>
      <c r="B38" s="43" t="s">
        <v>2830</v>
      </c>
      <c r="C38" s="44"/>
      <c r="D38" s="44" t="s">
        <v>2831</v>
      </c>
      <c r="E38" s="5" t="str">
        <f ca="1">IFERROR(__xludf.DUMMYFUNCTION("""COMPUTED_VALUE"""),"qǐng lěngjìng xiàlái")</f>
        <v>qǐng lěngjìng xiàlái</v>
      </c>
    </row>
    <row r="39" spans="1:5" ht="14.25" customHeight="1">
      <c r="A39" s="41" t="s">
        <v>2832</v>
      </c>
      <c r="B39" s="43" t="s">
        <v>2833</v>
      </c>
      <c r="C39" s="44"/>
      <c r="D39" s="44"/>
      <c r="E39" s="6" t="str">
        <f ca="1">IFERROR(__xludf.DUMMYFUNCTION("""COMPUTED_VALUE"""),"wǒ hěn gǎnjī")</f>
        <v>wǒ hěn gǎnjī</v>
      </c>
    </row>
    <row r="40" spans="1:5" ht="14.25" customHeight="1">
      <c r="A40" s="41" t="s">
        <v>2834</v>
      </c>
      <c r="B40" s="41" t="s">
        <v>2835</v>
      </c>
      <c r="C40" s="42"/>
      <c r="D40" s="42" t="s">
        <v>2836</v>
      </c>
      <c r="E40" s="6" t="str">
        <f ca="1">IFERROR(__xludf.DUMMYFUNCTION("""COMPUTED_VALUE"""),"wǒ juédé zìjǐ hěn xìngyùn")</f>
        <v>wǒ juédé zìjǐ hěn xìngyùn</v>
      </c>
    </row>
    <row r="41" spans="1:5" ht="14.25" customHeight="1">
      <c r="A41" s="41" t="s">
        <v>2837</v>
      </c>
      <c r="B41" s="43" t="s">
        <v>2838</v>
      </c>
      <c r="C41" s="44"/>
      <c r="D41" s="44"/>
      <c r="E41" s="5" t="str">
        <f ca="1">IFERROR(__xludf.DUMMYFUNCTION("""COMPUTED_VALUE"""),"zhēnshi tài kěxíle!")</f>
        <v>zhēnshi tài kěxíle!</v>
      </c>
    </row>
    <row r="42" spans="1:5" ht="14.25" customHeight="1">
      <c r="A42" s="41" t="s">
        <v>2839</v>
      </c>
      <c r="B42" s="43" t="s">
        <v>2840</v>
      </c>
      <c r="C42" s="44"/>
      <c r="D42" s="44" t="s">
        <v>2841</v>
      </c>
      <c r="E42" s="4" t="str">
        <f ca="1">IFERROR(__xludf.DUMMYFUNCTION("""COMPUTED_VALUE"""),"Wǒ bùshì nàgè yìsi")</f>
        <v>Wǒ bùshì nàgè yìsi</v>
      </c>
    </row>
    <row r="43" spans="1:5" ht="14.25" customHeight="1">
      <c r="A43" s="41" t="s">
        <v>2842</v>
      </c>
      <c r="B43" s="43" t="s">
        <v>2843</v>
      </c>
      <c r="C43" s="44"/>
      <c r="D43" s="44"/>
      <c r="E43" s="5" t="str">
        <f ca="1">IFERROR(__xludf.DUMMYFUNCTION("""COMPUTED_VALUE"""),"duìbùqǐ ràng nǐ nánguòle")</f>
        <v>duìbùqǐ ràng nǐ nánguòle</v>
      </c>
    </row>
    <row r="44" spans="1:5" ht="14.25" customHeight="1">
      <c r="A44" s="41" t="s">
        <v>2844</v>
      </c>
      <c r="B44" s="43" t="s">
        <v>2845</v>
      </c>
      <c r="C44" s="44"/>
      <c r="D44" s="44" t="s">
        <v>2846</v>
      </c>
      <c r="E44" s="4" t="str">
        <f ca="1">IFERROR(__xludf.DUMMYFUNCTION("""COMPUTED_VALUE"""),"wǒ huì jìnlì de")</f>
        <v>wǒ huì jìnlì de</v>
      </c>
    </row>
    <row r="45" spans="1:5" ht="14.25" customHeight="1">
      <c r="A45" s="41" t="s">
        <v>2847</v>
      </c>
      <c r="B45" s="43" t="s">
        <v>2848</v>
      </c>
      <c r="C45" s="44" t="s">
        <v>2849</v>
      </c>
      <c r="D45" s="44"/>
      <c r="E45" s="5" t="str">
        <f ca="1">IFERROR(__xludf.DUMMYFUNCTION("""COMPUTED_VALUE"""),"wǒ xiāngxìn nǐ")</f>
        <v>wǒ xiāngxìn nǐ</v>
      </c>
    </row>
    <row r="46" spans="1:5" ht="14.25" customHeight="1">
      <c r="A46" s="41" t="s">
        <v>2850</v>
      </c>
      <c r="B46" s="43" t="s">
        <v>2851</v>
      </c>
      <c r="C46" s="44"/>
      <c r="D46" s="44" t="s">
        <v>2852</v>
      </c>
      <c r="E46" s="4" t="str">
        <f ca="1">IFERROR(__xludf.DUMMYFUNCTION("""COMPUTED_VALUE"""),"bùyào fàngqì!")</f>
        <v>bùyào fàngqì!</v>
      </c>
    </row>
    <row r="47" spans="1:5" ht="14.25" customHeight="1">
      <c r="A47" s="41" t="s">
        <v>2853</v>
      </c>
      <c r="B47" s="43" t="s">
        <v>2854</v>
      </c>
      <c r="C47" s="44"/>
      <c r="D47" s="44"/>
      <c r="E47" s="4" t="str">
        <f ca="1">IFERROR(__xludf.DUMMYFUNCTION("""COMPUTED_VALUE"""),"Nǐ ràng wǒ gǎndào kuàilè")</f>
        <v>Nǐ ràng wǒ gǎndào kuàilè</v>
      </c>
    </row>
    <row r="48" spans="1:5" ht="14.25" customHeight="1">
      <c r="A48" s="41" t="s">
        <v>2855</v>
      </c>
      <c r="B48" s="43" t="s">
        <v>2856</v>
      </c>
      <c r="C48" s="44" t="s">
        <v>2857</v>
      </c>
      <c r="D48" s="44" t="s">
        <v>2858</v>
      </c>
      <c r="E48" s="4" t="str">
        <f ca="1">IFERROR(__xludf.DUMMYFUNCTION("""COMPUTED_VALUE"""),"wǒ xǐhuān nǐ dì xìnggé")</f>
        <v>wǒ xǐhuān nǐ dì xìnggé</v>
      </c>
    </row>
    <row r="49" spans="1:5" ht="14.25" customHeight="1">
      <c r="A49" s="41" t="s">
        <v>2859</v>
      </c>
      <c r="B49" s="43" t="s">
        <v>2860</v>
      </c>
      <c r="C49" s="44"/>
      <c r="D49" s="44"/>
      <c r="E49" s="5" t="str">
        <f ca="1">IFERROR(__xludf.DUMMYFUNCTION("""COMPUTED_VALUE"""),"zhēnshi gè hǎo zhǔyì!")</f>
        <v>zhēnshi gè hǎo zhǔyì!</v>
      </c>
    </row>
    <row r="50" spans="1:5" ht="14.25" customHeight="1">
      <c r="A50" s="41" t="s">
        <v>2861</v>
      </c>
      <c r="B50" s="43" t="s">
        <v>2862</v>
      </c>
      <c r="C50" s="44"/>
      <c r="D50" s="44" t="s">
        <v>2863</v>
      </c>
      <c r="E50" s="6" t="str">
        <f ca="1">IFERROR(__xludf.DUMMYFUNCTION("""COMPUTED_VALUE"""),"Wǒ zài zhèlǐ gǎnjué hěn shūfú")</f>
        <v>Wǒ zài zhèlǐ gǎnjué hěn shūfú</v>
      </c>
    </row>
    <row r="51" spans="1:5" ht="14.25" customHeight="1">
      <c r="A51" s="41" t="s">
        <v>2864</v>
      </c>
      <c r="B51" s="43" t="s">
        <v>2865</v>
      </c>
      <c r="C51" s="44"/>
      <c r="D51" s="44"/>
      <c r="E51" s="6" t="str">
        <f ca="1">IFERROR(__xludf.DUMMYFUNCTION("""COMPUTED_VALUE"""),"zhù nǐ xìngfú!")</f>
        <v>zhù nǐ xìngfú!</v>
      </c>
    </row>
    <row r="52" spans="1:5" ht="14.25" customHeight="1">
      <c r="A52" s="42"/>
      <c r="B52" s="46"/>
      <c r="C52" s="44"/>
      <c r="D52" s="44" t="s">
        <v>2866</v>
      </c>
    </row>
    <row r="53" spans="1:5" ht="14.25" customHeight="1">
      <c r="A53" s="42"/>
      <c r="B53" s="46"/>
      <c r="C53" s="44"/>
      <c r="D53" s="44"/>
      <c r="E53" s="5"/>
    </row>
    <row r="54" spans="1:5" ht="14.25" customHeight="1">
      <c r="A54" s="42"/>
      <c r="B54" s="46"/>
      <c r="C54" s="44"/>
      <c r="D54" s="44" t="s">
        <v>2867</v>
      </c>
      <c r="E54" s="5"/>
    </row>
    <row r="55" spans="1:5" ht="14.25" customHeight="1">
      <c r="A55" s="42"/>
      <c r="B55" s="46"/>
      <c r="C55" s="44"/>
      <c r="D55" s="44"/>
      <c r="E55" s="5"/>
    </row>
    <row r="56" spans="1:5" ht="14.25" customHeight="1">
      <c r="A56" s="42"/>
      <c r="B56" s="46"/>
      <c r="C56" s="44"/>
      <c r="D56" s="44" t="s">
        <v>2868</v>
      </c>
      <c r="E56" s="5"/>
    </row>
    <row r="57" spans="1:5" ht="14.25" customHeight="1">
      <c r="A57" s="42"/>
      <c r="B57" s="46"/>
      <c r="C57" s="44"/>
      <c r="D57" s="44"/>
      <c r="E57" s="5"/>
    </row>
    <row r="58" spans="1:5" ht="14.25" customHeight="1">
      <c r="A58" s="42"/>
      <c r="B58" s="46"/>
      <c r="C58" s="44"/>
      <c r="D58" s="44" t="s">
        <v>2869</v>
      </c>
      <c r="E58" s="5"/>
    </row>
    <row r="59" spans="1:5" ht="14.25" customHeight="1">
      <c r="A59" s="42"/>
      <c r="B59" s="46"/>
      <c r="C59" s="44"/>
      <c r="D59" s="44"/>
    </row>
    <row r="60" spans="1:5" ht="14.25" customHeight="1">
      <c r="A60" s="42"/>
      <c r="B60" s="46"/>
      <c r="C60" s="44"/>
      <c r="D60" s="44" t="s">
        <v>2870</v>
      </c>
      <c r="E60" s="5"/>
    </row>
    <row r="61" spans="1:5" ht="14.25" customHeight="1">
      <c r="A61" s="42"/>
      <c r="B61" s="46"/>
      <c r="C61" s="44"/>
      <c r="D61" s="44" t="s">
        <v>2871</v>
      </c>
      <c r="E61" s="5"/>
    </row>
    <row r="62" spans="1:5" ht="14.25" customHeight="1">
      <c r="A62" s="42"/>
      <c r="B62" s="46"/>
      <c r="C62" s="44"/>
      <c r="D62" s="44" t="s">
        <v>2872</v>
      </c>
      <c r="E62" s="5"/>
    </row>
    <row r="63" spans="1:5" ht="14.25" customHeight="1">
      <c r="A63" s="42"/>
      <c r="B63" s="46"/>
      <c r="C63" s="44"/>
      <c r="D63" s="44" t="s">
        <v>2873</v>
      </c>
      <c r="E63" s="5"/>
    </row>
    <row r="64" spans="1:5" ht="14.25" customHeight="1">
      <c r="A64" s="42"/>
      <c r="B64" s="46"/>
      <c r="C64" s="44"/>
      <c r="D64" s="44" t="s">
        <v>2874</v>
      </c>
      <c r="E64" s="5"/>
    </row>
    <row r="65" spans="1:5" ht="14.25" customHeight="1">
      <c r="A65" s="42"/>
      <c r="B65" s="46"/>
      <c r="C65" s="44"/>
      <c r="D65" s="44" t="s">
        <v>2875</v>
      </c>
      <c r="E65" s="5"/>
    </row>
    <row r="66" spans="1:5" ht="14.25" customHeight="1">
      <c r="A66" s="42"/>
      <c r="B66" s="46"/>
      <c r="C66" s="44"/>
      <c r="D66" s="44" t="s">
        <v>2876</v>
      </c>
      <c r="E66" s="5"/>
    </row>
    <row r="67" spans="1:5" ht="14.25" customHeight="1">
      <c r="A67" s="42"/>
      <c r="B67" s="46"/>
      <c r="C67" s="44"/>
      <c r="D67" s="44"/>
      <c r="E67" s="5"/>
    </row>
    <row r="68" spans="1:5" ht="14.25" customHeight="1">
      <c r="A68" s="42"/>
      <c r="B68" s="46"/>
      <c r="C68" s="44"/>
      <c r="D68" s="44" t="s">
        <v>2877</v>
      </c>
      <c r="E68" s="5"/>
    </row>
    <row r="69" spans="1:5" ht="14.25" customHeight="1">
      <c r="A69" s="42"/>
      <c r="B69" s="46"/>
      <c r="C69" s="44"/>
      <c r="D69" s="44" t="s">
        <v>2878</v>
      </c>
      <c r="E69" s="5"/>
    </row>
    <row r="70" spans="1:5" ht="14.25" customHeight="1">
      <c r="A70" s="42"/>
      <c r="B70" s="46"/>
      <c r="C70" s="44"/>
      <c r="D70" s="44"/>
      <c r="E70" s="5"/>
    </row>
    <row r="71" spans="1:5" ht="14.25" customHeight="1">
      <c r="A71" s="42"/>
      <c r="B71" s="46"/>
      <c r="C71" s="44"/>
      <c r="D71" s="44" t="s">
        <v>2879</v>
      </c>
      <c r="E71" s="5"/>
    </row>
    <row r="72" spans="1:5" ht="14.25" customHeight="1">
      <c r="A72" s="42"/>
      <c r="B72" s="46"/>
      <c r="C72" s="44"/>
      <c r="D72" s="44" t="s">
        <v>2880</v>
      </c>
      <c r="E72" s="5"/>
    </row>
    <row r="73" spans="1:5" ht="14.25" customHeight="1">
      <c r="A73" s="42"/>
      <c r="B73" s="46"/>
      <c r="C73" s="44"/>
      <c r="D73" s="44" t="s">
        <v>2881</v>
      </c>
      <c r="E73" s="5"/>
    </row>
    <row r="74" spans="1:5" ht="14.25" customHeight="1">
      <c r="A74" s="42"/>
      <c r="B74" s="46"/>
      <c r="C74" s="44"/>
      <c r="D74" s="44"/>
      <c r="E74" s="5"/>
    </row>
    <row r="75" spans="1:5" ht="14.25" customHeight="1">
      <c r="A75" s="42"/>
      <c r="B75" s="46"/>
      <c r="C75" s="44"/>
      <c r="D75" s="44" t="s">
        <v>2882</v>
      </c>
      <c r="E75" s="5"/>
    </row>
    <row r="76" spans="1:5" ht="14.25" customHeight="1">
      <c r="A76" s="42"/>
      <c r="B76" s="46"/>
      <c r="C76" s="44"/>
      <c r="D76" s="44"/>
      <c r="E76" s="5"/>
    </row>
    <row r="77" spans="1:5" ht="14.25" customHeight="1">
      <c r="A77" s="42"/>
      <c r="B77" s="46"/>
      <c r="C77" s="44"/>
      <c r="D77" s="44" t="s">
        <v>2883</v>
      </c>
      <c r="E77" s="5"/>
    </row>
    <row r="78" spans="1:5" ht="14.25" customHeight="1">
      <c r="A78" s="42"/>
      <c r="B78" s="46"/>
      <c r="C78" s="44"/>
      <c r="D78" s="44"/>
      <c r="E78" s="5"/>
    </row>
    <row r="79" spans="1:5" ht="14.25" customHeight="1">
      <c r="A79" s="42"/>
      <c r="B79" s="46"/>
      <c r="C79" s="44"/>
      <c r="D79" s="44" t="s">
        <v>2884</v>
      </c>
      <c r="E79" s="5"/>
    </row>
    <row r="80" spans="1:5" ht="14.25" customHeight="1">
      <c r="A80" s="42"/>
      <c r="B80" s="46"/>
      <c r="C80" s="44"/>
      <c r="D80" s="44"/>
      <c r="E80" s="5"/>
    </row>
    <row r="81" spans="1:5" ht="14.25" customHeight="1">
      <c r="A81" s="42"/>
      <c r="B81" s="46"/>
      <c r="C81" s="44"/>
      <c r="D81" s="44" t="s">
        <v>2885</v>
      </c>
      <c r="E81" s="5"/>
    </row>
    <row r="82" spans="1:5" ht="14.25" customHeight="1">
      <c r="A82" s="42"/>
      <c r="B82" s="46"/>
      <c r="C82" s="44"/>
      <c r="D82" s="44"/>
      <c r="E82" s="5"/>
    </row>
    <row r="83" spans="1:5" ht="14.25" customHeight="1">
      <c r="A83" s="42"/>
      <c r="B83" s="46"/>
      <c r="C83" s="44"/>
      <c r="D83" s="44" t="s">
        <v>2886</v>
      </c>
      <c r="E83" s="5"/>
    </row>
    <row r="84" spans="1:5" ht="14.25" customHeight="1">
      <c r="A84" s="42"/>
      <c r="B84" s="46"/>
      <c r="C84" s="44"/>
      <c r="D84" s="44"/>
      <c r="E84" s="5"/>
    </row>
    <row r="85" spans="1:5" ht="14.25" customHeight="1">
      <c r="A85" s="42"/>
      <c r="B85" s="46"/>
      <c r="C85" s="44"/>
      <c r="D85" s="44"/>
      <c r="E85" s="5"/>
    </row>
    <row r="86" spans="1:5" ht="14.25" customHeight="1">
      <c r="A86" s="42"/>
      <c r="B86" s="46"/>
      <c r="C86" s="44"/>
      <c r="D86" s="44"/>
      <c r="E86" s="5"/>
    </row>
    <row r="87" spans="1:5" ht="14.25" customHeight="1">
      <c r="A87" s="42"/>
      <c r="B87" s="46"/>
      <c r="C87" s="44"/>
      <c r="D87" s="44"/>
      <c r="E87" s="5"/>
    </row>
    <row r="88" spans="1:5" ht="14.25" customHeight="1">
      <c r="A88" s="42"/>
      <c r="B88" s="46"/>
      <c r="C88" s="44"/>
      <c r="D88" s="44"/>
      <c r="E88" s="5"/>
    </row>
    <row r="89" spans="1:5" ht="14.25" customHeight="1">
      <c r="A89" s="42"/>
      <c r="B89" s="46"/>
      <c r="C89" s="44"/>
      <c r="D89" s="44"/>
      <c r="E89" s="5"/>
    </row>
    <row r="90" spans="1:5" ht="14.25" customHeight="1">
      <c r="A90" s="42"/>
      <c r="B90" s="46"/>
      <c r="C90" s="44"/>
      <c r="D90" s="44"/>
      <c r="E90" s="5"/>
    </row>
    <row r="91" spans="1:5" ht="14.25" customHeight="1">
      <c r="A91" s="42"/>
      <c r="B91" s="46"/>
      <c r="C91" s="44"/>
      <c r="D91" s="44"/>
      <c r="E91" s="5"/>
    </row>
    <row r="92" spans="1:5" ht="14.25" customHeight="1">
      <c r="A92" s="42"/>
      <c r="B92" s="46"/>
      <c r="C92" s="44"/>
      <c r="D92" s="44"/>
      <c r="E92" s="5"/>
    </row>
    <row r="93" spans="1:5" ht="14.25" customHeight="1">
      <c r="A93" s="42"/>
      <c r="B93" s="46"/>
      <c r="C93" s="44"/>
      <c r="D93" s="44"/>
      <c r="E93" s="5"/>
    </row>
    <row r="94" spans="1:5" ht="14.25" customHeight="1">
      <c r="A94" s="42"/>
      <c r="B94" s="46"/>
      <c r="C94" s="44"/>
      <c r="D94" s="44"/>
      <c r="E94" s="5"/>
    </row>
    <row r="95" spans="1:5" ht="14.25" customHeight="1">
      <c r="A95" s="42"/>
      <c r="B95" s="46"/>
      <c r="C95" s="44"/>
      <c r="D95" s="44"/>
      <c r="E95" s="5"/>
    </row>
    <row r="96" spans="1:5" ht="14.25" customHeight="1">
      <c r="A96" s="42"/>
      <c r="B96" s="46"/>
      <c r="C96" s="44"/>
      <c r="D96" s="44"/>
      <c r="E96" s="5"/>
    </row>
    <row r="97" spans="1:5" ht="14.25" customHeight="1">
      <c r="A97" s="42"/>
      <c r="B97" s="46"/>
      <c r="C97" s="44"/>
      <c r="D97" s="44"/>
      <c r="E97" s="5"/>
    </row>
    <row r="98" spans="1:5" ht="14.25" customHeight="1">
      <c r="A98" s="42"/>
      <c r="B98" s="46"/>
      <c r="C98" s="44"/>
      <c r="D98" s="44"/>
      <c r="E98" s="5"/>
    </row>
  </sheetData>
  <pageMargins left="0.75" right="0.75" top="1" bottom="1"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53.5546875" customWidth="1"/>
    <col min="5" max="5" width="56.88671875" customWidth="1"/>
  </cols>
  <sheetData>
    <row r="1" spans="1:5" ht="14.25" customHeight="1">
      <c r="A1" s="48" t="s">
        <v>2887</v>
      </c>
      <c r="B1" s="49"/>
      <c r="C1" s="50"/>
      <c r="D1" s="50"/>
      <c r="E1" s="2"/>
    </row>
    <row r="2" spans="1:5" ht="14.25" customHeight="1">
      <c r="A2" s="41" t="s">
        <v>2888</v>
      </c>
      <c r="B2" s="41" t="s">
        <v>2889</v>
      </c>
      <c r="C2" s="42"/>
      <c r="D2" s="42" t="s">
        <v>2890</v>
      </c>
      <c r="E2" s="5" t="str">
        <f ca="1">IFERROR(__xludf.DUMMYFUNCTION("FILTER(D1:D1002,D1:D1002&lt;&gt; """")"),"Yī")</f>
        <v>Yī</v>
      </c>
    </row>
    <row r="3" spans="1:5" ht="14.25" customHeight="1">
      <c r="A3" s="41" t="s">
        <v>2891</v>
      </c>
      <c r="B3" s="41" t="s">
        <v>2892</v>
      </c>
      <c r="C3" s="42"/>
      <c r="D3" s="42"/>
      <c r="E3" s="6" t="str">
        <f ca="1">IFERROR(__xludf.DUMMYFUNCTION("""COMPUTED_VALUE"""),"èr")</f>
        <v>èr</v>
      </c>
    </row>
    <row r="4" spans="1:5" ht="14.25" customHeight="1">
      <c r="A4" s="41" t="s">
        <v>2893</v>
      </c>
      <c r="B4" s="41" t="s">
        <v>2894</v>
      </c>
      <c r="C4" s="42"/>
      <c r="D4" s="42" t="s">
        <v>2895</v>
      </c>
      <c r="E4" s="5" t="str">
        <f ca="1">IFERROR(__xludf.DUMMYFUNCTION("""COMPUTED_VALUE"""),"sān")</f>
        <v>sān</v>
      </c>
    </row>
    <row r="5" spans="1:5" ht="14.25" customHeight="1">
      <c r="A5" s="41" t="s">
        <v>2896</v>
      </c>
      <c r="B5" s="41" t="s">
        <v>2897</v>
      </c>
      <c r="C5" s="42"/>
      <c r="D5" s="42" t="s">
        <v>2898</v>
      </c>
      <c r="E5" s="5" t="str">
        <f ca="1">IFERROR(__xludf.DUMMYFUNCTION("""COMPUTED_VALUE"""),"sì")</f>
        <v>sì</v>
      </c>
    </row>
    <row r="6" spans="1:5" ht="14.25" customHeight="1">
      <c r="A6" s="41" t="s">
        <v>2899</v>
      </c>
      <c r="B6" s="41" t="s">
        <v>2900</v>
      </c>
      <c r="C6" s="42"/>
      <c r="D6" s="42" t="s">
        <v>2901</v>
      </c>
      <c r="E6" s="5" t="str">
        <f ca="1">IFERROR(__xludf.DUMMYFUNCTION("""COMPUTED_VALUE"""),"wǔ")</f>
        <v>wǔ</v>
      </c>
    </row>
    <row r="7" spans="1:5" ht="14.25" customHeight="1">
      <c r="A7" s="41" t="s">
        <v>2902</v>
      </c>
      <c r="B7" s="41" t="s">
        <v>2903</v>
      </c>
      <c r="C7" s="42"/>
      <c r="D7" s="42" t="s">
        <v>2904</v>
      </c>
      <c r="E7" s="5" t="str">
        <f ca="1">IFERROR(__xludf.DUMMYFUNCTION("""COMPUTED_VALUE"""),"liù")</f>
        <v>liù</v>
      </c>
    </row>
    <row r="8" spans="1:5" ht="14.25" customHeight="1">
      <c r="A8" s="41" t="s">
        <v>2905</v>
      </c>
      <c r="B8" s="41" t="s">
        <v>2906</v>
      </c>
      <c r="C8" s="42"/>
      <c r="D8" s="42" t="s">
        <v>2907</v>
      </c>
      <c r="E8" s="5" t="str">
        <f ca="1">IFERROR(__xludf.DUMMYFUNCTION("""COMPUTED_VALUE"""),"qī")</f>
        <v>qī</v>
      </c>
    </row>
    <row r="9" spans="1:5" ht="14.25" customHeight="1">
      <c r="A9" s="41" t="s">
        <v>2908</v>
      </c>
      <c r="B9" s="41" t="s">
        <v>2909</v>
      </c>
      <c r="C9" s="42"/>
      <c r="D9" s="42" t="s">
        <v>2910</v>
      </c>
      <c r="E9" s="5" t="str">
        <f ca="1">IFERROR(__xludf.DUMMYFUNCTION("""COMPUTED_VALUE"""),"bā")</f>
        <v>bā</v>
      </c>
    </row>
    <row r="10" spans="1:5" ht="14.25" customHeight="1">
      <c r="A10" s="41" t="s">
        <v>2911</v>
      </c>
      <c r="B10" s="41" t="s">
        <v>2912</v>
      </c>
      <c r="C10" s="42"/>
      <c r="D10" s="42" t="s">
        <v>2913</v>
      </c>
      <c r="E10" s="5" t="str">
        <f ca="1">IFERROR(__xludf.DUMMYFUNCTION("""COMPUTED_VALUE"""),"jiǔ")</f>
        <v>jiǔ</v>
      </c>
    </row>
    <row r="11" spans="1:5" ht="14.25" customHeight="1">
      <c r="A11" s="41" t="s">
        <v>2914</v>
      </c>
      <c r="B11" s="41" t="s">
        <v>2915</v>
      </c>
      <c r="C11" s="42"/>
      <c r="D11" s="42" t="s">
        <v>2916</v>
      </c>
      <c r="E11" s="5" t="str">
        <f ca="1">IFERROR(__xludf.DUMMYFUNCTION("""COMPUTED_VALUE"""),"shí")</f>
        <v>shí</v>
      </c>
    </row>
    <row r="12" spans="1:5" ht="14.25" customHeight="1">
      <c r="A12" s="41" t="s">
        <v>2917</v>
      </c>
      <c r="B12" s="43" t="s">
        <v>2918</v>
      </c>
      <c r="C12" s="44"/>
      <c r="D12" s="44" t="s">
        <v>2919</v>
      </c>
      <c r="E12" s="6" t="str">
        <f ca="1">IFERROR(__xludf.DUMMYFUNCTION("""COMPUTED_VALUE"""),"wǒ xiǎng mǎi 3 kē táng.")</f>
        <v>wǒ xiǎng mǎi 3 kē táng.</v>
      </c>
    </row>
    <row r="13" spans="1:5" ht="14.25" customHeight="1">
      <c r="A13" s="41" t="s">
        <v>2920</v>
      </c>
      <c r="B13" s="43" t="s">
        <v>2921</v>
      </c>
      <c r="C13" s="44"/>
      <c r="D13" s="44" t="s">
        <v>2922</v>
      </c>
      <c r="E13" s="6" t="str">
        <f ca="1">IFERROR(__xludf.DUMMYFUNCTION("""COMPUTED_VALUE"""),"Wǒ yǒu liǎng gè péngyǒu.")</f>
        <v>Wǒ yǒu liǎng gè péngyǒu.</v>
      </c>
    </row>
    <row r="14" spans="1:5" ht="14.25" customHeight="1">
      <c r="A14" s="41" t="s">
        <v>2923</v>
      </c>
      <c r="B14" s="43" t="s">
        <v>2924</v>
      </c>
      <c r="C14" s="44"/>
      <c r="D14" s="44"/>
      <c r="E14" s="6" t="str">
        <f ca="1">IFERROR(__xludf.DUMMYFUNCTION("""COMPUTED_VALUE"""),"Wǒ kěyǐ yào 5 bǐsuǒ ma?")</f>
        <v>Wǒ kěyǐ yào 5 bǐsuǒ ma?</v>
      </c>
    </row>
    <row r="15" spans="1:5" ht="14.25" customHeight="1">
      <c r="A15" s="41" t="s">
        <v>2925</v>
      </c>
      <c r="B15" s="43" t="s">
        <v>2926</v>
      </c>
      <c r="C15" s="44"/>
      <c r="D15" s="44" t="s">
        <v>2927</v>
      </c>
      <c r="E15" s="6" t="str">
        <f ca="1">IFERROR(__xludf.DUMMYFUNCTION("""COMPUTED_VALUE"""),"Zhè shì shénme yánsè?")</f>
        <v>Zhè shì shénme yánsè?</v>
      </c>
    </row>
    <row r="16" spans="1:5" ht="14.25" customHeight="1">
      <c r="A16" s="41" t="s">
        <v>2928</v>
      </c>
      <c r="B16" s="43" t="s">
        <v>2929</v>
      </c>
      <c r="C16" s="44"/>
      <c r="D16" s="44"/>
      <c r="E16" s="6" t="str">
        <f ca="1">IFERROR(__xludf.DUMMYFUNCTION("""COMPUTED_VALUE"""),"Tā shì hóngsè de.")</f>
        <v>Tā shì hóngsè de.</v>
      </c>
    </row>
    <row r="17" spans="1:5" ht="14.25" customHeight="1">
      <c r="A17" s="41" t="s">
        <v>2930</v>
      </c>
      <c r="B17" s="43" t="s">
        <v>2931</v>
      </c>
      <c r="C17" s="44"/>
      <c r="D17" s="44" t="s">
        <v>2932</v>
      </c>
      <c r="E17" s="6" t="str">
        <f ca="1">IFERROR(__xludf.DUMMYFUNCTION("""COMPUTED_VALUE"""),"Wǒ xǐhuān lǜsè.")</f>
        <v>Wǒ xǐhuān lǜsè.</v>
      </c>
    </row>
    <row r="18" spans="1:5" ht="14.25" customHeight="1">
      <c r="A18" s="41" t="s">
        <v>2933</v>
      </c>
      <c r="B18" s="43" t="s">
        <v>2934</v>
      </c>
      <c r="C18" s="44"/>
      <c r="D18" s="44"/>
      <c r="E18" s="5" t="str">
        <f ca="1">IFERROR(__xludf.DUMMYFUNCTION("""COMPUTED_VALUE"""),"Tiānkōng shì lán sè de.")</f>
        <v>Tiānkōng shì lán sè de.</v>
      </c>
    </row>
    <row r="19" spans="1:5" ht="14.25" customHeight="1">
      <c r="A19" s="41" t="s">
        <v>2935</v>
      </c>
      <c r="B19" s="43" t="s">
        <v>2936</v>
      </c>
      <c r="C19" s="44" t="s">
        <v>2937</v>
      </c>
      <c r="D19" s="44" t="s">
        <v>2938</v>
      </c>
      <c r="E19" s="4" t="str">
        <f ca="1">IFERROR(__xludf.DUMMYFUNCTION("""COMPUTED_VALUE"""),"Xiāngjiāo shì huángsè de.")</f>
        <v>Xiāngjiāo shì huángsè de.</v>
      </c>
    </row>
    <row r="20" spans="1:5" ht="14.25" customHeight="1">
      <c r="A20" s="41" t="s">
        <v>2939</v>
      </c>
      <c r="B20" s="43" t="s">
        <v>2940</v>
      </c>
      <c r="C20" s="44"/>
      <c r="D20" s="44"/>
      <c r="E20" s="5" t="str">
        <f ca="1">IFERROR(__xludf.DUMMYFUNCTION("""COMPUTED_VALUE""")," Zhè jiàn chènshān shì báisè de.")</f>
        <v xml:space="preserve"> Zhè jiàn chènshān shì báisè de.</v>
      </c>
    </row>
    <row r="21" spans="1:5" ht="14.25" customHeight="1">
      <c r="A21" s="41" t="s">
        <v>2941</v>
      </c>
      <c r="B21" s="43" t="s">
        <v>2942</v>
      </c>
      <c r="C21" s="44"/>
      <c r="D21" s="44" t="s">
        <v>2943</v>
      </c>
      <c r="E21" s="6" t="str">
        <f ca="1">IFERROR(__xludf.DUMMYFUNCTION("""COMPUTED_VALUE""")," Māo shì hēisè de.")</f>
        <v xml:space="preserve"> Māo shì hēisè de.</v>
      </c>
    </row>
    <row r="22" spans="1:5" ht="14.25" customHeight="1">
      <c r="A22" s="41" t="s">
        <v>2944</v>
      </c>
      <c r="B22" s="43" t="s">
        <v>2945</v>
      </c>
      <c r="C22" s="44"/>
      <c r="D22" s="44"/>
      <c r="E22" s="6" t="str">
        <f ca="1">IFERROR(__xludf.DUMMYFUNCTION("""COMPUTED_VALUE"""),"Fěnsè hěn kě'ài.")</f>
        <v>Fěnsè hěn kě'ài.</v>
      </c>
    </row>
    <row r="23" spans="1:5" ht="14.25" customHeight="1">
      <c r="A23" s="41" t="s">
        <v>2946</v>
      </c>
      <c r="B23" s="43" t="s">
        <v>2947</v>
      </c>
      <c r="C23" s="44"/>
      <c r="D23" s="44" t="s">
        <v>1313</v>
      </c>
      <c r="E23" s="6" t="str">
        <f ca="1">IFERROR(__xludf.DUMMYFUNCTION("""COMPUTED_VALUE"""),"Wǒ xǐhuān chéngsè.")</f>
        <v>Wǒ xǐhuān chéngsè.</v>
      </c>
    </row>
    <row r="24" spans="1:5" ht="14.25" customHeight="1">
      <c r="A24" s="41" t="s">
        <v>2948</v>
      </c>
      <c r="B24" s="41" t="s">
        <v>2949</v>
      </c>
      <c r="C24" s="42"/>
      <c r="D24" s="42"/>
      <c r="E24" s="6" t="str">
        <f ca="1">IFERROR(__xludf.DUMMYFUNCTION("""COMPUTED_VALUE"""),"Zhè shì yīgè yuán xíng.")</f>
        <v>Zhè shì yīgè yuán xíng.</v>
      </c>
    </row>
    <row r="25" spans="1:5" ht="14.25" customHeight="1">
      <c r="A25" s="41" t="s">
        <v>2950</v>
      </c>
      <c r="B25" s="41" t="s">
        <v>2951</v>
      </c>
      <c r="C25" s="42"/>
      <c r="D25" s="42" t="s">
        <v>2952</v>
      </c>
      <c r="E25" s="6" t="str">
        <f ca="1">IFERROR(__xludf.DUMMYFUNCTION("""COMPUTED_VALUE"""),"Zhè shì yīgè zhèngfāngxíng.")</f>
        <v>Zhè shì yīgè zhèngfāngxíng.</v>
      </c>
    </row>
    <row r="26" spans="1:5" ht="14.25" customHeight="1">
      <c r="A26" s="41" t="s">
        <v>2953</v>
      </c>
      <c r="B26" s="41" t="s">
        <v>2954</v>
      </c>
      <c r="C26" s="42"/>
      <c r="D26" s="42" t="s">
        <v>2955</v>
      </c>
      <c r="E26" s="6" t="str">
        <f ca="1">IFERROR(__xludf.DUMMYFUNCTION("""COMPUTED_VALUE"""),"Zhè shì yīgè sānjiǎoxíng.")</f>
        <v>Zhè shì yīgè sānjiǎoxíng.</v>
      </c>
    </row>
    <row r="27" spans="1:5" ht="14.25" customHeight="1">
      <c r="A27" s="41" t="s">
        <v>2956</v>
      </c>
      <c r="B27" s="43" t="s">
        <v>2957</v>
      </c>
      <c r="C27" s="44" t="s">
        <v>2958</v>
      </c>
      <c r="D27" s="44" t="s">
        <v>2959</v>
      </c>
      <c r="E27" s="6" t="str">
        <f ca="1">IFERROR(__xludf.DUMMYFUNCTION("""COMPUTED_VALUE"""),"Zhège qiú shì shénme xíngzhuàng de?")</f>
        <v>Zhège qiú shì shénme xíngzhuàng de?</v>
      </c>
    </row>
    <row r="28" spans="1:5" ht="14.25" customHeight="1">
      <c r="A28" s="41" t="s">
        <v>2960</v>
      </c>
      <c r="B28" s="43" t="s">
        <v>2961</v>
      </c>
      <c r="C28" s="44"/>
      <c r="D28" s="44" t="s">
        <v>2962</v>
      </c>
      <c r="E28" s="6" t="str">
        <f ca="1">IFERROR(__xludf.DUMMYFUNCTION("""COMPUTED_VALUE"""),"Tā dà háishì xiǎo?")</f>
        <v>Tā dà háishì xiǎo?</v>
      </c>
    </row>
    <row r="29" spans="1:5" ht="14.25" customHeight="1">
      <c r="A29" s="41" t="s">
        <v>2963</v>
      </c>
      <c r="B29" s="41" t="s">
        <v>2964</v>
      </c>
      <c r="C29" s="42"/>
      <c r="D29" s="42" t="s">
        <v>2965</v>
      </c>
      <c r="E29" s="37" t="str">
        <f ca="1">IFERROR(__xludf.DUMMYFUNCTION("""COMPUTED_VALUE"""),"Tā hěn dà!")</f>
        <v>Tā hěn dà!</v>
      </c>
    </row>
    <row r="30" spans="1:5" ht="14.25" customHeight="1">
      <c r="A30" s="41" t="s">
        <v>2966</v>
      </c>
      <c r="B30" s="41" t="s">
        <v>2967</v>
      </c>
      <c r="C30" s="42"/>
      <c r="D30" s="42"/>
      <c r="E30" s="6" t="str">
        <f ca="1">IFERROR(__xludf.DUMMYFUNCTION("""COMPUTED_VALUE"""),"Tā hěn xiǎo")</f>
        <v>Tā hěn xiǎo</v>
      </c>
    </row>
    <row r="31" spans="1:5" ht="14.25" customHeight="1">
      <c r="A31" s="41" t="s">
        <v>2968</v>
      </c>
      <c r="B31" s="43" t="s">
        <v>2969</v>
      </c>
      <c r="C31" s="44" t="s">
        <v>2970</v>
      </c>
      <c r="D31" s="44" t="s">
        <v>2971</v>
      </c>
      <c r="E31" s="4" t="str">
        <f ca="1">IFERROR(__xludf.DUMMYFUNCTION("""COMPUTED_VALUE"""),"Zhè zhāng zhuōzǐ shì chángfāngxíng de. ")</f>
        <v xml:space="preserve">Zhè zhāng zhuōzǐ shì chángfāngxíng de. </v>
      </c>
    </row>
    <row r="32" spans="1:5" ht="14.25" customHeight="1">
      <c r="A32" s="41" t="s">
        <v>2972</v>
      </c>
      <c r="B32" s="43" t="s">
        <v>2973</v>
      </c>
      <c r="C32" s="44"/>
      <c r="D32" s="44"/>
      <c r="E32" s="4" t="str">
        <f ca="1">IFERROR(__xludf.DUMMYFUNCTION("""COMPUTED_VALUE"""),"Wǒ xiǎng yào 10 gè jīdàn.")</f>
        <v>Wǒ xiǎng yào 10 gè jīdàn.</v>
      </c>
    </row>
    <row r="33" spans="1:5" ht="14.25" customHeight="1">
      <c r="A33" s="41" t="s">
        <v>2974</v>
      </c>
      <c r="B33" s="41" t="s">
        <v>2975</v>
      </c>
      <c r="C33" s="42"/>
      <c r="D33" s="42" t="s">
        <v>2976</v>
      </c>
      <c r="E33" s="4" t="str">
        <f ca="1">IFERROR(__xludf.DUMMYFUNCTION("""COMPUTED_VALUE"""),"Yībǎi bǐsuǒ.")</f>
        <v>Yībǎi bǐsuǒ.</v>
      </c>
    </row>
    <row r="34" spans="1:5" ht="14.25" customHeight="1">
      <c r="A34" s="41" t="s">
        <v>2977</v>
      </c>
      <c r="B34" s="43" t="s">
        <v>2978</v>
      </c>
      <c r="C34" s="44"/>
      <c r="D34" s="44"/>
      <c r="E34" s="4" t="str">
        <f ca="1">IFERROR(__xludf.DUMMYFUNCTION("""COMPUTED_VALUE"""),"Yīqiānbǐsuǒ.")</f>
        <v>Yīqiānbǐsuǒ.</v>
      </c>
    </row>
    <row r="35" spans="1:5" ht="14.25" customHeight="1">
      <c r="A35" s="41" t="s">
        <v>2979</v>
      </c>
      <c r="B35" s="43" t="s">
        <v>2980</v>
      </c>
      <c r="C35" s="44"/>
      <c r="D35" s="44" t="s">
        <v>2981</v>
      </c>
      <c r="E35" s="8" t="str">
        <f ca="1">IFERROR(__xludf.DUMMYFUNCTION("""COMPUTED_VALUE"""),"Cóng 1 shù dào 10.")</f>
        <v>Cóng 1 shù dào 10.</v>
      </c>
    </row>
    <row r="36" spans="1:5" ht="14.25" customHeight="1">
      <c r="A36" s="41" t="s">
        <v>2982</v>
      </c>
      <c r="B36" s="43" t="s">
        <v>2983</v>
      </c>
      <c r="C36" s="44"/>
      <c r="D36" s="44"/>
      <c r="E36" s="5" t="str">
        <f ca="1">IFERROR(__xludf.DUMMYFUNCTION("""COMPUTED_VALUE"""),"Wǒ yǒu hěnduō wánjù.")</f>
        <v>Wǒ yǒu hěnduō wánjù.</v>
      </c>
    </row>
    <row r="37" spans="1:5" ht="14.25" customHeight="1">
      <c r="A37" s="41" t="s">
        <v>2984</v>
      </c>
      <c r="B37" s="43" t="s">
        <v>2985</v>
      </c>
      <c r="C37" s="44"/>
      <c r="D37" s="44" t="s">
        <v>2986</v>
      </c>
      <c r="E37" s="8" t="str">
        <f ca="1">IFERROR(__xludf.DUMMYFUNCTION("""COMPUTED_VALUE"""),"Wǒ zhǐyǒu yīgè wánjù.")</f>
        <v>Wǒ zhǐyǒu yīgè wánjù.</v>
      </c>
    </row>
    <row r="38" spans="1:5" ht="14.25" customHeight="1">
      <c r="A38" s="41" t="s">
        <v>2987</v>
      </c>
      <c r="B38" s="43" t="s">
        <v>2988</v>
      </c>
      <c r="C38" s="44"/>
      <c r="D38" s="44"/>
      <c r="E38" s="5" t="str">
        <f ca="1">IFERROR(__xludf.DUMMYFUNCTION("""COMPUTED_VALUE"""),"Zǐsè hěn piàoliang.")</f>
        <v>Zǐsè hěn piàoliang.</v>
      </c>
    </row>
    <row r="39" spans="1:5" ht="14.25" customHeight="1">
      <c r="A39" s="41" t="s">
        <v>2989</v>
      </c>
      <c r="B39" s="43" t="s">
        <v>2990</v>
      </c>
      <c r="C39" s="44"/>
      <c r="D39" s="44" t="s">
        <v>2991</v>
      </c>
      <c r="E39" s="6" t="str">
        <f ca="1">IFERROR(__xludf.DUMMYFUNCTION("""COMPUTED_VALUE""")," Gǒu shì zōngsè de.")</f>
        <v xml:space="preserve"> Gǒu shì zōngsè de.</v>
      </c>
    </row>
    <row r="40" spans="1:5" ht="14.25" customHeight="1">
      <c r="A40" s="41" t="s">
        <v>2992</v>
      </c>
      <c r="B40" s="43" t="s">
        <v>2993</v>
      </c>
      <c r="C40" s="44" t="s">
        <v>2994</v>
      </c>
      <c r="D40" s="44"/>
      <c r="E40" s="6" t="str">
        <f ca="1">IFERROR(__xludf.DUMMYFUNCTION("""COMPUTED_VALUE""")," Wǒ xǐhuān huángsè de xīngxīng.")</f>
        <v xml:space="preserve"> Wǒ xǐhuān huángsè de xīngxīng.</v>
      </c>
    </row>
    <row r="41" spans="1:5" ht="14.25" customHeight="1">
      <c r="A41" s="41" t="s">
        <v>2995</v>
      </c>
      <c r="B41" s="41" t="s">
        <v>2996</v>
      </c>
      <c r="C41" s="42"/>
      <c r="D41" s="42" t="s">
        <v>2997</v>
      </c>
      <c r="E41" s="5" t="str">
        <f ca="1">IFERROR(__xludf.DUMMYFUNCTION("""COMPUTED_VALUE"""),"Xīn xíng. ")</f>
        <v xml:space="preserve">Xīn xíng. </v>
      </c>
    </row>
    <row r="42" spans="1:5" ht="14.25" customHeight="1">
      <c r="A42" s="41" t="s">
        <v>2998</v>
      </c>
      <c r="B42" s="43" t="s">
        <v>2999</v>
      </c>
      <c r="C42" s="44"/>
      <c r="D42" s="44"/>
      <c r="E42" s="4" t="str">
        <f ca="1">IFERROR(__xludf.DUMMYFUNCTION("""COMPUTED_VALUE"""),"Nǐ yǒu duōshǎo zhī bǐ?")</f>
        <v>Nǐ yǒu duōshǎo zhī bǐ?</v>
      </c>
    </row>
    <row r="43" spans="1:5" ht="14.25" customHeight="1">
      <c r="A43" s="41" t="s">
        <v>3000</v>
      </c>
      <c r="B43" s="41" t="s">
        <v>2897</v>
      </c>
      <c r="C43" s="42"/>
      <c r="D43" s="42" t="s">
        <v>3001</v>
      </c>
      <c r="E43" s="5" t="str">
        <f ca="1">IFERROR(__xludf.DUMMYFUNCTION("""COMPUTED_VALUE"""),"Wǒ yǒu 4 zhī bǐ.")</f>
        <v>Wǒ yǒu 4 zhī bǐ.</v>
      </c>
    </row>
    <row r="44" spans="1:5" ht="14.25" customHeight="1">
      <c r="A44" s="41" t="s">
        <v>3002</v>
      </c>
      <c r="B44" s="43" t="s">
        <v>3003</v>
      </c>
      <c r="C44" s="44"/>
      <c r="D44" s="44" t="s">
        <v>3004</v>
      </c>
      <c r="E44" s="4" t="str">
        <f ca="1">IFERROR(__xludf.DUMMYFUNCTION("""COMPUTED_VALUE"""),"Zhè shì shénme shùzì?")</f>
        <v>Zhè shì shénme shùzì?</v>
      </c>
    </row>
    <row r="45" spans="1:5" ht="14.25" customHeight="1">
      <c r="A45" s="41" t="s">
        <v>3005</v>
      </c>
      <c r="B45" s="43" t="s">
        <v>3006</v>
      </c>
      <c r="C45" s="44"/>
      <c r="D45" s="44" t="s">
        <v>3007</v>
      </c>
      <c r="E45" s="5" t="str">
        <f ca="1">IFERROR(__xludf.DUMMYFUNCTION("""COMPUTED_VALUE""")," Bǎ tā tú chéng hóngsè.")</f>
        <v xml:space="preserve"> Bǎ tā tú chéng hóngsè.</v>
      </c>
    </row>
    <row r="46" spans="1:5" ht="14.25" customHeight="1">
      <c r="A46" s="41" t="s">
        <v>3008</v>
      </c>
      <c r="B46" s="43" t="s">
        <v>3009</v>
      </c>
      <c r="C46" s="44"/>
      <c r="D46" s="44" t="s">
        <v>3010</v>
      </c>
      <c r="E46" s="4" t="str">
        <f ca="1">IFERROR(__xludf.DUMMYFUNCTION("""COMPUTED_VALUE"""),"Wǒ xǐhuān cǎisè qiān bǐ. ")</f>
        <v xml:space="preserve">Wǒ xǐhuān cǎisè qiān bǐ. </v>
      </c>
    </row>
    <row r="47" spans="1:5" ht="14.25" customHeight="1">
      <c r="A47" s="41" t="s">
        <v>3011</v>
      </c>
      <c r="B47" s="43" t="s">
        <v>3012</v>
      </c>
      <c r="C47" s="44"/>
      <c r="D47" s="44" t="s">
        <v>3013</v>
      </c>
      <c r="E47" s="4" t="str">
        <f ca="1">IFERROR(__xludf.DUMMYFUNCTION("""COMPUTED_VALUE"""),"Wǒ lái huà gè yuán. ")</f>
        <v xml:space="preserve">Wǒ lái huà gè yuán. </v>
      </c>
    </row>
    <row r="48" spans="1:5" ht="14.25" customHeight="1">
      <c r="A48" s="41" t="s">
        <v>3014</v>
      </c>
      <c r="B48" s="43" t="s">
        <v>3015</v>
      </c>
      <c r="C48" s="44"/>
      <c r="D48" s="44"/>
      <c r="E48" s="4" t="str">
        <f ca="1">IFERROR(__xludf.DUMMYFUNCTION("""COMPUTED_VALUE"""),"Kàn kàn zhège zhèngfāngxíng hézǐ.")</f>
        <v>Kàn kàn zhège zhèngfāngxíng hézǐ.</v>
      </c>
    </row>
    <row r="49" spans="1:5" ht="14.25" customHeight="1">
      <c r="A49" s="41" t="s">
        <v>3016</v>
      </c>
      <c r="B49" s="43" t="s">
        <v>3017</v>
      </c>
      <c r="C49" s="44"/>
      <c r="D49" s="44" t="s">
        <v>3018</v>
      </c>
      <c r="E49" s="5" t="str">
        <f ca="1">IFERROR(__xludf.DUMMYFUNCTION("""COMPUTED_VALUE""")," Wǒ xǐhuān cǎihóng, yīnwèi tā yǒu hěnduō yánsè.")</f>
        <v xml:space="preserve"> Wǒ xǐhuān cǎihóng, yīnwèi tā yǒu hěnduō yánsè.</v>
      </c>
    </row>
    <row r="50" spans="1:5" ht="14.25" customHeight="1">
      <c r="A50" s="41" t="s">
        <v>3019</v>
      </c>
      <c r="B50" s="43" t="s">
        <v>3020</v>
      </c>
      <c r="C50" s="44"/>
      <c r="D50" s="44"/>
      <c r="E50" s="6" t="str">
        <f ca="1">IFERROR(__xludf.DUMMYFUNCTION("""COMPUTED_VALUE""")," Shù shù fángjiān li yǒu duōshǎo rén.")</f>
        <v xml:space="preserve"> Shù shù fángjiān li yǒu duōshǎo rén.</v>
      </c>
    </row>
    <row r="51" spans="1:5" ht="14.25" customHeight="1">
      <c r="A51" s="42"/>
      <c r="B51" s="46"/>
      <c r="C51" s="44"/>
      <c r="D51" s="44" t="s">
        <v>3021</v>
      </c>
    </row>
    <row r="52" spans="1:5" ht="14.25" customHeight="1">
      <c r="A52" s="42"/>
      <c r="B52" s="46"/>
      <c r="C52" s="44"/>
      <c r="D52" s="44"/>
    </row>
    <row r="53" spans="1:5" ht="14.25" customHeight="1">
      <c r="A53" s="42"/>
      <c r="B53" s="46"/>
      <c r="C53" s="44"/>
      <c r="D53" s="44" t="s">
        <v>3022</v>
      </c>
      <c r="E53" s="5"/>
    </row>
    <row r="54" spans="1:5" ht="14.25" customHeight="1">
      <c r="A54" s="42"/>
      <c r="B54" s="46"/>
      <c r="C54" s="44"/>
      <c r="D54" s="44"/>
      <c r="E54" s="5"/>
    </row>
    <row r="55" spans="1:5" ht="14.25" customHeight="1">
      <c r="A55" s="42"/>
      <c r="B55" s="46"/>
      <c r="C55" s="44"/>
      <c r="D55" s="44" t="s">
        <v>3023</v>
      </c>
      <c r="E55" s="5"/>
    </row>
    <row r="56" spans="1:5" ht="14.25" customHeight="1">
      <c r="A56" s="42"/>
      <c r="B56" s="46"/>
      <c r="C56" s="44"/>
      <c r="D56" s="44" t="s">
        <v>3024</v>
      </c>
      <c r="E56" s="5"/>
    </row>
    <row r="57" spans="1:5" ht="14.25" customHeight="1">
      <c r="A57" s="42"/>
      <c r="B57" s="46"/>
      <c r="C57" s="44"/>
      <c r="D57" s="44" t="s">
        <v>3025</v>
      </c>
      <c r="E57" s="5"/>
    </row>
    <row r="58" spans="1:5" ht="14.25" customHeight="1">
      <c r="A58" s="42"/>
      <c r="B58" s="46"/>
      <c r="C58" s="44"/>
      <c r="D58" s="44" t="s">
        <v>3026</v>
      </c>
      <c r="E58" s="5"/>
    </row>
    <row r="59" spans="1:5" ht="14.25" customHeight="1">
      <c r="A59" s="42"/>
      <c r="B59" s="46"/>
      <c r="C59" s="44"/>
      <c r="D59" s="44" t="s">
        <v>3027</v>
      </c>
    </row>
    <row r="60" spans="1:5" ht="14.25" customHeight="1">
      <c r="A60" s="42"/>
      <c r="B60" s="46"/>
      <c r="C60" s="44"/>
      <c r="D60" s="44" t="s">
        <v>3028</v>
      </c>
      <c r="E60" s="5"/>
    </row>
    <row r="61" spans="1:5" ht="14.25" customHeight="1">
      <c r="A61" s="42"/>
      <c r="B61" s="46"/>
      <c r="C61" s="44"/>
      <c r="D61" s="44" t="s">
        <v>3029</v>
      </c>
      <c r="E61" s="5"/>
    </row>
    <row r="62" spans="1:5" ht="14.25" customHeight="1">
      <c r="A62" s="42"/>
      <c r="B62" s="46"/>
      <c r="C62" s="44"/>
      <c r="D62" s="44"/>
      <c r="E62" s="5"/>
    </row>
    <row r="63" spans="1:5" ht="14.25" customHeight="1">
      <c r="A63" s="42"/>
      <c r="B63" s="46"/>
      <c r="C63" s="44"/>
      <c r="D63" s="44" t="s">
        <v>3030</v>
      </c>
      <c r="E63" s="5"/>
    </row>
    <row r="64" spans="1:5" ht="14.25" customHeight="1">
      <c r="A64" s="42"/>
      <c r="B64" s="46"/>
      <c r="C64" s="44"/>
      <c r="D64" s="44" t="s">
        <v>3031</v>
      </c>
      <c r="E64" s="5"/>
    </row>
    <row r="65" spans="1:5" ht="14.25" customHeight="1">
      <c r="A65" s="42"/>
      <c r="B65" s="46"/>
      <c r="C65" s="44"/>
      <c r="D65" s="44" t="s">
        <v>3032</v>
      </c>
      <c r="E65" s="5"/>
    </row>
    <row r="66" spans="1:5" ht="14.25" customHeight="1">
      <c r="A66" s="42"/>
      <c r="B66" s="46"/>
      <c r="C66" s="44"/>
      <c r="D66" s="44" t="s">
        <v>3033</v>
      </c>
      <c r="E66" s="5"/>
    </row>
    <row r="67" spans="1:5" ht="14.25" customHeight="1">
      <c r="A67" s="42"/>
      <c r="B67" s="46"/>
      <c r="C67" s="44"/>
      <c r="D67" s="44" t="s">
        <v>3034</v>
      </c>
      <c r="E67" s="5"/>
    </row>
    <row r="68" spans="1:5" ht="14.25" customHeight="1">
      <c r="A68" s="42"/>
      <c r="B68" s="46"/>
      <c r="C68" s="44"/>
      <c r="D68" s="44" t="s">
        <v>3035</v>
      </c>
      <c r="E68" s="5"/>
    </row>
    <row r="69" spans="1:5" ht="14.25" customHeight="1">
      <c r="A69" s="42"/>
      <c r="B69" s="46"/>
      <c r="C69" s="44"/>
      <c r="D69" s="44" t="s">
        <v>3036</v>
      </c>
      <c r="E69" s="5"/>
    </row>
    <row r="70" spans="1:5" ht="14.25" customHeight="1">
      <c r="A70" s="42"/>
      <c r="B70" s="46"/>
      <c r="C70" s="44"/>
      <c r="D70" s="44"/>
      <c r="E70" s="5"/>
    </row>
    <row r="71" spans="1:5" ht="14.25" customHeight="1">
      <c r="A71" s="42"/>
      <c r="B71" s="46"/>
      <c r="C71" s="44"/>
      <c r="D71" s="44"/>
      <c r="E71" s="5"/>
    </row>
    <row r="72" spans="1:5" ht="14.25" customHeight="1">
      <c r="A72" s="42"/>
      <c r="B72" s="46"/>
      <c r="C72" s="44"/>
      <c r="D72" s="44"/>
      <c r="E72" s="5"/>
    </row>
    <row r="73" spans="1:5" ht="14.25" customHeight="1">
      <c r="A73" s="42"/>
      <c r="B73" s="46"/>
      <c r="C73" s="44"/>
      <c r="D73" s="44"/>
      <c r="E73" s="5"/>
    </row>
    <row r="74" spans="1:5" ht="14.25" customHeight="1">
      <c r="A74" s="42"/>
      <c r="B74" s="46"/>
      <c r="C74" s="44"/>
      <c r="D74" s="44"/>
      <c r="E74" s="5"/>
    </row>
    <row r="75" spans="1:5" ht="14.25" customHeight="1">
      <c r="A75" s="42"/>
      <c r="B75" s="46"/>
      <c r="C75" s="44"/>
      <c r="D75" s="44"/>
      <c r="E75" s="5"/>
    </row>
    <row r="76" spans="1:5" ht="14.25" customHeight="1">
      <c r="A76" s="42"/>
      <c r="B76" s="46"/>
      <c r="C76" s="44"/>
      <c r="D76" s="44"/>
      <c r="E76" s="5"/>
    </row>
    <row r="77" spans="1:5" ht="14.25" customHeight="1">
      <c r="A77" s="42"/>
      <c r="B77" s="46"/>
      <c r="C77" s="44"/>
      <c r="D77" s="44"/>
      <c r="E77" s="5"/>
    </row>
    <row r="78" spans="1:5" ht="14.25" customHeight="1">
      <c r="A78" s="42"/>
      <c r="B78" s="46"/>
      <c r="C78" s="44"/>
      <c r="D78" s="44"/>
      <c r="E78" s="5"/>
    </row>
    <row r="79" spans="1:5" ht="14.25" customHeight="1">
      <c r="A79" s="42"/>
      <c r="B79" s="46"/>
      <c r="C79" s="44"/>
      <c r="D79" s="44"/>
      <c r="E79" s="5"/>
    </row>
    <row r="80" spans="1:5" ht="14.25" customHeight="1">
      <c r="A80" s="42"/>
      <c r="B80" s="46"/>
      <c r="C80" s="44"/>
      <c r="D80" s="44"/>
      <c r="E80" s="5"/>
    </row>
    <row r="81" spans="1:5" ht="14.25" customHeight="1">
      <c r="A81" s="42"/>
      <c r="B81" s="46"/>
      <c r="C81" s="44"/>
      <c r="D81" s="44"/>
      <c r="E81" s="5"/>
    </row>
    <row r="82" spans="1:5" ht="14.25" customHeight="1">
      <c r="A82" s="42"/>
      <c r="B82" s="46"/>
      <c r="C82" s="44"/>
      <c r="D82" s="44"/>
      <c r="E82" s="5"/>
    </row>
    <row r="83" spans="1:5" ht="14.25" customHeight="1">
      <c r="A83" s="42"/>
      <c r="B83" s="46"/>
      <c r="C83" s="44"/>
      <c r="D83" s="44"/>
      <c r="E83" s="5"/>
    </row>
    <row r="84" spans="1:5" ht="14.25" customHeight="1">
      <c r="A84" s="42"/>
      <c r="B84" s="46"/>
      <c r="C84" s="44"/>
      <c r="D84" s="44"/>
      <c r="E84" s="5"/>
    </row>
    <row r="85" spans="1:5" ht="14.25" customHeight="1">
      <c r="A85" s="42"/>
      <c r="B85" s="46"/>
      <c r="C85" s="44"/>
      <c r="D85" s="44"/>
      <c r="E85" s="5"/>
    </row>
    <row r="86" spans="1:5" ht="14.25" customHeight="1">
      <c r="A86" s="42"/>
      <c r="B86" s="46"/>
      <c r="C86" s="44"/>
      <c r="D86" s="44"/>
      <c r="E86" s="5"/>
    </row>
    <row r="87" spans="1:5" ht="14.25" customHeight="1">
      <c r="A87" s="42"/>
      <c r="B87" s="46"/>
      <c r="C87" s="44"/>
      <c r="D87" s="44"/>
      <c r="E87" s="5"/>
    </row>
    <row r="88" spans="1:5" ht="14.25" customHeight="1">
      <c r="A88" s="42"/>
      <c r="B88" s="46"/>
      <c r="C88" s="44"/>
      <c r="D88" s="44"/>
      <c r="E88" s="5"/>
    </row>
    <row r="89" spans="1:5" ht="14.25" customHeight="1">
      <c r="A89" s="42"/>
      <c r="B89" s="46"/>
      <c r="C89" s="44"/>
      <c r="D89" s="44"/>
      <c r="E89" s="5"/>
    </row>
    <row r="90" spans="1:5" ht="14.25" customHeight="1">
      <c r="A90" s="42"/>
      <c r="B90" s="46"/>
      <c r="C90" s="44"/>
      <c r="D90" s="44"/>
      <c r="E90" s="5"/>
    </row>
    <row r="91" spans="1:5" ht="14.25" customHeight="1">
      <c r="A91" s="42"/>
      <c r="B91" s="46"/>
      <c r="C91" s="44"/>
      <c r="D91" s="44"/>
      <c r="E91" s="5"/>
    </row>
    <row r="92" spans="1:5" ht="14.25" customHeight="1">
      <c r="A92" s="42"/>
      <c r="B92" s="46"/>
      <c r="C92" s="44"/>
      <c r="D92" s="44"/>
      <c r="E92" s="5"/>
    </row>
    <row r="93" spans="1:5" ht="14.25" customHeight="1">
      <c r="A93" s="42"/>
      <c r="B93" s="46"/>
      <c r="C93" s="44"/>
      <c r="D93" s="44"/>
      <c r="E93" s="5"/>
    </row>
    <row r="94" spans="1:5" ht="14.25" customHeight="1">
      <c r="A94" s="42"/>
      <c r="B94" s="46"/>
      <c r="C94" s="44"/>
      <c r="D94" s="44"/>
      <c r="E94" s="5"/>
    </row>
    <row r="95" spans="1:5" ht="14.25" customHeight="1">
      <c r="A95" s="42"/>
      <c r="B95" s="46"/>
      <c r="C95" s="44"/>
      <c r="D95" s="44"/>
      <c r="E95" s="5"/>
    </row>
    <row r="96" spans="1:5" ht="14.25" customHeight="1">
      <c r="A96" s="42"/>
      <c r="B96" s="46"/>
      <c r="C96" s="44"/>
      <c r="D96" s="44"/>
      <c r="E96" s="5"/>
    </row>
    <row r="97" spans="1:5" ht="14.25" customHeight="1">
      <c r="A97" s="42"/>
      <c r="B97" s="46"/>
      <c r="C97" s="44"/>
      <c r="D97" s="44"/>
      <c r="E97" s="5"/>
    </row>
    <row r="98" spans="1:5" ht="14.25" customHeight="1">
      <c r="A98" s="42"/>
      <c r="B98" s="46"/>
      <c r="C98" s="44"/>
      <c r="D98" s="44"/>
      <c r="E98" s="5"/>
    </row>
  </sheetData>
  <pageMargins left="0.75" right="0.75" top="1" bottom="1"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4" width="41.88671875" customWidth="1"/>
    <col min="5" max="5" width="56.88671875" customWidth="1"/>
  </cols>
  <sheetData>
    <row r="1" spans="1:5" ht="14.25" customHeight="1">
      <c r="A1" s="12" t="s">
        <v>3037</v>
      </c>
      <c r="C1" s="24"/>
      <c r="D1" s="24"/>
      <c r="E1" s="2"/>
    </row>
    <row r="2" spans="1:5" ht="14.25" customHeight="1">
      <c r="A2" s="41" t="s">
        <v>3038</v>
      </c>
      <c r="B2" s="10" t="s">
        <v>1131</v>
      </c>
      <c r="C2" s="34"/>
      <c r="D2" s="34" t="s">
        <v>3039</v>
      </c>
      <c r="E2" s="5" t="str">
        <f ca="1">IFERROR(__xludf.DUMMYFUNCTION("FILTER(D1:D1002,D1:D1002&lt;&gt; """")"),"Xiànzài jǐ diǎn?")</f>
        <v>Xiànzài jǐ diǎn?</v>
      </c>
    </row>
    <row r="3" spans="1:5" ht="14.25" customHeight="1">
      <c r="A3" s="41" t="s">
        <v>3040</v>
      </c>
      <c r="B3" s="10" t="s">
        <v>3041</v>
      </c>
      <c r="C3" s="34"/>
      <c r="D3" s="34"/>
      <c r="E3" s="6" t="str">
        <f ca="1">IFERROR(__xludf.DUMMYFUNCTION("""COMPUTED_VALUE"""),"Zǎoshang 7 diǎn.")</f>
        <v>Zǎoshang 7 diǎn.</v>
      </c>
    </row>
    <row r="4" spans="1:5" ht="14.25" customHeight="1">
      <c r="A4" s="41" t="s">
        <v>3042</v>
      </c>
      <c r="B4" s="10" t="s">
        <v>3043</v>
      </c>
      <c r="C4" s="34"/>
      <c r="D4" s="34" t="s">
        <v>3044</v>
      </c>
      <c r="E4" s="5" t="str">
        <f ca="1">IFERROR(__xludf.DUMMYFUNCTION("""COMPUTED_VALUE"""),"Wǒ zǎoshang 8 diǎn shàngxué.")</f>
        <v>Wǒ zǎoshang 8 diǎn shàngxué.</v>
      </c>
    </row>
    <row r="5" spans="1:5" ht="14.25" customHeight="1">
      <c r="A5" s="41" t="s">
        <v>3045</v>
      </c>
      <c r="B5" s="10" t="s">
        <v>3046</v>
      </c>
      <c r="C5" s="34"/>
      <c r="D5" s="34"/>
      <c r="E5" s="5" t="str">
        <f ca="1">IFERROR(__xludf.DUMMYFUNCTION("""COMPUTED_VALUE"""),"Wǔfàn shíjiān dào la!")</f>
        <v>Wǔfàn shíjiān dào la!</v>
      </c>
    </row>
    <row r="6" spans="1:5" ht="14.25" customHeight="1">
      <c r="A6" s="41" t="s">
        <v>3047</v>
      </c>
      <c r="B6" s="10" t="s">
        <v>3048</v>
      </c>
      <c r="C6" s="34"/>
      <c r="D6" s="34" t="s">
        <v>3049</v>
      </c>
      <c r="E6" s="5" t="str">
        <f ca="1">IFERROR(__xludf.DUMMYFUNCTION("""COMPUTED_VALUE"""),"Wǒ wǎnshàng 9 diǎn shuìjiào.")</f>
        <v>Wǒ wǎnshàng 9 diǎn shuìjiào.</v>
      </c>
    </row>
    <row r="7" spans="1:5" ht="14.25" customHeight="1">
      <c r="A7" s="41" t="s">
        <v>3050</v>
      </c>
      <c r="B7" s="10" t="s">
        <v>3051</v>
      </c>
      <c r="C7" s="34"/>
      <c r="D7" s="34"/>
      <c r="E7" s="5" t="str">
        <f ca="1">IFERROR(__xludf.DUMMYFUNCTION("""COMPUTED_VALUE"""),"Qǐng děng wǒ 5 fēnzhōng.")</f>
        <v>Qǐng děng wǒ 5 fēnzhōng.</v>
      </c>
    </row>
    <row r="8" spans="1:5" ht="14.25" customHeight="1">
      <c r="A8" s="41" t="s">
        <v>3052</v>
      </c>
      <c r="B8" s="10" t="s">
        <v>3053</v>
      </c>
      <c r="C8" s="34" t="s">
        <v>3054</v>
      </c>
      <c r="D8" s="34" t="s">
        <v>3055</v>
      </c>
      <c r="E8" s="5" t="str">
        <f ca="1">IFERROR(__xludf.DUMMYFUNCTION("""COMPUTED_VALUE"""),"Wǒ 10 fēnzhōng hòu dào.")</f>
        <v>Wǒ 10 fēnzhōng hòu dào.</v>
      </c>
    </row>
    <row r="9" spans="1:5" ht="14.25" customHeight="1">
      <c r="A9" s="41" t="s">
        <v>3056</v>
      </c>
      <c r="B9" s="10" t="s">
        <v>3057</v>
      </c>
      <c r="C9" s="34"/>
      <c r="D9" s="34"/>
      <c r="E9" s="5" t="str">
        <f ca="1">IFERROR(__xludf.DUMMYFUNCTION("""COMPUTED_VALUE"""),"Jīntiān xīngqí jǐ?")</f>
        <v>Jīntiān xīngqí jǐ?</v>
      </c>
    </row>
    <row r="10" spans="1:5" ht="14.25" customHeight="1">
      <c r="A10" s="41" t="s">
        <v>3058</v>
      </c>
      <c r="B10" s="10" t="s">
        <v>3059</v>
      </c>
      <c r="C10" s="34"/>
      <c r="D10" s="34" t="s">
        <v>3060</v>
      </c>
      <c r="E10" s="5" t="str">
        <f ca="1">IFERROR(__xludf.DUMMYFUNCTION("""COMPUTED_VALUE"""),"Jīntiān shì xīngqí yī.")</f>
        <v>Jīntiān shì xīngqí yī.</v>
      </c>
    </row>
    <row r="11" spans="1:5" ht="14.25" customHeight="1">
      <c r="A11" s="41" t="s">
        <v>3061</v>
      </c>
      <c r="B11" s="10" t="s">
        <v>3062</v>
      </c>
      <c r="C11" s="34"/>
      <c r="D11" s="34"/>
      <c r="E11" s="5" t="str">
        <f ca="1">IFERROR(__xludf.DUMMYFUNCTION("""COMPUTED_VALUE"""),"Míngtiān shì xīngqí'èr.")</f>
        <v>Míngtiān shì xīngqí'èr.</v>
      </c>
    </row>
    <row r="12" spans="1:5" ht="14.25" customHeight="1">
      <c r="A12" s="41" t="s">
        <v>3063</v>
      </c>
      <c r="B12" s="10" t="s">
        <v>3064</v>
      </c>
      <c r="C12" s="34"/>
      <c r="D12" s="34" t="s">
        <v>3065</v>
      </c>
      <c r="E12" s="6" t="str">
        <f ca="1">IFERROR(__xludf.DUMMYFUNCTION("""COMPUTED_VALUE"""),"Zuótiān shì xīngqírì.")</f>
        <v>Zuótiān shì xīngqírì.</v>
      </c>
    </row>
    <row r="13" spans="1:5" ht="14.25" customHeight="1">
      <c r="A13" s="41" t="s">
        <v>3066</v>
      </c>
      <c r="B13" s="10" t="s">
        <v>3067</v>
      </c>
      <c r="C13" s="34" t="s">
        <v>3068</v>
      </c>
      <c r="D13" s="34"/>
      <c r="E13" s="6" t="str">
        <f ca="1">IFERROR(__xludf.DUMMYFUNCTION("""COMPUTED_VALUE"""),"Wǒmen zhōumò chūqù wán ba!")</f>
        <v>Wǒmen zhōumò chūqù wán ba!</v>
      </c>
    </row>
    <row r="14" spans="1:5" ht="14.25" customHeight="1">
      <c r="A14" s="41" t="s">
        <v>3069</v>
      </c>
      <c r="B14" s="10" t="s">
        <v>3070</v>
      </c>
      <c r="C14" s="34"/>
      <c r="D14" s="34" t="s">
        <v>3071</v>
      </c>
      <c r="E14" s="6" t="str">
        <f ca="1">IFERROR(__xludf.DUMMYFUNCTION("""COMPUTED_VALUE"""),"Wǒ xǐhuān xīngqíwǔ.")</f>
        <v>Wǒ xǐhuān xīngqíwǔ.</v>
      </c>
    </row>
    <row r="15" spans="1:5" ht="14.25" customHeight="1">
      <c r="A15" s="41" t="s">
        <v>3072</v>
      </c>
      <c r="B15" s="10" t="s">
        <v>3073</v>
      </c>
      <c r="C15" s="34" t="s">
        <v>3074</v>
      </c>
      <c r="D15" s="34"/>
      <c r="E15" s="6" t="str">
        <f ca="1">IFERROR(__xludf.DUMMYFUNCTION("""COMPUTED_VALUE"""),"Wǒ jīntiān zǎoshang qǐ dé hěn zǎo.")</f>
        <v>Wǒ jīntiān zǎoshang qǐ dé hěn zǎo.</v>
      </c>
    </row>
    <row r="16" spans="1:5" ht="14.25" customHeight="1">
      <c r="A16" s="41" t="s">
        <v>3075</v>
      </c>
      <c r="B16" s="10" t="s">
        <v>3076</v>
      </c>
      <c r="C16" s="34"/>
      <c r="D16" s="34" t="s">
        <v>3077</v>
      </c>
      <c r="E16" s="6" t="str">
        <f ca="1">IFERROR(__xludf.DUMMYFUNCTION("""COMPUTED_VALUE"""),"Wǒ jīn wǎn huì wǎndiǎn huí jiā.")</f>
        <v>Wǒ jīn wǎn huì wǎndiǎn huí jiā.</v>
      </c>
    </row>
    <row r="17" spans="1:5" ht="14.25" customHeight="1">
      <c r="A17" s="41" t="s">
        <v>3078</v>
      </c>
      <c r="B17" s="10" t="s">
        <v>3079</v>
      </c>
      <c r="C17" s="34"/>
      <c r="D17" s="34"/>
      <c r="E17" s="6" t="str">
        <f ca="1">IFERROR(__xludf.DUMMYFUNCTION("""COMPUTED_VALUE"""),"Xiànzài shì jǐ yuè?")</f>
        <v>Xiànzài shì jǐ yuè?</v>
      </c>
    </row>
    <row r="18" spans="1:5" ht="14.25" customHeight="1">
      <c r="A18" s="41" t="s">
        <v>3080</v>
      </c>
      <c r="B18" s="10" t="s">
        <v>3081</v>
      </c>
      <c r="C18" s="34"/>
      <c r="D18" s="34" t="s">
        <v>3082</v>
      </c>
      <c r="E18" s="5" t="str">
        <f ca="1">IFERROR(__xludf.DUMMYFUNCTION("""COMPUTED_VALUE"""),"Xiànzài shì 1 yuè.")</f>
        <v>Xiànzài shì 1 yuè.</v>
      </c>
    </row>
    <row r="19" spans="1:5" ht="14.25" customHeight="1">
      <c r="A19" s="41" t="s">
        <v>3083</v>
      </c>
      <c r="B19" s="10" t="s">
        <v>3084</v>
      </c>
      <c r="C19" s="34"/>
      <c r="D19" s="34"/>
      <c r="E19" s="4" t="str">
        <f ca="1">IFERROR(__xludf.DUMMYFUNCTION("""COMPUTED_VALUE"""),"Wǒ de shēngrì kuài dàole.")</f>
        <v>Wǒ de shēngrì kuài dàole.</v>
      </c>
    </row>
    <row r="20" spans="1:5" ht="14.25" customHeight="1">
      <c r="A20" s="41" t="s">
        <v>3085</v>
      </c>
      <c r="B20" s="10" t="s">
        <v>3086</v>
      </c>
      <c r="C20" s="34"/>
      <c r="D20" s="34" t="s">
        <v>3087</v>
      </c>
      <c r="E20" s="5" t="str">
        <f ca="1">IFERROR(__xludf.DUMMYFUNCTION("""COMPUTED_VALUE"""),"Wǒ de shēngrì shì jǐ yuè?")</f>
        <v>Wǒ de shēngrì shì jǐ yuè?</v>
      </c>
    </row>
    <row r="21" spans="1:5" ht="14.25" customHeight="1">
      <c r="A21" s="41" t="s">
        <v>3088</v>
      </c>
      <c r="B21" s="10" t="s">
        <v>3089</v>
      </c>
      <c r="C21" s="34"/>
      <c r="D21" s="34"/>
      <c r="E21" s="6" t="str">
        <f ca="1">IFERROR(__xludf.DUMMYFUNCTION("""COMPUTED_VALUE"""),"Wǒ de shēngrì shì 5 yuè 10 rì.")</f>
        <v>Wǒ de shēngrì shì 5 yuè 10 rì.</v>
      </c>
    </row>
    <row r="22" spans="1:5" ht="14.25" customHeight="1">
      <c r="A22" s="41" t="s">
        <v>3090</v>
      </c>
      <c r="B22" s="10" t="s">
        <v>3091</v>
      </c>
      <c r="C22" s="34" t="s">
        <v>3092</v>
      </c>
      <c r="D22" s="34" t="s">
        <v>3093</v>
      </c>
      <c r="E22" s="6" t="str">
        <f ca="1">IFERROR(__xludf.DUMMYFUNCTION("""COMPUTED_VALUE"""),"Shēngrì kuàilè!")</f>
        <v>Shēngrì kuàilè!</v>
      </c>
    </row>
    <row r="23" spans="1:5" ht="14.25" customHeight="1">
      <c r="A23" s="41" t="s">
        <v>3094</v>
      </c>
      <c r="B23" s="10" t="s">
        <v>3095</v>
      </c>
      <c r="C23" s="34"/>
      <c r="D23" s="34"/>
      <c r="E23" s="6" t="str">
        <f ca="1">IFERROR(__xludf.DUMMYFUNCTION("""COMPUTED_VALUE"""),"Wǒ jīnnián 10 suì.")</f>
        <v>Wǒ jīnnián 10 suì.</v>
      </c>
    </row>
    <row r="24" spans="1:5" ht="14.25" customHeight="1">
      <c r="A24" s="41" t="s">
        <v>3096</v>
      </c>
      <c r="B24" s="10" t="s">
        <v>3097</v>
      </c>
      <c r="C24" s="34"/>
      <c r="D24" s="34" t="s">
        <v>3098</v>
      </c>
      <c r="E24" s="6" t="str">
        <f ca="1">IFERROR(__xludf.DUMMYFUNCTION("""COMPUTED_VALUE"""),"Míngnián wǒ jiù 10 suìle.")</f>
        <v>Míngnián wǒ jiù 10 suìle.</v>
      </c>
    </row>
    <row r="25" spans="1:5" ht="14.25" customHeight="1">
      <c r="A25" s="41" t="s">
        <v>3099</v>
      </c>
      <c r="B25" s="10" t="s">
        <v>3100</v>
      </c>
      <c r="C25" s="34" t="s">
        <v>3101</v>
      </c>
      <c r="D25" s="34"/>
      <c r="E25" s="6" t="str">
        <f ca="1">IFERROR(__xludf.DUMMYFUNCTION("""COMPUTED_VALUE"""),"Míngtiān zǎoshang jiàn.")</f>
        <v>Míngtiān zǎoshang jiàn.</v>
      </c>
    </row>
    <row r="26" spans="1:5" ht="14.25" customHeight="1">
      <c r="A26" s="41" t="s">
        <v>3102</v>
      </c>
      <c r="B26" s="10" t="s">
        <v>3103</v>
      </c>
      <c r="C26" s="34"/>
      <c r="D26" s="34" t="s">
        <v>3104</v>
      </c>
      <c r="E26" s="6" t="str">
        <f ca="1">IFERROR(__xludf.DUMMYFUNCTION("""COMPUTED_VALUE"""),"Xià zhōu jiàn.")</f>
        <v>Xià zhōu jiàn.</v>
      </c>
    </row>
    <row r="27" spans="1:5" ht="14.25" customHeight="1">
      <c r="A27" s="41" t="s">
        <v>3105</v>
      </c>
      <c r="B27" s="10" t="s">
        <v>3106</v>
      </c>
      <c r="C27" s="34"/>
      <c r="D27" s="34"/>
      <c r="E27" s="6" t="str">
        <f ca="1">IFERROR(__xludf.DUMMYFUNCTION("""COMPUTED_VALUE"""),"Wǒ xūyào gèng duō shíjiān.")</f>
        <v>Wǒ xūyào gèng duō shíjiān.</v>
      </c>
    </row>
    <row r="28" spans="1:5" ht="14.25" customHeight="1">
      <c r="A28" s="41" t="s">
        <v>3107</v>
      </c>
      <c r="B28" s="10" t="s">
        <v>3108</v>
      </c>
      <c r="C28" s="34"/>
      <c r="D28" s="34" t="s">
        <v>3109</v>
      </c>
      <c r="E28" s="6" t="str">
        <f ca="1">IFERROR(__xludf.DUMMYFUNCTION("""COMPUTED_VALUE"""),"Bié làngfèi shíjiān.")</f>
        <v>Bié làngfèi shíjiān.</v>
      </c>
    </row>
    <row r="29" spans="1:5" ht="14.25" customHeight="1">
      <c r="A29" s="41" t="s">
        <v>3110</v>
      </c>
      <c r="B29" s="10" t="s">
        <v>3111</v>
      </c>
      <c r="C29" s="34"/>
      <c r="D29" s="34"/>
      <c r="E29" s="37" t="str">
        <f ca="1">IFERROR(__xludf.DUMMYFUNCTION("""COMPUTED_VALUE"""),"Shíjiānguò dé zhēn kuài.")</f>
        <v>Shíjiānguò dé zhēn kuài.</v>
      </c>
    </row>
    <row r="30" spans="1:5" ht="14.25" customHeight="1">
      <c r="A30" s="41" t="s">
        <v>3112</v>
      </c>
      <c r="B30" s="10" t="s">
        <v>3113</v>
      </c>
      <c r="C30" s="34"/>
      <c r="D30" s="34" t="s">
        <v>3114</v>
      </c>
      <c r="E30" s="6" t="str">
        <f ca="1">IFERROR(__xludf.DUMMYFUNCTION("""COMPUTED_VALUE"""),"Wǒ yǐjīng zài zhèlǐ dàile liǎng gè xiǎoshíliǎo.")</f>
        <v>Wǒ yǐjīng zài zhèlǐ dàile liǎng gè xiǎoshíliǎo.</v>
      </c>
    </row>
    <row r="31" spans="1:5" ht="14.25" customHeight="1">
      <c r="A31" s="41" t="s">
        <v>3115</v>
      </c>
      <c r="B31" s="10" t="s">
        <v>3116</v>
      </c>
      <c r="C31" s="34"/>
      <c r="D31" s="34"/>
      <c r="E31" s="4" t="str">
        <f ca="1">IFERROR(__xludf.DUMMYFUNCTION("""COMPUTED_VALUE"""),"Wǒ huì zài zhèlǐ dài yīgè xīngqí.")</f>
        <v>Wǒ huì zài zhèlǐ dài yīgè xīngqí.</v>
      </c>
    </row>
    <row r="32" spans="1:5" ht="14.25" customHeight="1">
      <c r="A32" s="41" t="s">
        <v>3117</v>
      </c>
      <c r="B32" s="10" t="s">
        <v>3118</v>
      </c>
      <c r="C32" s="34"/>
      <c r="D32" s="34" t="s">
        <v>3119</v>
      </c>
      <c r="E32" s="4" t="str">
        <f ca="1">IFERROR(__xludf.DUMMYFUNCTION("""COMPUTED_VALUE"""),"Yī nián yǒu shí'èr gè yuè.")</f>
        <v>Yī nián yǒu shí'èr gè yuè.</v>
      </c>
    </row>
    <row r="33" spans="1:5" ht="14.25" customHeight="1">
      <c r="A33" s="41" t="s">
        <v>3120</v>
      </c>
      <c r="B33" s="10" t="s">
        <v>3121</v>
      </c>
      <c r="C33" s="34"/>
      <c r="D33" s="34"/>
      <c r="E33" s="4" t="str">
        <f ca="1">IFERROR(__xludf.DUMMYFUNCTION("""COMPUTED_VALUE"""),"Jīntiān tiānqì zhēn hǎo.")</f>
        <v>Jīntiān tiānqì zhēn hǎo.</v>
      </c>
    </row>
    <row r="34" spans="1:5" ht="14.25" customHeight="1">
      <c r="A34" s="41" t="s">
        <v>3122</v>
      </c>
      <c r="B34" s="10" t="s">
        <v>3123</v>
      </c>
      <c r="C34" s="34"/>
      <c r="D34" s="34" t="s">
        <v>3124</v>
      </c>
      <c r="E34" s="4" t="str">
        <f ca="1">IFERROR(__xludf.DUMMYFUNCTION("""COMPUTED_VALUE"""),"Wǒ xǐhuān xiàtiān.")</f>
        <v>Wǒ xǐhuān xiàtiān.</v>
      </c>
    </row>
    <row r="35" spans="1:5" ht="14.25" customHeight="1">
      <c r="A35" s="41" t="s">
        <v>3125</v>
      </c>
      <c r="B35" s="10" t="s">
        <v>3126</v>
      </c>
      <c r="C35" s="34"/>
      <c r="D35" s="34"/>
      <c r="E35" s="8" t="str">
        <f ca="1">IFERROR(__xludf.DUMMYFUNCTION("""COMPUTED_VALUE"""),"Yǔjì kuài dàole.")</f>
        <v>Yǔjì kuài dàole.</v>
      </c>
    </row>
    <row r="36" spans="1:5" ht="14.25" customHeight="1">
      <c r="A36" s="41" t="s">
        <v>3127</v>
      </c>
      <c r="B36" s="10" t="s">
        <v>3128</v>
      </c>
      <c r="C36" s="34"/>
      <c r="D36" s="34" t="s">
        <v>3129</v>
      </c>
      <c r="E36" s="5" t="str">
        <f ca="1">IFERROR(__xludf.DUMMYFUNCTION("""COMPUTED_VALUE"""),"Wǒ shénme shíhòu xǐzǎo?")</f>
        <v>Wǒ shénme shíhòu xǐzǎo?</v>
      </c>
    </row>
    <row r="37" spans="1:5" ht="14.25" customHeight="1">
      <c r="A37" s="41" t="s">
        <v>3130</v>
      </c>
      <c r="B37" s="10" t="s">
        <v>3131</v>
      </c>
      <c r="C37" s="34"/>
      <c r="D37" s="34"/>
      <c r="E37" s="8" t="str">
        <f ca="1">IFERROR(__xludf.DUMMYFUNCTION("""COMPUTED_VALUE"""),"Wǒ gāng xǐ wán.")</f>
        <v>Wǒ gāng xǐ wán.</v>
      </c>
    </row>
    <row r="38" spans="1:5" ht="14.25" customHeight="1">
      <c r="A38" s="41" t="s">
        <v>3132</v>
      </c>
      <c r="B38" s="10" t="s">
        <v>3133</v>
      </c>
      <c r="C38" s="34"/>
      <c r="D38" s="34" t="s">
        <v>3134</v>
      </c>
      <c r="E38" s="5" t="str">
        <f ca="1">IFERROR(__xludf.DUMMYFUNCTION("""COMPUTED_VALUE"""),"Xiànzài jiù zuò.")</f>
        <v>Xiànzài jiù zuò.</v>
      </c>
    </row>
    <row r="39" spans="1:5" ht="14.25" customHeight="1">
      <c r="A39" s="41" t="s">
        <v>3135</v>
      </c>
      <c r="B39" s="10" t="s">
        <v>3136</v>
      </c>
      <c r="C39" s="34"/>
      <c r="D39" s="34"/>
      <c r="E39" s="6" t="str">
        <f ca="1">IFERROR(__xludf.DUMMYFUNCTION("""COMPUTED_VALUE"""),"Wǒ dài huì er zài zuò.")</f>
        <v>Wǒ dài huì er zài zuò.</v>
      </c>
    </row>
    <row r="40" spans="1:5" ht="14.25" customHeight="1">
      <c r="A40" s="41" t="s">
        <v>3137</v>
      </c>
      <c r="B40" s="10" t="s">
        <v>3138</v>
      </c>
      <c r="C40" s="34"/>
      <c r="D40" s="34" t="s">
        <v>3139</v>
      </c>
      <c r="E40" s="6" t="str">
        <f ca="1">IFERROR(__xludf.DUMMYFUNCTION("""COMPUTED_VALUE"""),"Nǐ máng ma?")</f>
        <v>Nǐ máng ma?</v>
      </c>
    </row>
    <row r="41" spans="1:5" ht="14.25" customHeight="1">
      <c r="A41" s="41" t="s">
        <v>3140</v>
      </c>
      <c r="B41" s="10" t="s">
        <v>3141</v>
      </c>
      <c r="C41" s="34"/>
      <c r="D41" s="34"/>
      <c r="E41" s="5" t="str">
        <f ca="1">IFERROR(__xludf.DUMMYFUNCTION("""COMPUTED_VALUE"""),"Wǒ yǒu kòng.")</f>
        <v>Wǒ yǒu kòng.</v>
      </c>
    </row>
    <row r="42" spans="1:5" ht="14.25" customHeight="1">
      <c r="A42" s="41" t="s">
        <v>3142</v>
      </c>
      <c r="B42" s="10" t="s">
        <v>3143</v>
      </c>
      <c r="C42" s="34"/>
      <c r="D42" s="34" t="s">
        <v>3144</v>
      </c>
      <c r="E42" s="4" t="str">
        <f ca="1">IFERROR(__xludf.DUMMYFUNCTION("""COMPUTED_VALUE""")," Qǐng nǐ hǎohǎo xiǎngshòu nǐ de shíjiān.")</f>
        <v xml:space="preserve"> Qǐng nǐ hǎohǎo xiǎngshòu nǐ de shíjiān.</v>
      </c>
    </row>
    <row r="43" spans="1:5" ht="14.25" customHeight="1">
      <c r="A43" s="41" t="s">
        <v>3145</v>
      </c>
      <c r="B43" s="10" t="s">
        <v>3146</v>
      </c>
      <c r="C43" s="34" t="s">
        <v>3147</v>
      </c>
      <c r="D43" s="34"/>
      <c r="E43" s="5" t="str">
        <f ca="1">IFERROR(__xludf.DUMMYFUNCTION("""COMPUTED_VALUE""")," Wǒ de shǒubiǎo huàile. ")</f>
        <v xml:space="preserve"> Wǒ de shǒubiǎo huàile. </v>
      </c>
    </row>
    <row r="44" spans="1:5" ht="14.25" customHeight="1">
      <c r="A44" s="41" t="s">
        <v>3148</v>
      </c>
      <c r="B44" s="10" t="s">
        <v>3149</v>
      </c>
      <c r="C44" s="34"/>
      <c r="D44" s="34" t="s">
        <v>3150</v>
      </c>
      <c r="E44" s="4" t="str">
        <f ca="1">IFERROR(__xludf.DUMMYFUNCTION("""COMPUTED_VALUE"""),"Nǐ néng gàosù wǒ xiànzài jǐ diǎn ma?")</f>
        <v>Nǐ néng gàosù wǒ xiànzài jǐ diǎn ma?</v>
      </c>
    </row>
    <row r="45" spans="1:5" ht="14.25" customHeight="1">
      <c r="A45" s="41" t="s">
        <v>3151</v>
      </c>
      <c r="B45" s="10" t="s">
        <v>3152</v>
      </c>
      <c r="C45" s="34"/>
      <c r="D45" s="34"/>
      <c r="E45" s="5" t="str">
        <f ca="1">IFERROR(__xludf.DUMMYFUNCTION("""COMPUTED_VALUE"""),"Kuài dào huí jiā de shíjiānle. ")</f>
        <v xml:space="preserve">Kuài dào huí jiā de shíjiānle. </v>
      </c>
    </row>
    <row r="46" spans="1:5" ht="14.25" customHeight="1">
      <c r="A46" s="41" t="s">
        <v>3153</v>
      </c>
      <c r="B46" s="10" t="s">
        <v>3154</v>
      </c>
      <c r="C46" s="34"/>
      <c r="D46" s="34" t="s">
        <v>3155</v>
      </c>
      <c r="E46" s="4" t="str">
        <f ca="1">IFERROR(__xludf.DUMMYFUNCTION("""COMPUTED_VALUE"""),"Zhù nǐ jīntiānguò dé yúkuài.")</f>
        <v>Zhù nǐ jīntiānguò dé yúkuài.</v>
      </c>
    </row>
    <row r="47" spans="1:5" ht="14.25" customHeight="1">
      <c r="A47" s="41" t="s">
        <v>3156</v>
      </c>
      <c r="B47" s="10" t="s">
        <v>3157</v>
      </c>
      <c r="C47" s="34"/>
      <c r="D47" s="34"/>
      <c r="E47" s="4" t="str">
        <f ca="1">IFERROR(__xludf.DUMMYFUNCTION("""COMPUTED_VALUE"""),"Jīn wǎn tiānqì zhēn hǎo. ")</f>
        <v xml:space="preserve">Jīn wǎn tiānqì zhēn hǎo. </v>
      </c>
    </row>
    <row r="48" spans="1:5" ht="14.25" customHeight="1">
      <c r="A48" s="41" t="s">
        <v>3158</v>
      </c>
      <c r="B48" s="10" t="s">
        <v>3159</v>
      </c>
      <c r="C48" s="34"/>
      <c r="D48" s="34" t="s">
        <v>3160</v>
      </c>
      <c r="E48" s="4" t="str">
        <f ca="1">IFERROR(__xludf.DUMMYFUNCTION("""COMPUTED_VALUE"""),"Wǒ xǐhuān kàn shālòu.")</f>
        <v>Wǒ xǐhuān kàn shālòu.</v>
      </c>
    </row>
    <row r="49" spans="1:5" ht="14.25" customHeight="1">
      <c r="A49" s="41" t="s">
        <v>3161</v>
      </c>
      <c r="B49" s="10" t="s">
        <v>3162</v>
      </c>
      <c r="C49" s="34"/>
      <c r="D49" s="34"/>
      <c r="E49" s="5" t="str">
        <f ca="1">IFERROR(__xludf.DUMMYFUNCTION("""COMPUTED_VALUE""")," Nǐ zǒng shì hěn zhǔnshí.")</f>
        <v xml:space="preserve"> Nǐ zǒng shì hěn zhǔnshí.</v>
      </c>
    </row>
    <row r="50" spans="1:5" ht="14.25" customHeight="1">
      <c r="A50" s="41" t="s">
        <v>3163</v>
      </c>
      <c r="B50" s="10" t="s">
        <v>3164</v>
      </c>
      <c r="C50" s="34"/>
      <c r="D50" s="34" t="s">
        <v>3165</v>
      </c>
      <c r="E50" s="6" t="str">
        <f ca="1">IFERROR(__xludf.DUMMYFUNCTION("""COMPUTED_VALUE""")," Bié chídào.")</f>
        <v xml:space="preserve"> Bié chídào.</v>
      </c>
    </row>
    <row r="51" spans="1:5" ht="14.25" customHeight="1">
      <c r="A51" s="41" t="s">
        <v>3166</v>
      </c>
      <c r="B51" s="10" t="s">
        <v>3167</v>
      </c>
      <c r="C51" s="34"/>
      <c r="D51" s="34"/>
      <c r="E51" s="6" t="str">
        <f ca="1">IFERROR(__xludf.DUMMYFUNCTION("""COMPUTED_VALUE"""),"Xièxiè nǐ chōuchū shíjiān.")</f>
        <v>Xièxiè nǐ chōuchū shíjiān.</v>
      </c>
    </row>
    <row r="52" spans="1:5" ht="14.25" customHeight="1">
      <c r="A52" s="42"/>
      <c r="B52" s="10"/>
      <c r="C52" s="34"/>
      <c r="D52" s="34" t="s">
        <v>3168</v>
      </c>
    </row>
    <row r="53" spans="1:5" ht="14.25" customHeight="1">
      <c r="A53" s="42"/>
      <c r="B53" s="10"/>
      <c r="C53" s="34"/>
      <c r="D53" s="34"/>
      <c r="E53" s="5"/>
    </row>
    <row r="54" spans="1:5" ht="14.25" customHeight="1">
      <c r="A54" s="42"/>
      <c r="B54" s="10"/>
      <c r="C54" s="34"/>
      <c r="D54" s="34" t="s">
        <v>3169</v>
      </c>
      <c r="E54" s="5"/>
    </row>
    <row r="55" spans="1:5" ht="14.25" customHeight="1">
      <c r="A55" s="42"/>
      <c r="B55" s="10"/>
      <c r="C55" s="34"/>
      <c r="D55" s="34"/>
      <c r="E55" s="5"/>
    </row>
    <row r="56" spans="1:5" ht="14.25" customHeight="1">
      <c r="A56" s="42"/>
      <c r="B56" s="10"/>
      <c r="C56" s="34"/>
      <c r="D56" s="34" t="s">
        <v>3170</v>
      </c>
      <c r="E56" s="5"/>
    </row>
    <row r="57" spans="1:5" ht="14.25" customHeight="1">
      <c r="A57" s="42"/>
      <c r="B57" s="10"/>
      <c r="C57" s="34"/>
      <c r="D57" s="34"/>
      <c r="E57" s="5"/>
    </row>
    <row r="58" spans="1:5" ht="14.25" customHeight="1">
      <c r="A58" s="42"/>
      <c r="B58" s="10"/>
      <c r="C58" s="34"/>
      <c r="D58" s="34" t="s">
        <v>3171</v>
      </c>
      <c r="E58" s="5"/>
    </row>
    <row r="59" spans="1:5" ht="14.25" customHeight="1">
      <c r="A59" s="42"/>
      <c r="B59" s="10"/>
      <c r="C59" s="34"/>
      <c r="D59" s="34"/>
    </row>
    <row r="60" spans="1:5" ht="14.25" customHeight="1">
      <c r="A60" s="42"/>
      <c r="B60" s="10"/>
      <c r="C60" s="34"/>
      <c r="D60" s="34" t="s">
        <v>3172</v>
      </c>
      <c r="E60" s="5"/>
    </row>
    <row r="61" spans="1:5" ht="14.25" customHeight="1">
      <c r="A61" s="42"/>
      <c r="B61" s="10"/>
      <c r="C61" s="34"/>
      <c r="D61" s="34"/>
      <c r="E61" s="5"/>
    </row>
    <row r="62" spans="1:5" ht="14.25" customHeight="1">
      <c r="A62" s="42"/>
      <c r="B62" s="10"/>
      <c r="C62" s="34"/>
      <c r="D62" s="34" t="s">
        <v>3173</v>
      </c>
      <c r="E62" s="5"/>
    </row>
    <row r="63" spans="1:5" ht="14.25" customHeight="1">
      <c r="A63" s="42"/>
      <c r="B63" s="10"/>
      <c r="C63" s="34"/>
      <c r="D63" s="34"/>
      <c r="E63" s="5"/>
    </row>
    <row r="64" spans="1:5" ht="14.25" customHeight="1">
      <c r="A64" s="42"/>
      <c r="B64" s="10"/>
      <c r="C64" s="34"/>
      <c r="D64" s="34" t="s">
        <v>994</v>
      </c>
      <c r="E64" s="5"/>
    </row>
    <row r="65" spans="1:5" ht="14.25" customHeight="1">
      <c r="A65" s="42"/>
      <c r="B65" s="10"/>
      <c r="C65" s="34"/>
      <c r="D65" s="34"/>
      <c r="E65" s="5"/>
    </row>
    <row r="66" spans="1:5" ht="14.25" customHeight="1">
      <c r="A66" s="42"/>
      <c r="B66" s="10"/>
      <c r="C66" s="34"/>
      <c r="D66" s="34" t="s">
        <v>3174</v>
      </c>
      <c r="E66" s="5"/>
    </row>
    <row r="67" spans="1:5" ht="14.25" customHeight="1">
      <c r="A67" s="42"/>
      <c r="B67" s="10"/>
      <c r="C67" s="34"/>
      <c r="D67" s="34"/>
      <c r="E67" s="5"/>
    </row>
    <row r="68" spans="1:5" ht="14.25" customHeight="1">
      <c r="A68" s="42"/>
      <c r="B68" s="10"/>
      <c r="C68" s="34"/>
      <c r="D68" s="34" t="s">
        <v>3175</v>
      </c>
      <c r="E68" s="5"/>
    </row>
    <row r="69" spans="1:5" ht="14.25" customHeight="1">
      <c r="A69" s="42"/>
      <c r="B69" s="10"/>
      <c r="C69" s="34"/>
      <c r="D69" s="34"/>
      <c r="E69" s="5"/>
    </row>
    <row r="70" spans="1:5" ht="14.25" customHeight="1">
      <c r="A70" s="42"/>
      <c r="B70" s="10"/>
      <c r="C70" s="34"/>
      <c r="D70" s="34" t="s">
        <v>3176</v>
      </c>
      <c r="E70" s="5"/>
    </row>
    <row r="71" spans="1:5" ht="14.25" customHeight="1">
      <c r="A71" s="42"/>
      <c r="B71" s="10"/>
      <c r="C71" s="34"/>
      <c r="D71" s="34"/>
      <c r="E71" s="5"/>
    </row>
    <row r="72" spans="1:5" ht="14.25" customHeight="1">
      <c r="A72" s="42"/>
      <c r="B72" s="10"/>
      <c r="C72" s="34"/>
      <c r="D72" s="34" t="s">
        <v>3177</v>
      </c>
      <c r="E72" s="5"/>
    </row>
    <row r="73" spans="1:5" ht="14.25" customHeight="1">
      <c r="A73" s="42"/>
      <c r="B73" s="10"/>
      <c r="C73" s="34"/>
      <c r="D73" s="34"/>
      <c r="E73" s="5"/>
    </row>
    <row r="74" spans="1:5" ht="14.25" customHeight="1">
      <c r="A74" s="42"/>
      <c r="B74" s="10"/>
      <c r="C74" s="34"/>
      <c r="D74" s="34" t="s">
        <v>3178</v>
      </c>
      <c r="E74" s="5"/>
    </row>
    <row r="75" spans="1:5" ht="14.25" customHeight="1">
      <c r="A75" s="42"/>
      <c r="B75" s="10"/>
      <c r="C75" s="34"/>
      <c r="D75" s="34"/>
      <c r="E75" s="5"/>
    </row>
    <row r="76" spans="1:5" ht="14.25" customHeight="1">
      <c r="A76" s="42"/>
      <c r="B76" s="10"/>
      <c r="C76" s="34"/>
      <c r="D76" s="34" t="s">
        <v>3179</v>
      </c>
      <c r="E76" s="5"/>
    </row>
    <row r="77" spans="1:5" ht="14.25" customHeight="1">
      <c r="A77" s="42"/>
      <c r="B77" s="10"/>
      <c r="C77" s="34"/>
      <c r="D77" s="34"/>
      <c r="E77" s="5"/>
    </row>
    <row r="78" spans="1:5" ht="14.25" customHeight="1">
      <c r="A78" s="42"/>
      <c r="B78" s="10"/>
      <c r="C78" s="34"/>
      <c r="D78" s="34" t="s">
        <v>3180</v>
      </c>
      <c r="E78" s="5"/>
    </row>
    <row r="79" spans="1:5" ht="14.25" customHeight="1">
      <c r="A79" s="42"/>
      <c r="B79" s="10"/>
      <c r="C79" s="34"/>
      <c r="D79" s="34"/>
      <c r="E79" s="5"/>
    </row>
    <row r="80" spans="1:5" ht="14.25" customHeight="1">
      <c r="A80" s="42"/>
      <c r="B80" s="10"/>
      <c r="C80" s="34"/>
      <c r="D80" s="34" t="s">
        <v>3181</v>
      </c>
      <c r="E80" s="5"/>
    </row>
    <row r="81" spans="1:5" ht="14.25" customHeight="1">
      <c r="A81" s="42"/>
      <c r="B81" s="10"/>
      <c r="C81" s="34"/>
      <c r="D81" s="34" t="s">
        <v>3182</v>
      </c>
      <c r="E81" s="5"/>
    </row>
    <row r="82" spans="1:5" ht="14.25" customHeight="1">
      <c r="A82" s="42"/>
      <c r="B82" s="10"/>
      <c r="C82" s="34"/>
      <c r="D82" s="10" t="s">
        <v>3183</v>
      </c>
      <c r="E82" s="5"/>
    </row>
    <row r="83" spans="1:5" ht="14.25" customHeight="1">
      <c r="A83" s="42"/>
      <c r="B83" s="10"/>
      <c r="C83" s="34"/>
      <c r="D83" s="10" t="s">
        <v>3184</v>
      </c>
      <c r="E83" s="5"/>
    </row>
    <row r="84" spans="1:5" ht="14.25" customHeight="1">
      <c r="A84" s="42"/>
      <c r="B84" s="10"/>
      <c r="C84" s="34"/>
      <c r="E84" s="5"/>
    </row>
    <row r="85" spans="1:5" ht="14.25" customHeight="1">
      <c r="A85" s="42"/>
      <c r="B85" s="10"/>
      <c r="C85" s="34"/>
      <c r="E85" s="5"/>
    </row>
    <row r="86" spans="1:5" ht="14.25" customHeight="1">
      <c r="A86" s="42"/>
      <c r="B86" s="10"/>
      <c r="C86" s="34"/>
      <c r="E86" s="5"/>
    </row>
    <row r="87" spans="1:5" ht="14.25" customHeight="1">
      <c r="A87" s="42"/>
      <c r="B87" s="10"/>
      <c r="C87" s="34"/>
      <c r="D87" s="34" t="s">
        <v>3185</v>
      </c>
      <c r="E87" s="5"/>
    </row>
    <row r="88" spans="1:5" ht="14.25" customHeight="1">
      <c r="A88" s="42"/>
      <c r="B88" s="10"/>
      <c r="C88" s="34"/>
      <c r="D88" s="34" t="s">
        <v>3186</v>
      </c>
      <c r="E88" s="5"/>
    </row>
    <row r="89" spans="1:5" ht="14.25" customHeight="1">
      <c r="A89" s="42"/>
      <c r="B89" s="10"/>
      <c r="C89" s="34"/>
      <c r="D89" s="34" t="s">
        <v>3187</v>
      </c>
      <c r="E89" s="5"/>
    </row>
    <row r="90" spans="1:5" ht="14.25" customHeight="1">
      <c r="A90" s="42"/>
      <c r="B90" s="10"/>
      <c r="C90" s="34"/>
      <c r="D90" s="34" t="s">
        <v>3188</v>
      </c>
      <c r="E90" s="5"/>
    </row>
    <row r="91" spans="1:5" ht="14.25" customHeight="1">
      <c r="A91" s="42"/>
      <c r="B91" s="10"/>
      <c r="C91" s="34"/>
      <c r="D91" s="10" t="s">
        <v>3189</v>
      </c>
      <c r="E91" s="5"/>
    </row>
    <row r="92" spans="1:5" ht="14.25" customHeight="1">
      <c r="A92" s="42"/>
      <c r="B92" s="10"/>
      <c r="C92" s="34"/>
      <c r="D92" s="34" t="s">
        <v>3190</v>
      </c>
      <c r="E92" s="5"/>
    </row>
    <row r="93" spans="1:5" ht="14.25" customHeight="1">
      <c r="A93" s="42"/>
      <c r="B93" s="10"/>
      <c r="C93" s="34"/>
      <c r="D93" s="34"/>
      <c r="E93" s="5"/>
    </row>
    <row r="94" spans="1:5" ht="14.25" customHeight="1">
      <c r="A94" s="42"/>
      <c r="B94" s="10"/>
      <c r="C94" s="34"/>
      <c r="D94" s="34"/>
      <c r="E94" s="5"/>
    </row>
    <row r="95" spans="1:5" ht="14.25" customHeight="1">
      <c r="A95" s="42"/>
      <c r="B95" s="10"/>
      <c r="C95" s="34"/>
      <c r="D95" s="34"/>
      <c r="E95" s="5"/>
    </row>
    <row r="96" spans="1:5" ht="14.25" customHeight="1">
      <c r="A96" s="42"/>
      <c r="B96" s="10"/>
      <c r="C96" s="34"/>
      <c r="D96" s="34"/>
      <c r="E96" s="5"/>
    </row>
    <row r="97" spans="1:5" ht="14.25" customHeight="1">
      <c r="A97" s="42"/>
      <c r="B97" s="10"/>
      <c r="C97" s="34"/>
      <c r="D97" s="34"/>
      <c r="E97" s="5"/>
    </row>
    <row r="98" spans="1:5" ht="14.25" customHeight="1">
      <c r="A98" s="42"/>
      <c r="B98" s="10"/>
      <c r="C98" s="34"/>
      <c r="D98" s="34" t="s">
        <v>3191</v>
      </c>
      <c r="E98" s="5"/>
    </row>
  </sheetData>
  <pageMargins left="0.75" right="0.75" top="1" bottom="1"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4" width="50.109375" customWidth="1"/>
    <col min="5" max="5" width="56.88671875" customWidth="1"/>
  </cols>
  <sheetData>
    <row r="1" spans="1:5" ht="14.25" customHeight="1">
      <c r="A1" s="12" t="s">
        <v>3192</v>
      </c>
      <c r="E1" s="2"/>
    </row>
    <row r="2" spans="1:5" ht="14.25" customHeight="1">
      <c r="A2" s="41" t="s">
        <v>3193</v>
      </c>
      <c r="B2" s="41" t="s">
        <v>3194</v>
      </c>
      <c r="C2" s="42"/>
      <c r="D2" s="42" t="s">
        <v>3195</v>
      </c>
      <c r="E2" s="5" t="str">
        <f ca="1">IFERROR(__xludf.DUMMYFUNCTION("FILTER(D1:D1004,D1:D1004&lt;&gt; """")"),"Jīntiān wǒmen zuò shénme cài?")</f>
        <v>Jīntiān wǒmen zuò shénme cài?</v>
      </c>
    </row>
    <row r="3" spans="1:5" ht="14.25" customHeight="1">
      <c r="A3" s="41" t="s">
        <v>3196</v>
      </c>
      <c r="B3" s="41" t="s">
        <v>3197</v>
      </c>
      <c r="C3" s="42"/>
      <c r="D3" s="42"/>
      <c r="E3" s="6" t="str">
        <f ca="1">IFERROR(__xludf.DUMMYFUNCTION("""COMPUTED_VALUE"""),"Wǒ xiǎng xué zuò fàn.")</f>
        <v>Wǒ xiǎng xué zuò fàn.</v>
      </c>
    </row>
    <row r="4" spans="1:5" ht="14.25" customHeight="1">
      <c r="A4" s="41" t="s">
        <v>3198</v>
      </c>
      <c r="B4" s="41" t="s">
        <v>3199</v>
      </c>
      <c r="C4" s="42" t="s">
        <v>3200</v>
      </c>
      <c r="D4" s="42" t="s">
        <v>3201</v>
      </c>
      <c r="E4" s="5" t="str">
        <f ca="1">IFERROR(__xludf.DUMMYFUNCTION("""COMPUTED_VALUE"""),"Chúfáng zài nǎlǐ?")</f>
        <v>Chúfáng zài nǎlǐ?</v>
      </c>
    </row>
    <row r="5" spans="1:5" ht="14.25" customHeight="1">
      <c r="A5" s="41" t="s">
        <v>3202</v>
      </c>
      <c r="B5" s="41" t="s">
        <v>3203</v>
      </c>
      <c r="C5" s="42"/>
      <c r="D5" s="42"/>
      <c r="E5" s="5" t="str">
        <f ca="1">IFERROR(__xludf.DUMMYFUNCTION("""COMPUTED_VALUE"""),"Nǎinai, wǒ kěyǐ bāng nín ma?")</f>
        <v>Nǎinai, wǒ kěyǐ bāng nín ma?</v>
      </c>
    </row>
    <row r="6" spans="1:5" ht="14.25" customHeight="1">
      <c r="A6" s="41" t="s">
        <v>3204</v>
      </c>
      <c r="B6" s="41" t="s">
        <v>3205</v>
      </c>
      <c r="C6" s="42"/>
      <c r="D6" s="42" t="s">
        <v>3206</v>
      </c>
      <c r="E6" s="5" t="str">
        <f ca="1">IFERROR(__xludf.DUMMYFUNCTION("""COMPUTED_VALUE"""),"Wǒ xūyào xǐ cài ma?")</f>
        <v>Wǒ xūyào xǐ cài ma?</v>
      </c>
    </row>
    <row r="7" spans="1:5" ht="14.25" customHeight="1">
      <c r="A7" s="41" t="s">
        <v>3207</v>
      </c>
      <c r="B7" s="41" t="s">
        <v>3208</v>
      </c>
      <c r="C7" s="42"/>
      <c r="D7" s="42"/>
      <c r="E7" s="5" t="str">
        <f ca="1">IFERROR(__xludf.DUMMYFUNCTION("""COMPUTED_VALUE"""),"Wǒ yào qù táo mǐ.")</f>
        <v>Wǒ yào qù táo mǐ.</v>
      </c>
    </row>
    <row r="8" spans="1:5" ht="14.25" customHeight="1">
      <c r="A8" s="41" t="s">
        <v>3209</v>
      </c>
      <c r="B8" s="41" t="s">
        <v>3210</v>
      </c>
      <c r="C8" s="42"/>
      <c r="D8" s="42" t="s">
        <v>3211</v>
      </c>
      <c r="E8" s="5" t="str">
        <f ca="1">IFERROR(__xludf.DUMMYFUNCTION("""COMPUTED_VALUE"""),"Diànfànbāo zài nǎlǐ?")</f>
        <v>Diànfànbāo zài nǎlǐ?</v>
      </c>
    </row>
    <row r="9" spans="1:5" ht="14.25" customHeight="1">
      <c r="A9" s="41" t="s">
        <v>3212</v>
      </c>
      <c r="B9" s="41" t="s">
        <v>3213</v>
      </c>
      <c r="C9" s="42"/>
      <c r="D9" s="42"/>
      <c r="E9" s="5" t="str">
        <f ca="1">IFERROR(__xludf.DUMMYFUNCTION("""COMPUTED_VALUE"""),"Wǒ yīnggāi jiā duōshǎo shuǐ?")</f>
        <v>Wǒ yīnggāi jiā duōshǎo shuǐ?</v>
      </c>
    </row>
    <row r="10" spans="1:5" ht="14.25" customHeight="1">
      <c r="A10" s="41" t="s">
        <v>3214</v>
      </c>
      <c r="B10" s="41" t="s">
        <v>3215</v>
      </c>
      <c r="C10" s="42" t="s">
        <v>3216</v>
      </c>
      <c r="D10" s="42" t="s">
        <v>3217</v>
      </c>
      <c r="E10" s="5" t="str">
        <f ca="1">IFERROR(__xludf.DUMMYFUNCTION("""COMPUTED_VALUE"""),"Wǒ lái kāihuǒ.")</f>
        <v>Wǒ lái kāihuǒ.</v>
      </c>
    </row>
    <row r="11" spans="1:5" ht="14.25" customHeight="1">
      <c r="A11" s="41" t="s">
        <v>3218</v>
      </c>
      <c r="B11" s="41" t="s">
        <v>3219</v>
      </c>
      <c r="C11" s="42"/>
      <c r="D11" s="42"/>
      <c r="E11" s="5" t="str">
        <f ca="1">IFERROR(__xludf.DUMMYFUNCTION("""COMPUTED_VALUE"""),"Wǒ xūyào yīgè jiān guō.")</f>
        <v>Wǒ xūyào yīgè jiān guō.</v>
      </c>
    </row>
    <row r="12" spans="1:5" ht="14.25" customHeight="1">
      <c r="A12" s="41" t="s">
        <v>3220</v>
      </c>
      <c r="B12" s="41" t="s">
        <v>3221</v>
      </c>
      <c r="C12" s="42" t="s">
        <v>3222</v>
      </c>
      <c r="D12" s="42" t="s">
        <v>3223</v>
      </c>
      <c r="E12" s="6" t="str">
        <f ca="1">IFERROR(__xludf.DUMMYFUNCTION("""COMPUTED_VALUE"""),"Wǒ kěyǐ jiè yī bǎ dāo ma?")</f>
        <v>Wǒ kěyǐ jiè yī bǎ dāo ma?</v>
      </c>
    </row>
    <row r="13" spans="1:5" ht="14.25" customHeight="1">
      <c r="A13" s="41" t="s">
        <v>3224</v>
      </c>
      <c r="B13" s="41" t="s">
        <v>3225</v>
      </c>
      <c r="C13" s="42" t="s">
        <v>3226</v>
      </c>
      <c r="D13" s="42"/>
      <c r="E13" s="6" t="str">
        <f ca="1">IFERROR(__xludf.DUMMYFUNCTION("""COMPUTED_VALUE"""),"Xiǎoxīn bié gē shāng shǒu.")</f>
        <v>Xiǎoxīn bié gē shāng shǒu.</v>
      </c>
    </row>
    <row r="14" spans="1:5" ht="14.25" customHeight="1">
      <c r="A14" s="41" t="s">
        <v>3227</v>
      </c>
      <c r="B14" s="41" t="s">
        <v>3228</v>
      </c>
      <c r="C14" s="42" t="s">
        <v>3229</v>
      </c>
      <c r="D14" s="42" t="s">
        <v>3230</v>
      </c>
      <c r="E14" s="6" t="str">
        <f ca="1">IFERROR(__xludf.DUMMYFUNCTION("""COMPUTED_VALUE"""),"Wǒ zài qiè yángcōng.")</f>
        <v>Wǒ zài qiè yángcōng.</v>
      </c>
    </row>
    <row r="15" spans="1:5" ht="14.25" customHeight="1">
      <c r="A15" s="41" t="s">
        <v>3231</v>
      </c>
      <c r="B15" s="41" t="s">
        <v>3232</v>
      </c>
      <c r="C15" s="42"/>
      <c r="D15" s="42"/>
      <c r="E15" s="6" t="str">
        <f ca="1">IFERROR(__xludf.DUMMYFUNCTION("""COMPUTED_VALUE"""),"Wǒ de yǎnjīng hǎo cì tòng!")</f>
        <v>Wǒ de yǎnjīng hǎo cì tòng!</v>
      </c>
    </row>
    <row r="16" spans="1:5" ht="14.25" customHeight="1">
      <c r="A16" s="41" t="s">
        <v>3233</v>
      </c>
      <c r="B16" s="41" t="s">
        <v>3234</v>
      </c>
      <c r="C16" s="42" t="s">
        <v>3235</v>
      </c>
      <c r="D16" s="42" t="s">
        <v>3236</v>
      </c>
      <c r="E16" s="6" t="str">
        <f ca="1">IFERROR(__xludf.DUMMYFUNCTION("""COMPUTED_VALUE"""),"Wǒ kěyǐ chī diǎn suàn ma?")</f>
        <v>Wǒ kěyǐ chī diǎn suàn ma?</v>
      </c>
    </row>
    <row r="17" spans="1:5" ht="14.25" customHeight="1">
      <c r="A17" s="41" t="s">
        <v>3237</v>
      </c>
      <c r="B17" s="41" t="s">
        <v>3238</v>
      </c>
      <c r="C17" s="42" t="s">
        <v>3239</v>
      </c>
      <c r="D17" s="42"/>
      <c r="E17" s="6" t="str">
        <f ca="1">IFERROR(__xludf.DUMMYFUNCTION("""COMPUTED_VALUE"""),"Wǒ yào jiān gè jīdàn.")</f>
        <v>Wǒ yào jiān gè jīdàn.</v>
      </c>
    </row>
    <row r="18" spans="1:5" ht="14.25" customHeight="1">
      <c r="A18" s="41" t="s">
        <v>3240</v>
      </c>
      <c r="B18" s="41" t="s">
        <v>3241</v>
      </c>
      <c r="C18" s="42" t="s">
        <v>3242</v>
      </c>
      <c r="D18" s="42" t="s">
        <v>3243</v>
      </c>
      <c r="E18" s="5" t="str">
        <f ca="1">IFERROR(__xludf.DUMMYFUNCTION("""COMPUTED_VALUE"""),"Bùyào fàng tài duō yóu.")</f>
        <v>Bùyào fàng tài duō yóu.</v>
      </c>
    </row>
    <row r="19" spans="1:5" ht="14.25" customHeight="1">
      <c r="A19" s="41" t="s">
        <v>3244</v>
      </c>
      <c r="B19" s="41" t="s">
        <v>3245</v>
      </c>
      <c r="C19" s="42"/>
      <c r="D19" s="42"/>
      <c r="E19" s="4" t="str">
        <f ca="1">IFERROR(__xludf.DUMMYFUNCTION("""COMPUTED_VALUE"""),"Zhè dào cài xūyào jiā yán ma?")</f>
        <v>Zhè dào cài xūyào jiā yán ma?</v>
      </c>
    </row>
    <row r="20" spans="1:5" ht="14.25" customHeight="1">
      <c r="A20" s="41" t="s">
        <v>3246</v>
      </c>
      <c r="B20" s="41" t="s">
        <v>3247</v>
      </c>
      <c r="C20" s="42"/>
      <c r="D20" s="42" t="s">
        <v>3248</v>
      </c>
      <c r="E20" s="5" t="str">
        <f ca="1">IFERROR(__xludf.DUMMYFUNCTION("""COMPUTED_VALUE"""),"Jiā yīdiǎn táng.")</f>
        <v>Jiā yīdiǎn táng.</v>
      </c>
    </row>
    <row r="21" spans="1:5" ht="14.25" customHeight="1">
      <c r="A21" s="41" t="s">
        <v>3249</v>
      </c>
      <c r="B21" s="41" t="s">
        <v>3250</v>
      </c>
      <c r="C21" s="42"/>
      <c r="D21" s="42"/>
      <c r="E21" s="6" t="str">
        <f ca="1">IFERROR(__xludf.DUMMYFUNCTION("""COMPUTED_VALUE"""),"Wǒ xǐhuān zhège xiāngwèi!")</f>
        <v>Wǒ xǐhuān zhège xiāngwèi!</v>
      </c>
    </row>
    <row r="22" spans="1:5" ht="14.25" customHeight="1">
      <c r="A22" s="41" t="s">
        <v>3251</v>
      </c>
      <c r="B22" s="41" t="s">
        <v>3252</v>
      </c>
      <c r="C22" s="42" t="s">
        <v>3253</v>
      </c>
      <c r="D22" s="42" t="s">
        <v>3254</v>
      </c>
      <c r="E22" s="6" t="str">
        <f ca="1">IFERROR(__xludf.DUMMYFUNCTION("""COMPUTED_VALUE"""),"Shuǐ kāi la.")</f>
        <v>Shuǐ kāi la.</v>
      </c>
    </row>
    <row r="23" spans="1:5" ht="14.25" customHeight="1">
      <c r="A23" s="41" t="s">
        <v>3255</v>
      </c>
      <c r="B23" s="41" t="s">
        <v>3256</v>
      </c>
      <c r="C23" s="42" t="s">
        <v>3257</v>
      </c>
      <c r="D23" s="42"/>
      <c r="E23" s="6" t="str">
        <f ca="1">IFERROR(__xludf.DUMMYFUNCTION("""COMPUTED_VALUE"""),"Wǒ kěyǐ jiè yīgè tāng sháo ma?")</f>
        <v>Wǒ kěyǐ jiè yīgè tāng sháo ma?</v>
      </c>
    </row>
    <row r="24" spans="1:5" ht="14.25" customHeight="1">
      <c r="A24" s="41" t="s">
        <v>3258</v>
      </c>
      <c r="B24" s="41" t="s">
        <v>3259</v>
      </c>
      <c r="C24" s="42"/>
      <c r="D24" s="42" t="s">
        <v>3260</v>
      </c>
      <c r="E24" s="6" t="str">
        <f ca="1">IFERROR(__xludf.DUMMYFUNCTION("""COMPUTED_VALUE"""),"Wǒ kěyǐ cháng cháng ma?")</f>
        <v>Wǒ kěyǐ cháng cháng ma?</v>
      </c>
    </row>
    <row r="25" spans="1:5" ht="14.25" customHeight="1">
      <c r="A25" s="41" t="s">
        <v>3261</v>
      </c>
      <c r="B25" s="41" t="s">
        <v>3262</v>
      </c>
      <c r="C25" s="42"/>
      <c r="D25" s="42"/>
      <c r="E25" s="6" t="str">
        <f ca="1">IFERROR(__xludf.DUMMYFUNCTION("""COMPUTED_VALUE"""),"Nǎinai, zhēn hào chī!")</f>
        <v>Nǎinai, zhēn hào chī!</v>
      </c>
    </row>
    <row r="26" spans="1:5" ht="14.25" customHeight="1">
      <c r="A26" s="41" t="s">
        <v>3263</v>
      </c>
      <c r="B26" s="41" t="s">
        <v>3264</v>
      </c>
      <c r="C26" s="42"/>
      <c r="D26" s="42" t="s">
        <v>3265</v>
      </c>
      <c r="E26" s="6" t="str">
        <f ca="1">IFERROR(__xludf.DUMMYFUNCTION("""COMPUTED_VALUE"""),"Hǎoxiàng yǒudiǎn dàn.")</f>
        <v>Hǎoxiàng yǒudiǎn dàn.</v>
      </c>
    </row>
    <row r="27" spans="1:5" ht="14.25" customHeight="1">
      <c r="A27" s="41" t="s">
        <v>3266</v>
      </c>
      <c r="B27" s="41" t="s">
        <v>3267</v>
      </c>
      <c r="C27" s="42"/>
      <c r="D27" s="42"/>
      <c r="E27" s="6" t="str">
        <f ca="1">IFERROR(__xludf.DUMMYFUNCTION("""COMPUTED_VALUE"""),"Hǎoxiàng yǒudiǎn xián.")</f>
        <v>Hǎoxiàng yǒudiǎn xián.</v>
      </c>
    </row>
    <row r="28" spans="1:5" ht="14.25" customHeight="1">
      <c r="A28" s="41" t="s">
        <v>3268</v>
      </c>
      <c r="B28" s="41" t="s">
        <v>3269</v>
      </c>
      <c r="C28" s="42"/>
      <c r="D28" s="42" t="s">
        <v>3270</v>
      </c>
      <c r="E28" s="6" t="str">
        <f ca="1">IFERROR(__xludf.DUMMYFUNCTION("""COMPUTED_VALUE"""),"Wǒ xǐhuān hóngshāo yú.")</f>
        <v>Wǒ xǐhuān hóngshāo yú.</v>
      </c>
    </row>
    <row r="29" spans="1:5" ht="14.25" customHeight="1">
      <c r="A29" s="41" t="s">
        <v>3271</v>
      </c>
      <c r="B29" s="41" t="s">
        <v>3272</v>
      </c>
      <c r="C29" s="42"/>
      <c r="D29" s="42"/>
      <c r="E29" s="37" t="str">
        <f ca="1">IFERROR(__xludf.DUMMYFUNCTION("""COMPUTED_VALUE"""),"Shūshu, qǐngjiào wǒ zuò suān tāng ba.")</f>
        <v>Shūshu, qǐngjiào wǒ zuò suān tāng ba.</v>
      </c>
    </row>
    <row r="30" spans="1:5" ht="14.25" customHeight="1">
      <c r="A30" s="41" t="s">
        <v>3273</v>
      </c>
      <c r="B30" s="41" t="s">
        <v>3274</v>
      </c>
      <c r="C30" s="42"/>
      <c r="D30" s="42" t="s">
        <v>3275</v>
      </c>
      <c r="E30" s="6" t="str">
        <f ca="1">IFERROR(__xludf.DUMMYFUNCTION("""COMPUTED_VALUE"""),"Wǒ hái xūyào qù shìchǎng mǎi shénme ma?")</f>
        <v>Wǒ hái xūyào qù shìchǎng mǎi shénme ma?</v>
      </c>
    </row>
    <row r="31" spans="1:5" ht="14.25" customHeight="1">
      <c r="A31" s="41" t="s">
        <v>3276</v>
      </c>
      <c r="B31" s="41" t="s">
        <v>3277</v>
      </c>
      <c r="C31" s="42"/>
      <c r="D31" s="42"/>
      <c r="E31" s="4" t="str">
        <f ca="1">IFERROR(__xludf.DUMMYFUNCTION("""COMPUTED_VALUE"""),"Wǒ qù mǎidiǎn yú lù.")</f>
        <v>Wǒ qù mǎidiǎn yú lù.</v>
      </c>
    </row>
    <row r="32" spans="1:5" ht="14.25" customHeight="1">
      <c r="A32" s="41" t="s">
        <v>3278</v>
      </c>
      <c r="B32" s="41" t="s">
        <v>3279</v>
      </c>
      <c r="C32" s="42"/>
      <c r="D32" s="42" t="s">
        <v>3280</v>
      </c>
      <c r="E32" s="4" t="str">
        <f ca="1">IFERROR(__xludf.DUMMYFUNCTION("""COMPUTED_VALUE"""),"Wǒ lái bǎi zhuōzǐ.")</f>
        <v>Wǒ lái bǎi zhuōzǐ.</v>
      </c>
    </row>
    <row r="33" spans="1:5" ht="14.25" customHeight="1">
      <c r="A33" s="41" t="s">
        <v>3281</v>
      </c>
      <c r="B33" s="41" t="s">
        <v>3282</v>
      </c>
      <c r="C33" s="42" t="s">
        <v>3283</v>
      </c>
      <c r="D33" s="42"/>
      <c r="E33" s="4" t="str">
        <f ca="1">IFERROR(__xludf.DUMMYFUNCTION("""COMPUTED_VALUE"""),"Ná wǎn kuài lái.")</f>
        <v>Ná wǎn kuài lái.</v>
      </c>
    </row>
    <row r="34" spans="1:5" ht="14.25" customHeight="1">
      <c r="A34" s="41" t="s">
        <v>3284</v>
      </c>
      <c r="B34" s="41" t="s">
        <v>157</v>
      </c>
      <c r="C34" s="42"/>
      <c r="D34" s="42" t="s">
        <v>3285</v>
      </c>
      <c r="E34" s="4" t="str">
        <f ca="1">IFERROR(__xludf.DUMMYFUNCTION("""COMPUTED_VALUE"""),"Dàjiā kuài chīfàn ba.")</f>
        <v>Dàjiā kuài chīfàn ba.</v>
      </c>
    </row>
    <row r="35" spans="1:5" ht="14.25" customHeight="1">
      <c r="A35" s="41" t="s">
        <v>3286</v>
      </c>
      <c r="B35" s="41" t="s">
        <v>3287</v>
      </c>
      <c r="C35" s="42"/>
      <c r="D35" s="42"/>
      <c r="E35" s="8" t="str">
        <f ca="1">IFERROR(__xludf.DUMMYFUNCTION("""COMPUTED_VALUE"""),"Wǒ lái xǐ wǎn.")</f>
        <v>Wǒ lái xǐ wǎn.</v>
      </c>
    </row>
    <row r="36" spans="1:5" ht="14.25" customHeight="1">
      <c r="A36" s="41" t="s">
        <v>3288</v>
      </c>
      <c r="B36" s="41" t="s">
        <v>3289</v>
      </c>
      <c r="C36" s="42"/>
      <c r="D36" s="42" t="s">
        <v>3290</v>
      </c>
      <c r="E36" s="5" t="str">
        <f ca="1">IFERROR(__xludf.DUMMYFUNCTION("""COMPUTED_VALUE"""),"Xǐ jié jīng zài nǎ'er?")</f>
        <v>Xǐ jié jīng zài nǎ'er?</v>
      </c>
    </row>
    <row r="37" spans="1:5" ht="14.25" customHeight="1">
      <c r="A37" s="41" t="s">
        <v>3291</v>
      </c>
      <c r="B37" s="41" t="s">
        <v>3292</v>
      </c>
      <c r="C37" s="42" t="s">
        <v>3293</v>
      </c>
      <c r="D37" s="42"/>
      <c r="E37" s="8" t="str">
        <f ca="1">IFERROR(__xludf.DUMMYFUNCTION("""COMPUTED_VALUE"""),"Wǒ zài cā chúfáng táimiàn.")</f>
        <v>Wǒ zài cā chúfáng táimiàn.</v>
      </c>
    </row>
    <row r="38" spans="1:5" ht="14.25" customHeight="1">
      <c r="A38" s="41" t="s">
        <v>3294</v>
      </c>
      <c r="B38" s="41" t="s">
        <v>3295</v>
      </c>
      <c r="C38" s="42" t="s">
        <v>3296</v>
      </c>
      <c r="D38" s="42" t="s">
        <v>3297</v>
      </c>
      <c r="E38" s="5" t="str">
        <f ca="1">IFERROR(__xludf.DUMMYFUNCTION("""COMPUTED_VALUE"""),"Bǎ shíwù fàng jìn bīngxiāng.")</f>
        <v>Bǎ shíwù fàng jìn bīngxiāng.</v>
      </c>
    </row>
    <row r="39" spans="1:5" ht="14.25" customHeight="1">
      <c r="A39" s="41" t="s">
        <v>3298</v>
      </c>
      <c r="B39" s="41" t="s">
        <v>3299</v>
      </c>
      <c r="C39" s="42" t="s">
        <v>3300</v>
      </c>
      <c r="D39" s="42"/>
      <c r="E39" s="6" t="str">
        <f ca="1">IFERROR(__xludf.DUMMYFUNCTION("""COMPUTED_VALUE"""),"Bié ràng shíwù biànzhí.")</f>
        <v>Bié ràng shíwù biànzhí.</v>
      </c>
    </row>
    <row r="40" spans="1:5" ht="14.25" customHeight="1">
      <c r="A40" s="41" t="s">
        <v>3301</v>
      </c>
      <c r="B40" s="41" t="s">
        <v>3302</v>
      </c>
      <c r="C40" s="42"/>
      <c r="D40" s="42" t="s">
        <v>3303</v>
      </c>
      <c r="E40" s="6" t="str">
        <f ca="1">IFERROR(__xludf.DUMMYFUNCTION("""COMPUTED_VALUE"""),"Wǒ xiǎng hē diǎn guǒzhī.")</f>
        <v>Wǒ xiǎng hē diǎn guǒzhī.</v>
      </c>
    </row>
    <row r="41" spans="1:5" ht="14.25" customHeight="1">
      <c r="A41" s="41" t="s">
        <v>3304</v>
      </c>
      <c r="B41" s="41" t="s">
        <v>3305</v>
      </c>
      <c r="C41" s="42"/>
      <c r="D41" s="42"/>
      <c r="E41" s="5" t="str">
        <f ca="1">IFERROR(__xludf.DUMMYFUNCTION("""COMPUTED_VALUE"""),"Nǐ yǒu shuǐguǒ zuò tiándiǎn ma?")</f>
        <v>Nǐ yǒu shuǐguǒ zuò tiándiǎn ma?</v>
      </c>
    </row>
    <row r="42" spans="1:5" ht="14.25" customHeight="1">
      <c r="A42" s="41" t="s">
        <v>3306</v>
      </c>
      <c r="B42" s="41" t="s">
        <v>3307</v>
      </c>
      <c r="C42" s="42" t="s">
        <v>3308</v>
      </c>
      <c r="D42" s="42" t="s">
        <v>3309</v>
      </c>
      <c r="E42" s="4" t="str">
        <f ca="1">IFERROR(__xludf.DUMMYFUNCTION("""COMPUTED_VALUE"""),"Wǒ xǐhuān shú mángguǒ.")</f>
        <v>Wǒ xǐhuān shú mángguǒ.</v>
      </c>
    </row>
    <row r="43" spans="1:5" ht="14.25" customHeight="1">
      <c r="A43" s="41" t="s">
        <v>3310</v>
      </c>
      <c r="B43" s="41" t="s">
        <v>3311</v>
      </c>
      <c r="C43" s="42"/>
      <c r="D43" s="42"/>
      <c r="E43" s="5" t="str">
        <f ca="1">IFERROR(__xludf.DUMMYFUNCTION("""COMPUTED_VALUE"""),"Shūshu, nǐ shì zuì bàng de chúshī!")</f>
        <v>Shūshu, nǐ shì zuì bàng de chúshī!</v>
      </c>
    </row>
    <row r="44" spans="1:5" ht="14.25" customHeight="1">
      <c r="A44" s="41" t="s">
        <v>3312</v>
      </c>
      <c r="B44" s="41" t="s">
        <v>3313</v>
      </c>
      <c r="C44" s="42"/>
      <c r="D44" s="42" t="s">
        <v>3314</v>
      </c>
      <c r="E44" s="4" t="str">
        <f ca="1">IFERROR(__xludf.DUMMYFUNCTION("""COMPUTED_VALUE"""),"Wǒ chī bǎole.")</f>
        <v>Wǒ chī bǎole.</v>
      </c>
    </row>
    <row r="45" spans="1:5" ht="14.25" customHeight="1">
      <c r="A45" s="41" t="s">
        <v>3315</v>
      </c>
      <c r="B45" s="41" t="s">
        <v>3316</v>
      </c>
      <c r="C45" s="42"/>
      <c r="D45" s="42"/>
      <c r="E45" s="5" t="str">
        <f ca="1">IFERROR(__xludf.DUMMYFUNCTION("""COMPUTED_VALUE"""),"Wǒmen míngtiān zài yīqǐ zuò fàn ba.")</f>
        <v>Wǒmen míngtiān zài yīqǐ zuò fàn ba.</v>
      </c>
    </row>
    <row r="46" spans="1:5" ht="14.25" customHeight="1">
      <c r="A46" s="41" t="s">
        <v>3317</v>
      </c>
      <c r="B46" s="41" t="s">
        <v>3318</v>
      </c>
      <c r="C46" s="42"/>
      <c r="D46" s="42" t="s">
        <v>3319</v>
      </c>
      <c r="E46" s="4" t="str">
        <f ca="1">IFERROR(__xludf.DUMMYFUNCTION("""COMPUTED_VALUE"""),"Wǒ yào xué zuò gèng duō xīn cài.")</f>
        <v>Wǒ yào xué zuò gèng duō xīn cài.</v>
      </c>
    </row>
    <row r="47" spans="1:5" ht="14.25" customHeight="1">
      <c r="A47" s="41" t="s">
        <v>3320</v>
      </c>
      <c r="B47" s="41" t="s">
        <v>3321</v>
      </c>
      <c r="C47" s="42"/>
      <c r="D47" s="42"/>
      <c r="E47" s="4" t="str">
        <f ca="1">IFERROR(__xludf.DUMMYFUNCTION("""COMPUTED_VALUE"""),"Bié wàngle guān diào méiqì zào.")</f>
        <v>Bié wàngle guān diào méiqì zào.</v>
      </c>
    </row>
    <row r="48" spans="1:5" ht="14.25" customHeight="1">
      <c r="A48" s="41" t="s">
        <v>3322</v>
      </c>
      <c r="B48" s="41" t="s">
        <v>3323</v>
      </c>
      <c r="C48" s="42"/>
      <c r="D48" s="42" t="s">
        <v>3324</v>
      </c>
      <c r="E48" s="4" t="str">
        <f ca="1">IFERROR(__xludf.DUMMYFUNCTION("""COMPUTED_VALUE"""),"Chúfáng lèsè yīnggāi fàng zài nǎlǐ?")</f>
        <v>Chúfáng lèsè yīnggāi fàng zài nǎlǐ?</v>
      </c>
    </row>
    <row r="49" spans="1:5" ht="14.25" customHeight="1">
      <c r="A49" s="41" t="s">
        <v>3325</v>
      </c>
      <c r="B49" s="41" t="s">
        <v>3326</v>
      </c>
      <c r="C49" s="42"/>
      <c r="D49" s="42"/>
      <c r="E49" s="5" t="str">
        <f ca="1">IFERROR(__xludf.DUMMYFUNCTION("""COMPUTED_VALUE"""),"Wǒ qù dào lèsè.")</f>
        <v>Wǒ qù dào lèsè.</v>
      </c>
    </row>
    <row r="50" spans="1:5" ht="14.25" customHeight="1">
      <c r="A50" s="41" t="s">
        <v>3327</v>
      </c>
      <c r="B50" s="41" t="s">
        <v>3328</v>
      </c>
      <c r="C50" s="42"/>
      <c r="D50" s="42" t="s">
        <v>3329</v>
      </c>
      <c r="E50" s="6" t="str">
        <f ca="1">IFERROR(__xludf.DUMMYFUNCTION("""COMPUTED_VALUE"""),"Xièxiè nǐ jiào wǒ zuò fàn.")</f>
        <v>Xièxiè nǐ jiào wǒ zuò fàn.</v>
      </c>
    </row>
    <row r="51" spans="1:5" ht="14.25" customHeight="1">
      <c r="A51" s="41" t="s">
        <v>3330</v>
      </c>
      <c r="B51" s="41" t="s">
        <v>3331</v>
      </c>
      <c r="C51" s="42"/>
      <c r="D51" s="42"/>
      <c r="E51" s="6" t="str">
        <f ca="1">IFERROR(__xludf.DUMMYFUNCTION("""COMPUTED_VALUE"""),"Zhù nín yòngcān yúkuài.")</f>
        <v>Zhù nín yòngcān yúkuài.</v>
      </c>
    </row>
    <row r="52" spans="1:5" ht="14.25" customHeight="1">
      <c r="A52" s="42"/>
      <c r="B52" s="42"/>
      <c r="C52" s="42"/>
      <c r="D52" s="42" t="s">
        <v>3332</v>
      </c>
    </row>
    <row r="53" spans="1:5" ht="14.25" customHeight="1">
      <c r="A53" s="42"/>
      <c r="B53" s="42"/>
      <c r="C53" s="42"/>
      <c r="D53" s="42"/>
      <c r="E53" s="5"/>
    </row>
    <row r="54" spans="1:5" ht="14.25" customHeight="1">
      <c r="A54" s="42"/>
      <c r="B54" s="42"/>
      <c r="C54" s="42"/>
      <c r="D54" s="42" t="s">
        <v>3333</v>
      </c>
      <c r="E54" s="5"/>
    </row>
    <row r="55" spans="1:5" ht="14.25" customHeight="1">
      <c r="A55" s="42"/>
      <c r="B55" s="42"/>
      <c r="C55" s="42"/>
      <c r="D55" s="42"/>
      <c r="E55" s="5"/>
    </row>
    <row r="56" spans="1:5" ht="14.25" customHeight="1">
      <c r="A56" s="42"/>
      <c r="B56" s="42"/>
      <c r="C56" s="42"/>
      <c r="D56" s="42" t="s">
        <v>3334</v>
      </c>
      <c r="E56" s="5"/>
    </row>
    <row r="57" spans="1:5" ht="14.25" customHeight="1">
      <c r="A57" s="42"/>
      <c r="B57" s="42"/>
      <c r="C57" s="42"/>
      <c r="D57" s="42"/>
      <c r="E57" s="5"/>
    </row>
    <row r="58" spans="1:5" ht="14.25" customHeight="1">
      <c r="A58" s="42"/>
      <c r="B58" s="42"/>
      <c r="C58" s="42"/>
      <c r="D58" s="42" t="s">
        <v>3335</v>
      </c>
      <c r="E58" s="5"/>
    </row>
    <row r="59" spans="1:5" ht="14.25" customHeight="1">
      <c r="A59" s="42"/>
      <c r="B59" s="42"/>
      <c r="C59" s="42"/>
      <c r="D59" s="42"/>
    </row>
    <row r="60" spans="1:5" ht="14.25" customHeight="1">
      <c r="A60" s="42"/>
      <c r="B60" s="42"/>
      <c r="C60" s="42"/>
      <c r="D60" s="42" t="s">
        <v>3336</v>
      </c>
      <c r="E60" s="5"/>
    </row>
    <row r="61" spans="1:5" ht="14.25" customHeight="1">
      <c r="A61" s="42"/>
      <c r="B61" s="42"/>
      <c r="C61" s="42"/>
      <c r="D61" s="42"/>
      <c r="E61" s="5"/>
    </row>
    <row r="62" spans="1:5" ht="14.25" customHeight="1">
      <c r="A62" s="42"/>
      <c r="B62" s="42"/>
      <c r="C62" s="42"/>
      <c r="D62" s="42" t="s">
        <v>3337</v>
      </c>
      <c r="E62" s="5"/>
    </row>
    <row r="63" spans="1:5" ht="14.25" customHeight="1">
      <c r="A63" s="42"/>
      <c r="B63" s="42"/>
      <c r="C63" s="42"/>
      <c r="D63" s="42"/>
      <c r="E63" s="5"/>
    </row>
    <row r="64" spans="1:5" ht="14.25" customHeight="1">
      <c r="A64" s="42"/>
      <c r="B64" s="42"/>
      <c r="C64" s="42"/>
      <c r="D64" s="42" t="s">
        <v>3338</v>
      </c>
      <c r="E64" s="5"/>
    </row>
    <row r="65" spans="1:5" ht="14.25" customHeight="1">
      <c r="A65" s="42"/>
      <c r="B65" s="42"/>
      <c r="C65" s="42"/>
      <c r="D65" s="42"/>
      <c r="E65" s="5"/>
    </row>
    <row r="66" spans="1:5" ht="14.25" customHeight="1">
      <c r="A66" s="42"/>
      <c r="B66" s="42"/>
      <c r="C66" s="42"/>
      <c r="D66" s="42" t="s">
        <v>3339</v>
      </c>
      <c r="E66" s="5"/>
    </row>
    <row r="67" spans="1:5" ht="14.25" customHeight="1">
      <c r="A67" s="42"/>
      <c r="B67" s="42"/>
      <c r="C67" s="42"/>
      <c r="D67" s="42"/>
      <c r="E67" s="5"/>
    </row>
    <row r="68" spans="1:5" ht="14.25" customHeight="1">
      <c r="A68" s="42"/>
      <c r="B68" s="42"/>
      <c r="C68" s="42"/>
      <c r="D68" s="42" t="s">
        <v>3340</v>
      </c>
      <c r="E68" s="5"/>
    </row>
    <row r="69" spans="1:5" ht="14.25" customHeight="1">
      <c r="A69" s="42"/>
      <c r="B69" s="42"/>
      <c r="C69" s="42"/>
      <c r="D69" s="42"/>
      <c r="E69" s="5"/>
    </row>
    <row r="70" spans="1:5" ht="14.25" customHeight="1">
      <c r="A70" s="42"/>
      <c r="B70" s="42"/>
      <c r="C70" s="42"/>
      <c r="D70" s="42" t="s">
        <v>3341</v>
      </c>
      <c r="E70" s="5"/>
    </row>
    <row r="71" spans="1:5" ht="14.25" customHeight="1">
      <c r="A71" s="42"/>
      <c r="B71" s="42"/>
      <c r="C71" s="42"/>
      <c r="D71" s="42"/>
      <c r="E71" s="5"/>
    </row>
    <row r="72" spans="1:5" ht="14.25" customHeight="1">
      <c r="A72" s="42"/>
      <c r="B72" s="42"/>
      <c r="C72" s="42"/>
      <c r="D72" s="42" t="s">
        <v>3342</v>
      </c>
      <c r="E72" s="5"/>
    </row>
    <row r="73" spans="1:5" ht="14.25" customHeight="1">
      <c r="A73" s="42"/>
      <c r="B73" s="42"/>
      <c r="C73" s="42"/>
      <c r="D73" s="42"/>
      <c r="E73" s="5"/>
    </row>
    <row r="74" spans="1:5" ht="14.25" customHeight="1">
      <c r="A74" s="42"/>
      <c r="B74" s="42"/>
      <c r="C74" s="42"/>
      <c r="D74" s="42" t="s">
        <v>3343</v>
      </c>
      <c r="E74" s="5"/>
    </row>
    <row r="75" spans="1:5" ht="14.25" customHeight="1">
      <c r="A75" s="42"/>
      <c r="B75" s="42"/>
      <c r="C75" s="42"/>
      <c r="D75" s="42"/>
      <c r="E75" s="5"/>
    </row>
    <row r="76" spans="1:5" ht="14.25" customHeight="1">
      <c r="A76" s="42"/>
      <c r="B76" s="42"/>
      <c r="C76" s="42"/>
      <c r="D76" s="42" t="s">
        <v>3344</v>
      </c>
      <c r="E76" s="5"/>
    </row>
    <row r="77" spans="1:5" ht="14.25" customHeight="1">
      <c r="A77" s="42"/>
      <c r="B77" s="42"/>
      <c r="C77" s="42"/>
      <c r="D77" s="42"/>
      <c r="E77" s="5"/>
    </row>
    <row r="78" spans="1:5" ht="14.25" customHeight="1">
      <c r="A78" s="42"/>
      <c r="B78" s="42"/>
      <c r="C78" s="42"/>
      <c r="D78" s="42" t="s">
        <v>3345</v>
      </c>
      <c r="E78" s="5"/>
    </row>
    <row r="79" spans="1:5" ht="14.25" customHeight="1">
      <c r="A79" s="42"/>
      <c r="B79" s="42"/>
      <c r="C79" s="42"/>
      <c r="D79" s="42"/>
      <c r="E79" s="5"/>
    </row>
    <row r="80" spans="1:5" ht="14.25" customHeight="1">
      <c r="A80" s="42"/>
      <c r="B80" s="42"/>
      <c r="C80" s="42"/>
      <c r="D80" s="42" t="s">
        <v>3346</v>
      </c>
      <c r="E80" s="5"/>
    </row>
    <row r="81" spans="1:5" ht="14.25" customHeight="1">
      <c r="A81" s="42"/>
      <c r="B81" s="42"/>
      <c r="C81" s="42"/>
      <c r="D81" s="42"/>
      <c r="E81" s="5"/>
    </row>
    <row r="82" spans="1:5" ht="14.25" customHeight="1">
      <c r="A82" s="42"/>
      <c r="B82" s="42"/>
      <c r="C82" s="42"/>
      <c r="D82" s="42" t="s">
        <v>3347</v>
      </c>
      <c r="E82" s="5"/>
    </row>
    <row r="83" spans="1:5" ht="14.25" customHeight="1">
      <c r="A83" s="42"/>
      <c r="B83" s="42"/>
      <c r="C83" s="42"/>
      <c r="D83" s="42"/>
      <c r="E83" s="5"/>
    </row>
    <row r="84" spans="1:5" ht="14.25" customHeight="1">
      <c r="A84" s="42"/>
      <c r="B84" s="42"/>
      <c r="C84" s="42"/>
      <c r="D84" s="42" t="s">
        <v>3348</v>
      </c>
      <c r="E84" s="5"/>
    </row>
    <row r="85" spans="1:5" ht="14.25" customHeight="1">
      <c r="A85" s="42"/>
      <c r="B85" s="42"/>
      <c r="C85" s="42"/>
      <c r="D85" s="42"/>
      <c r="E85" s="5"/>
    </row>
    <row r="86" spans="1:5" ht="14.25" customHeight="1">
      <c r="A86" s="42"/>
      <c r="B86" s="42"/>
      <c r="C86" s="42"/>
      <c r="D86" s="42" t="s">
        <v>247</v>
      </c>
      <c r="E86" s="5"/>
    </row>
    <row r="87" spans="1:5" ht="14.25" customHeight="1">
      <c r="A87" s="42"/>
      <c r="B87" s="42"/>
      <c r="C87" s="42"/>
      <c r="D87" s="42"/>
      <c r="E87" s="5"/>
    </row>
    <row r="88" spans="1:5" ht="14.25" customHeight="1">
      <c r="A88" s="42"/>
      <c r="B88" s="42"/>
      <c r="C88" s="42"/>
      <c r="D88" s="42" t="s">
        <v>3349</v>
      </c>
      <c r="E88" s="5"/>
    </row>
    <row r="89" spans="1:5" ht="14.25" customHeight="1">
      <c r="A89" s="42"/>
      <c r="B89" s="42"/>
      <c r="C89" s="42"/>
      <c r="D89" s="42"/>
      <c r="E89" s="5"/>
    </row>
    <row r="90" spans="1:5" ht="14.25" customHeight="1">
      <c r="A90" s="42"/>
      <c r="B90" s="42"/>
      <c r="C90" s="42"/>
      <c r="D90" s="42" t="s">
        <v>3350</v>
      </c>
      <c r="E90" s="5"/>
    </row>
    <row r="91" spans="1:5" ht="14.25" customHeight="1">
      <c r="A91" s="42"/>
      <c r="B91" s="42"/>
      <c r="C91" s="42"/>
      <c r="D91" s="42"/>
      <c r="E91" s="5"/>
    </row>
    <row r="92" spans="1:5" ht="14.25" customHeight="1">
      <c r="A92" s="42"/>
      <c r="B92" s="42"/>
      <c r="C92" s="42"/>
      <c r="D92" s="42" t="s">
        <v>3351</v>
      </c>
      <c r="E92" s="5"/>
    </row>
    <row r="93" spans="1:5" ht="14.25" customHeight="1">
      <c r="A93" s="42"/>
      <c r="B93" s="42"/>
      <c r="C93" s="42"/>
      <c r="D93" s="42"/>
      <c r="E93" s="5"/>
    </row>
    <row r="94" spans="1:5" ht="14.25" customHeight="1">
      <c r="A94" s="42"/>
      <c r="B94" s="42"/>
      <c r="C94" s="42"/>
      <c r="D94" s="42" t="s">
        <v>3352</v>
      </c>
      <c r="E94" s="5"/>
    </row>
    <row r="95" spans="1:5" ht="14.25" customHeight="1">
      <c r="A95" s="42"/>
      <c r="B95" s="42"/>
      <c r="C95" s="42"/>
      <c r="D95" s="42"/>
      <c r="E95" s="5"/>
    </row>
    <row r="96" spans="1:5" ht="14.25" customHeight="1">
      <c r="A96" s="42"/>
      <c r="B96" s="42"/>
      <c r="C96" s="42"/>
      <c r="D96" s="42" t="s">
        <v>3353</v>
      </c>
      <c r="E96" s="5"/>
    </row>
    <row r="97" spans="1:5" ht="14.25" customHeight="1">
      <c r="A97" s="42"/>
      <c r="B97" s="42"/>
      <c r="C97" s="42"/>
      <c r="D97" s="42"/>
      <c r="E97" s="5"/>
    </row>
    <row r="98" spans="1:5" ht="14.25" customHeight="1">
      <c r="A98" s="42"/>
      <c r="B98" s="42"/>
      <c r="C98" s="42"/>
      <c r="D98" s="42" t="s">
        <v>3354</v>
      </c>
      <c r="E98" s="5"/>
    </row>
    <row r="99" spans="1:5" ht="14.25" customHeight="1">
      <c r="A99" s="42"/>
      <c r="B99" s="42"/>
      <c r="C99" s="42"/>
      <c r="D99" s="42"/>
      <c r="E99" s="5"/>
    </row>
    <row r="100" spans="1:5" ht="14.25" customHeight="1">
      <c r="A100" s="42"/>
      <c r="B100" s="42"/>
      <c r="C100" s="42"/>
      <c r="D100" s="42" t="s">
        <v>3355</v>
      </c>
      <c r="E100" s="5"/>
    </row>
  </sheetData>
  <pageMargins left="0.75" right="0.75" top="1" bottom="1"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Views>
    <sheetView workbookViewId="0">
      <pane ySplit="1" topLeftCell="A2" activePane="bottomLeft" state="frozen"/>
      <selection pane="bottomLeft" activeCell="B3" sqref="B3"/>
    </sheetView>
  </sheetViews>
  <sheetFormatPr defaultColWidth="14.44140625" defaultRowHeight="15" customHeight="1"/>
  <cols>
    <col min="1" max="1" width="47.109375" customWidth="1"/>
    <col min="2" max="2" width="42" customWidth="1"/>
    <col min="3" max="3" width="37.44140625" customWidth="1"/>
    <col min="4" max="4" width="31.33203125" customWidth="1"/>
    <col min="5" max="5" width="56.88671875" customWidth="1"/>
    <col min="6" max="7" width="31.33203125" customWidth="1"/>
  </cols>
  <sheetData>
    <row r="1" spans="1:7" ht="14.25" customHeight="1">
      <c r="A1" s="12" t="s">
        <v>3356</v>
      </c>
      <c r="C1" s="10" t="s">
        <v>3357</v>
      </c>
      <c r="D1" s="10"/>
      <c r="E1" s="2"/>
      <c r="F1" s="10" t="s">
        <v>760</v>
      </c>
      <c r="G1" s="24"/>
    </row>
    <row r="2" spans="1:7" ht="14.25" customHeight="1">
      <c r="A2" s="41" t="s">
        <v>3358</v>
      </c>
      <c r="B2" s="43" t="s">
        <v>3359</v>
      </c>
      <c r="C2" s="44"/>
      <c r="D2" s="44" t="s">
        <v>3360</v>
      </c>
      <c r="E2" s="5" t="str">
        <f ca="1">IFERROR(__xludf.DUMMYFUNCTION("FILTER(D1:D1004,D1:D1004&lt;&gt; """")"),"Nǐ jīntiān zhēn piàoliang!")</f>
        <v>Nǐ jīntiān zhēn piàoliang!</v>
      </c>
      <c r="F2" s="44"/>
      <c r="G2" s="44"/>
    </row>
    <row r="3" spans="1:7" ht="14.25" customHeight="1">
      <c r="A3" s="41" t="s">
        <v>3361</v>
      </c>
      <c r="B3" s="43" t="s">
        <v>3362</v>
      </c>
      <c r="C3" s="44"/>
      <c r="D3" s="44"/>
      <c r="E3" s="6" t="str">
        <f ca="1">IFERROR(__xludf.DUMMYFUNCTION("""COMPUTED_VALUE"""),"Wǒ xǐhuān nǐ de chènshān.")</f>
        <v>Wǒ xǐhuān nǐ de chènshān.</v>
      </c>
      <c r="F3" s="44"/>
      <c r="G3" s="44"/>
    </row>
    <row r="4" spans="1:7" ht="14.25" customHeight="1">
      <c r="A4" s="41" t="s">
        <v>3363</v>
      </c>
      <c r="B4" s="43" t="s">
        <v>3364</v>
      </c>
      <c r="C4" s="44"/>
      <c r="D4" s="44" t="s">
        <v>3365</v>
      </c>
      <c r="E4" s="5" t="str">
        <f ca="1">IFERROR(__xludf.DUMMYFUNCTION("""COMPUTED_VALUE"""),"Nǐ zhēn gāo!")</f>
        <v>Nǐ zhēn gāo!</v>
      </c>
      <c r="F4" s="44"/>
      <c r="G4" s="44"/>
    </row>
    <row r="5" spans="1:7" ht="14.25" customHeight="1">
      <c r="A5" s="41" t="s">
        <v>3366</v>
      </c>
      <c r="B5" s="43" t="s">
        <v>3367</v>
      </c>
      <c r="C5" s="44" t="s">
        <v>3368</v>
      </c>
      <c r="D5" s="10"/>
      <c r="E5" s="5" t="str">
        <f ca="1">IFERROR(__xludf.DUMMYFUNCTION("""COMPUTED_VALUE"""),"Wǒ yǒudiǎn ǎi.")</f>
        <v>Wǒ yǒudiǎn ǎi.</v>
      </c>
      <c r="F5" s="10" t="s">
        <v>3369</v>
      </c>
      <c r="G5" s="10" t="s">
        <v>3370</v>
      </c>
    </row>
    <row r="6" spans="1:7" ht="14.25" customHeight="1">
      <c r="A6" s="41" t="s">
        <v>3371</v>
      </c>
      <c r="B6" s="43" t="s">
        <v>3372</v>
      </c>
      <c r="C6" s="44"/>
      <c r="D6" s="44" t="s">
        <v>3373</v>
      </c>
      <c r="E6" s="5" t="str">
        <f ca="1">IFERROR(__xludf.DUMMYFUNCTION("""COMPUTED_VALUE"""),"Tā yǒu yītóu zhǎng fā.")</f>
        <v>Tā yǒu yītóu zhǎng fā.</v>
      </c>
      <c r="F6" s="44"/>
      <c r="G6" s="44"/>
    </row>
    <row r="7" spans="1:7" ht="14.25" customHeight="1">
      <c r="A7" s="41" t="s">
        <v>3374</v>
      </c>
      <c r="B7" s="43" t="s">
        <v>3375</v>
      </c>
      <c r="C7" s="44"/>
      <c r="D7" s="44"/>
      <c r="E7" s="5" t="str">
        <f ca="1">IFERROR(__xludf.DUMMYFUNCTION("""COMPUTED_VALUE"""),"Tā yǒu yītóu duǎnfǎ.")</f>
        <v>Tā yǒu yītóu duǎnfǎ.</v>
      </c>
      <c r="F7" s="44"/>
      <c r="G7" s="44"/>
    </row>
    <row r="8" spans="1:7" ht="14.25" customHeight="1">
      <c r="A8" s="41" t="s">
        <v>3376</v>
      </c>
      <c r="B8" s="43" t="s">
        <v>3377</v>
      </c>
      <c r="C8" s="44"/>
      <c r="D8" s="44" t="s">
        <v>3378</v>
      </c>
      <c r="E8" s="5" t="str">
        <f ca="1">IFERROR(__xludf.DUMMYFUNCTION("""COMPUTED_VALUE"""),"Nǐ de tóufǎ shì shénme yánsè de?")</f>
        <v>Nǐ de tóufǎ shì shénme yánsè de?</v>
      </c>
      <c r="F8" s="44"/>
      <c r="G8" s="44"/>
    </row>
    <row r="9" spans="1:7" ht="14.25" customHeight="1">
      <c r="A9" s="41" t="s">
        <v>3379</v>
      </c>
      <c r="B9" s="43" t="s">
        <v>3380</v>
      </c>
      <c r="C9" s="44"/>
      <c r="D9" s="44"/>
      <c r="E9" s="5" t="str">
        <f ca="1">IFERROR(__xludf.DUMMYFUNCTION("""COMPUTED_VALUE"""),"Nǐ de yǎnjīng zhēn piàoliang.")</f>
        <v>Nǐ de yǎnjīng zhēn piàoliang.</v>
      </c>
      <c r="F9" s="44"/>
      <c r="G9" s="44"/>
    </row>
    <row r="10" spans="1:7" ht="14.25" customHeight="1">
      <c r="A10" s="41" t="s">
        <v>3381</v>
      </c>
      <c r="B10" s="43" t="s">
        <v>3382</v>
      </c>
      <c r="C10" s="44"/>
      <c r="D10" s="44" t="s">
        <v>3383</v>
      </c>
      <c r="E10" s="5" t="str">
        <f ca="1">IFERROR(__xludf.DUMMYFUNCTION("""COMPUTED_VALUE"""),"Nǐ chuān de shì shénme?")</f>
        <v>Nǐ chuān de shì shénme?</v>
      </c>
      <c r="F10" s="44"/>
      <c r="G10" s="44"/>
    </row>
    <row r="11" spans="1:7" ht="14.25" customHeight="1">
      <c r="A11" s="41" t="s">
        <v>3384</v>
      </c>
      <c r="B11" s="43" t="s">
        <v>3385</v>
      </c>
      <c r="C11" s="44"/>
      <c r="D11" s="44"/>
      <c r="E11" s="5" t="str">
        <f ca="1">IFERROR(__xludf.DUMMYFUNCTION("""COMPUTED_VALUE"""),"Wǒ chuānle yī jiàn T xù.")</f>
        <v>Wǒ chuānle yī jiàn T xù.</v>
      </c>
      <c r="F11" s="44"/>
      <c r="G11" s="44"/>
    </row>
    <row r="12" spans="1:7" ht="14.25" customHeight="1">
      <c r="A12" s="41" t="s">
        <v>3386</v>
      </c>
      <c r="B12" s="43" t="s">
        <v>3387</v>
      </c>
      <c r="C12" s="44"/>
      <c r="D12" s="44" t="s">
        <v>3388</v>
      </c>
      <c r="E12" s="6" t="str">
        <f ca="1">IFERROR(__xludf.DUMMYFUNCTION("""COMPUTED_VALUE"""),"Wǒ chuānle yītiáo duǎnkù.")</f>
        <v>Wǒ chuānle yītiáo duǎnkù.</v>
      </c>
      <c r="F12" s="44"/>
      <c r="G12" s="44"/>
    </row>
    <row r="13" spans="1:7" ht="14.25" customHeight="1">
      <c r="A13" s="41" t="s">
        <v>3389</v>
      </c>
      <c r="B13" s="43" t="s">
        <v>3390</v>
      </c>
      <c r="C13" s="44"/>
      <c r="D13" s="44"/>
      <c r="E13" s="6" t="str">
        <f ca="1">IFERROR(__xludf.DUMMYFUNCTION("""COMPUTED_VALUE"""),"Tiānqì lěng, qǐng chuān jiàn wàitào.")</f>
        <v>Tiānqì lěng, qǐng chuān jiàn wàitào.</v>
      </c>
      <c r="F13" s="44"/>
      <c r="G13" s="44"/>
    </row>
    <row r="14" spans="1:7" ht="14.25" customHeight="1">
      <c r="A14" s="41" t="s">
        <v>3391</v>
      </c>
      <c r="B14" s="43" t="s">
        <v>3392</v>
      </c>
      <c r="C14" s="44"/>
      <c r="D14" s="44" t="s">
        <v>3393</v>
      </c>
      <c r="E14" s="6" t="str">
        <f ca="1">IFERROR(__xludf.DUMMYFUNCTION("""COMPUTED_VALUE"""),"Wǒ xǐhuān chuān yùndòng xié.")</f>
        <v>Wǒ xǐhuān chuān yùndòng xié.</v>
      </c>
      <c r="F14" s="44"/>
      <c r="G14" s="44"/>
    </row>
    <row r="15" spans="1:7" ht="14.25" customHeight="1">
      <c r="A15" s="41" t="s">
        <v>3394</v>
      </c>
      <c r="B15" s="43" t="s">
        <v>3395</v>
      </c>
      <c r="C15" s="44" t="s">
        <v>3396</v>
      </c>
      <c r="D15" s="10"/>
      <c r="E15" s="6" t="str">
        <f ca="1">IFERROR(__xludf.DUMMYFUNCTION("""COMPUTED_VALUE"""),"Wǒ de liángxié zài nǎlǐ?")</f>
        <v>Wǒ de liángxié zài nǎlǐ?</v>
      </c>
      <c r="F15" s="10" t="s">
        <v>3397</v>
      </c>
      <c r="G15" s="10" t="s">
        <v>3398</v>
      </c>
    </row>
    <row r="16" spans="1:7" ht="14.25" customHeight="1">
      <c r="A16" s="41" t="s">
        <v>3399</v>
      </c>
      <c r="B16" s="43" t="s">
        <v>3400</v>
      </c>
      <c r="C16" s="44"/>
      <c r="D16" s="44" t="s">
        <v>3401</v>
      </c>
      <c r="E16" s="6" t="str">
        <f ca="1">IFERROR(__xludf.DUMMYFUNCTION("""COMPUTED_VALUE"""),"Wǒ xū yāo mǎi yī dǐng màozǐ.")</f>
        <v>Wǒ xū yāo mǎi yī dǐng màozǐ.</v>
      </c>
      <c r="F16" s="44"/>
      <c r="G16" s="44"/>
    </row>
    <row r="17" spans="1:7" ht="14.25" customHeight="1">
      <c r="A17" s="41" t="s">
        <v>3402</v>
      </c>
      <c r="B17" s="43" t="s">
        <v>3403</v>
      </c>
      <c r="C17" s="44"/>
      <c r="D17" s="44"/>
      <c r="E17" s="6" t="str">
        <f ca="1">IFERROR(__xludf.DUMMYFUNCTION("""COMPUTED_VALUE"""),"Zhè tiáo qúnzǐ hěn shìhé nǐ.")</f>
        <v>Zhè tiáo qúnzǐ hěn shìhé nǐ.</v>
      </c>
      <c r="F17" s="44"/>
      <c r="G17" s="44"/>
    </row>
    <row r="18" spans="1:7" ht="14.25" customHeight="1">
      <c r="A18" s="41" t="s">
        <v>3404</v>
      </c>
      <c r="B18" s="43" t="s">
        <v>3405</v>
      </c>
      <c r="C18" s="44"/>
      <c r="D18" s="44" t="s">
        <v>3406</v>
      </c>
      <c r="E18" s="5" t="str">
        <f ca="1">IFERROR(__xludf.DUMMYFUNCTION("""COMPUTED_VALUE"""),"Nǐ kàn qǐlái zhēn kù!")</f>
        <v>Nǐ kàn qǐlái zhēn kù!</v>
      </c>
      <c r="F18" s="44"/>
      <c r="G18" s="44"/>
    </row>
    <row r="19" spans="1:7" ht="14.25" customHeight="1">
      <c r="A19" s="41" t="s">
        <v>3407</v>
      </c>
      <c r="B19" s="43" t="s">
        <v>3408</v>
      </c>
      <c r="C19" s="44"/>
      <c r="D19" s="44"/>
      <c r="E19" s="4" t="str">
        <f ca="1">IFERROR(__xludf.DUMMYFUNCTION("""COMPUTED_VALUE"""),"Tā kàn qǐlái zhēn qiángzhuàng.")</f>
        <v>Tā kàn qǐlái zhēn qiángzhuàng.</v>
      </c>
      <c r="F19" s="44"/>
      <c r="G19" s="44"/>
    </row>
    <row r="20" spans="1:7" ht="14.25" customHeight="1">
      <c r="A20" s="41" t="s">
        <v>3409</v>
      </c>
      <c r="B20" s="43" t="s">
        <v>3410</v>
      </c>
      <c r="C20" s="44" t="s">
        <v>3411</v>
      </c>
      <c r="D20" s="10" t="s">
        <v>3412</v>
      </c>
      <c r="E20" s="5" t="str">
        <f ca="1">IFERROR(__xludf.DUMMYFUNCTION("""COMPUTED_VALUE"""),"Wǒ xiǎng hé nǐ yīyàng gāo.")</f>
        <v>Wǒ xiǎng hé nǐ yīyàng gāo.</v>
      </c>
      <c r="F20" s="10" t="s">
        <v>3413</v>
      </c>
      <c r="G20" s="10" t="s">
        <v>3414</v>
      </c>
    </row>
    <row r="21" spans="1:7" ht="14.25" customHeight="1">
      <c r="A21" s="41" t="s">
        <v>3415</v>
      </c>
      <c r="B21" s="43" t="s">
        <v>3416</v>
      </c>
      <c r="C21" s="44"/>
      <c r="D21" s="44"/>
      <c r="E21" s="6" t="str">
        <f ca="1">IFERROR(__xludf.DUMMYFUNCTION("""COMPUTED_VALUE"""),"Nǐ dài yǎnjìng ma?")</f>
        <v>Nǐ dài yǎnjìng ma?</v>
      </c>
      <c r="F21" s="44"/>
      <c r="G21" s="44"/>
    </row>
    <row r="22" spans="1:7" ht="14.25" customHeight="1">
      <c r="A22" s="41" t="s">
        <v>3417</v>
      </c>
      <c r="B22" s="43" t="s">
        <v>3418</v>
      </c>
      <c r="C22" s="44" t="s">
        <v>3419</v>
      </c>
      <c r="D22" s="44" t="s">
        <v>3420</v>
      </c>
      <c r="E22" s="6" t="str">
        <f ca="1">IFERROR(__xludf.DUMMYFUNCTION("""COMPUTED_VALUE"""),"Wǒ jìnshì, suǒyǐ wǒ dài yǎnjìng.")</f>
        <v>Wǒ jìnshì, suǒyǐ wǒ dài yǎnjìng.</v>
      </c>
      <c r="F22" s="44" t="s">
        <v>3421</v>
      </c>
      <c r="G22" s="10" t="s">
        <v>3422</v>
      </c>
    </row>
    <row r="23" spans="1:7" ht="14.25" customHeight="1">
      <c r="A23" s="41" t="s">
        <v>3423</v>
      </c>
      <c r="B23" s="43" t="s">
        <v>3424</v>
      </c>
      <c r="C23" s="44"/>
      <c r="D23" s="44"/>
      <c r="E23" s="6" t="str">
        <f ca="1">IFERROR(__xludf.DUMMYFUNCTION("""COMPUTED_VALUE"""),"Wǒ jīntiān chuānle xīn yīfú.")</f>
        <v>Wǒ jīntiān chuānle xīn yīfú.</v>
      </c>
      <c r="F23" s="44"/>
      <c r="G23" s="44"/>
    </row>
    <row r="24" spans="1:7" ht="14.25" customHeight="1">
      <c r="A24" s="41" t="s">
        <v>3425</v>
      </c>
      <c r="B24" s="43" t="s">
        <v>3426</v>
      </c>
      <c r="C24" s="44"/>
      <c r="D24" s="44" t="s">
        <v>3427</v>
      </c>
      <c r="E24" s="6" t="str">
        <f ca="1">IFERROR(__xludf.DUMMYFUNCTION("""COMPUTED_VALUE"""),"Zhèxiē yīfú xǐguòle ma?")</f>
        <v>Zhèxiē yīfú xǐguòle ma?</v>
      </c>
      <c r="F24" s="44"/>
      <c r="G24" s="44"/>
    </row>
    <row r="25" spans="1:7" ht="14.25" customHeight="1">
      <c r="A25" s="41" t="s">
        <v>3428</v>
      </c>
      <c r="B25" s="43" t="s">
        <v>3429</v>
      </c>
      <c r="C25" s="44"/>
      <c r="D25" s="44"/>
      <c r="E25" s="6" t="str">
        <f ca="1">IFERROR(__xludf.DUMMYFUNCTION("""COMPUTED_VALUE"""),"Wǒ xūyào xǐ gè zǎo huàn shēn yīfú.")</f>
        <v>Wǒ xūyào xǐ gè zǎo huàn shēn yīfú.</v>
      </c>
      <c r="F25" s="44"/>
      <c r="G25" s="44"/>
    </row>
    <row r="26" spans="1:7" ht="14.25" customHeight="1">
      <c r="A26" s="41" t="s">
        <v>3430</v>
      </c>
      <c r="B26" s="43" t="s">
        <v>3431</v>
      </c>
      <c r="C26" s="44"/>
      <c r="D26" s="44" t="s">
        <v>3432</v>
      </c>
      <c r="E26" s="6" t="str">
        <f ca="1">IFERROR(__xludf.DUMMYFUNCTION("""COMPUTED_VALUE"""),"Wǒ kěyǐ jièyòng yīxià nǐ de shūzǐ ma?")</f>
        <v>Wǒ kěyǐ jièyòng yīxià nǐ de shūzǐ ma?</v>
      </c>
      <c r="F26" s="44"/>
      <c r="G26" s="44"/>
    </row>
    <row r="27" spans="1:7" ht="14.25" customHeight="1">
      <c r="A27" s="41" t="s">
        <v>3433</v>
      </c>
      <c r="B27" s="43" t="s">
        <v>3434</v>
      </c>
      <c r="C27" s="44"/>
      <c r="D27" s="44"/>
      <c r="E27" s="6" t="str">
        <f ca="1">IFERROR(__xludf.DUMMYFUNCTION("""COMPUTED_VALUE"""),"Wǒ zài shūtóu.")</f>
        <v>Wǒ zài shūtóu.</v>
      </c>
      <c r="F27" s="44"/>
      <c r="G27" s="44"/>
    </row>
    <row r="28" spans="1:7" ht="14.25" customHeight="1">
      <c r="A28" s="41" t="s">
        <v>3435</v>
      </c>
      <c r="B28" s="43" t="s">
        <v>3436</v>
      </c>
      <c r="C28" s="44"/>
      <c r="D28" s="44" t="s">
        <v>3437</v>
      </c>
      <c r="E28" s="6" t="str">
        <f ca="1">IFERROR(__xludf.DUMMYFUNCTION("""COMPUTED_VALUE"""),"Nǐ pèn xiāngshuǐle ma?")</f>
        <v>Nǐ pèn xiāngshuǐle ma?</v>
      </c>
      <c r="F28" s="44"/>
      <c r="G28" s="44"/>
    </row>
    <row r="29" spans="1:7" ht="14.25" customHeight="1">
      <c r="A29" s="41" t="s">
        <v>3438</v>
      </c>
      <c r="B29" s="41" t="s">
        <v>3439</v>
      </c>
      <c r="C29" s="42"/>
      <c r="D29" s="42"/>
      <c r="E29" s="37" t="str">
        <f ca="1">IFERROR(__xludf.DUMMYFUNCTION("""COMPUTED_VALUE"""),"Wén qǐlái hěn xiāng.")</f>
        <v>Wén qǐlái hěn xiāng.</v>
      </c>
      <c r="F29" s="42"/>
      <c r="G29" s="42"/>
    </row>
    <row r="30" spans="1:7" ht="14.25" customHeight="1">
      <c r="A30" s="41" t="s">
        <v>3440</v>
      </c>
      <c r="B30" s="43" t="s">
        <v>3441</v>
      </c>
      <c r="C30" s="44"/>
      <c r="D30" s="44" t="s">
        <v>3442</v>
      </c>
      <c r="E30" s="6" t="str">
        <f ca="1">IFERROR(__xludf.DUMMYFUNCTION("""COMPUTED_VALUE"""),"Wǒ xǐhuān chuān yánsè xiānyàn de yīfú.")</f>
        <v>Wǒ xǐhuān chuān yánsè xiānyàn de yīfú.</v>
      </c>
      <c r="F30" s="44"/>
      <c r="G30" s="44"/>
    </row>
    <row r="31" spans="1:7" ht="14.25" customHeight="1">
      <c r="A31" s="41" t="s">
        <v>3443</v>
      </c>
      <c r="B31" s="43" t="s">
        <v>3444</v>
      </c>
      <c r="C31" s="44" t="s">
        <v>3445</v>
      </c>
      <c r="D31" s="10"/>
      <c r="E31" s="4" t="str">
        <f ca="1">IFERROR(__xludf.DUMMYFUNCTION("""COMPUTED_VALUE"""),"Zhè tiáo kùzǐ tài dàle.")</f>
        <v>Zhè tiáo kùzǐ tài dàle.</v>
      </c>
      <c r="F31" s="10" t="s">
        <v>3446</v>
      </c>
      <c r="G31" s="10" t="s">
        <v>3447</v>
      </c>
    </row>
    <row r="32" spans="1:7" ht="14.25" customHeight="1">
      <c r="A32" s="41" t="s">
        <v>3448</v>
      </c>
      <c r="B32" s="43" t="s">
        <v>3449</v>
      </c>
      <c r="C32" s="44"/>
      <c r="D32" s="44" t="s">
        <v>3450</v>
      </c>
      <c r="E32" s="4" t="str">
        <f ca="1">IFERROR(__xludf.DUMMYFUNCTION("""COMPUTED_VALUE"""),"Zhè jiàn chènshān tài jǐnle.")</f>
        <v>Zhè jiàn chènshān tài jǐnle.</v>
      </c>
      <c r="F32" s="44"/>
      <c r="G32" s="44"/>
    </row>
    <row r="33" spans="1:7" ht="14.25" customHeight="1">
      <c r="A33" s="41" t="s">
        <v>3451</v>
      </c>
      <c r="B33" s="43" t="s">
        <v>3452</v>
      </c>
      <c r="C33" s="44"/>
      <c r="D33" s="44"/>
      <c r="E33" s="4" t="str">
        <f ca="1">IFERROR(__xludf.DUMMYFUNCTION("""COMPUTED_VALUE"""),"Wǒ xiǎng jiǎn tóufǎ.")</f>
        <v>Wǒ xiǎng jiǎn tóufǎ.</v>
      </c>
      <c r="F33" s="44"/>
      <c r="G33" s="44"/>
    </row>
    <row r="34" spans="1:7" ht="14.25" customHeight="1">
      <c r="A34" s="41" t="s">
        <v>3453</v>
      </c>
      <c r="B34" s="43" t="s">
        <v>3454</v>
      </c>
      <c r="C34" s="44"/>
      <c r="D34" s="44" t="s">
        <v>3455</v>
      </c>
      <c r="E34" s="4" t="str">
        <f ca="1">IFERROR(__xludf.DUMMYFUNCTION("""COMPUTED_VALUE"""),"Lǐfǎ diàn zài nǎ'er?")</f>
        <v>Lǐfǎ diàn zài nǎ'er?</v>
      </c>
      <c r="F34" s="44"/>
      <c r="G34" s="44"/>
    </row>
    <row r="35" spans="1:7" ht="14.25" customHeight="1">
      <c r="A35" s="41" t="s">
        <v>3456</v>
      </c>
      <c r="B35" s="43" t="s">
        <v>3457</v>
      </c>
      <c r="C35" s="44" t="s">
        <v>3458</v>
      </c>
      <c r="D35" s="10"/>
      <c r="E35" s="8" t="str">
        <f ca="1">IFERROR(__xludf.DUMMYFUNCTION("""COMPUTED_VALUE"""),"Bāng wǒ jiǎn duǎn diǎn.")</f>
        <v>Bāng wǒ jiǎn duǎn diǎn.</v>
      </c>
      <c r="F35" s="10" t="s">
        <v>3459</v>
      </c>
      <c r="G35" s="10" t="s">
        <v>3460</v>
      </c>
    </row>
    <row r="36" spans="1:7" ht="14.25" customHeight="1">
      <c r="A36" s="41" t="s">
        <v>3461</v>
      </c>
      <c r="B36" s="43" t="s">
        <v>3462</v>
      </c>
      <c r="C36" s="44"/>
      <c r="D36" s="44" t="s">
        <v>3463</v>
      </c>
      <c r="E36" s="5" t="str">
        <f ca="1">IFERROR(__xludf.DUMMYFUNCTION("""COMPUTED_VALUE"""),"Wǒ kàn qǐlái hǎobù yīyàng!")</f>
        <v>Wǒ kàn qǐlái hǎobù yīyàng!</v>
      </c>
      <c r="F36" s="44"/>
      <c r="G36" s="44"/>
    </row>
    <row r="37" spans="1:7" ht="14.25" customHeight="1">
      <c r="A37" s="41" t="s">
        <v>3464</v>
      </c>
      <c r="B37" s="43" t="s">
        <v>3465</v>
      </c>
      <c r="C37" s="44"/>
      <c r="D37" s="44"/>
      <c r="E37" s="8" t="str">
        <f ca="1">IFERROR(__xludf.DUMMYFUNCTION("""COMPUTED_VALUE"""),"Dàn wǒ háishì hěn shuài/hěn piàoliang.")</f>
        <v>Dàn wǒ háishì hěn shuài/hěn piàoliang.</v>
      </c>
      <c r="F37" s="44"/>
      <c r="G37" s="44"/>
    </row>
    <row r="38" spans="1:7" ht="14.25" customHeight="1">
      <c r="A38" s="41" t="s">
        <v>3466</v>
      </c>
      <c r="B38" s="43" t="s">
        <v>3467</v>
      </c>
      <c r="C38" s="44"/>
      <c r="D38" s="44" t="s">
        <v>3468</v>
      </c>
      <c r="E38" s="5" t="str">
        <f ca="1">IFERROR(__xludf.DUMMYFUNCTION("""COMPUTED_VALUE"""),"Nǐ de xiàoróng zhēn cànlàn.")</f>
        <v>Nǐ de xiàoróng zhēn cànlàn.</v>
      </c>
      <c r="F38" s="44"/>
      <c r="G38" s="44"/>
    </row>
    <row r="39" spans="1:7" ht="14.25" customHeight="1">
      <c r="A39" s="41" t="s">
        <v>3469</v>
      </c>
      <c r="B39" s="43" t="s">
        <v>3470</v>
      </c>
      <c r="C39" s="44"/>
      <c r="D39" s="44"/>
      <c r="E39" s="6" t="str">
        <f ca="1">IFERROR(__xludf.DUMMYFUNCTION("""COMPUTED_VALUE"""),"Wǒ xǐhuān zhè tiáo shǒuliàn.")</f>
        <v>Wǒ xǐhuān zhè tiáo shǒuliàn.</v>
      </c>
      <c r="F39" s="44"/>
      <c r="G39" s="44"/>
    </row>
    <row r="40" spans="1:7" ht="14.25" customHeight="1">
      <c r="A40" s="41" t="s">
        <v>3471</v>
      </c>
      <c r="B40" s="43" t="s">
        <v>3472</v>
      </c>
      <c r="C40" s="44" t="s">
        <v>3473</v>
      </c>
      <c r="D40" s="10" t="s">
        <v>3474</v>
      </c>
      <c r="E40" s="6" t="str">
        <f ca="1">IFERROR(__xludf.DUMMYFUNCTION("""COMPUTED_VALUE"""),"Zhè shì wǒ de shǒubiǎo.")</f>
        <v>Zhè shì wǒ de shǒubiǎo.</v>
      </c>
      <c r="F40" s="10" t="s">
        <v>3475</v>
      </c>
      <c r="G40" s="10" t="s">
        <v>3476</v>
      </c>
    </row>
    <row r="41" spans="1:7" ht="14.25" customHeight="1">
      <c r="A41" s="41" t="s">
        <v>3477</v>
      </c>
      <c r="B41" s="43" t="s">
        <v>3478</v>
      </c>
      <c r="C41" s="44" t="s">
        <v>3479</v>
      </c>
      <c r="D41" s="10"/>
      <c r="E41" s="5" t="str">
        <f ca="1">IFERROR(__xludf.DUMMYFUNCTION("""COMPUTED_VALUE"""),"Wǒ de shǒu shàng yǒu yīkuài tāijì.")</f>
        <v>Wǒ de shǒu shàng yǒu yīkuài tāijì.</v>
      </c>
      <c r="F41" s="10" t="s">
        <v>3480</v>
      </c>
      <c r="G41" s="10" t="s">
        <v>3481</v>
      </c>
    </row>
    <row r="42" spans="1:7" ht="14.25" customHeight="1">
      <c r="A42" s="41" t="s">
        <v>3482</v>
      </c>
      <c r="B42" s="43" t="s">
        <v>3483</v>
      </c>
      <c r="C42" s="44"/>
      <c r="D42" s="44" t="s">
        <v>3484</v>
      </c>
      <c r="E42" s="4" t="str">
        <f ca="1">IFERROR(__xludf.DUMMYFUNCTION("""COMPUTED_VALUE"""),"Nǐ zhǎng dé zhēn xiàng nǐ bàba.")</f>
        <v>Nǐ zhǎng dé zhēn xiàng nǐ bàba.</v>
      </c>
      <c r="F42" s="44"/>
      <c r="G42" s="44"/>
    </row>
    <row r="43" spans="1:7" ht="14.25" customHeight="1">
      <c r="A43" s="41" t="s">
        <v>3485</v>
      </c>
      <c r="B43" s="43" t="s">
        <v>3486</v>
      </c>
      <c r="C43" s="44"/>
      <c r="D43" s="44"/>
      <c r="E43" s="5" t="str">
        <f ca="1">IFERROR(__xludf.DUMMYFUNCTION("""COMPUTED_VALUE"""),"Wǒ zhǎng dé gèng xiàng wǒ māmā.")</f>
        <v>Wǒ zhǎng dé gèng xiàng wǒ māmā.</v>
      </c>
      <c r="F43" s="44"/>
      <c r="G43" s="44"/>
    </row>
    <row r="44" spans="1:7" ht="14.25" customHeight="1">
      <c r="A44" s="41" t="s">
        <v>3487</v>
      </c>
      <c r="B44" s="43" t="s">
        <v>3488</v>
      </c>
      <c r="C44" s="44"/>
      <c r="D44" s="44" t="s">
        <v>3489</v>
      </c>
      <c r="E44" s="4" t="str">
        <f ca="1">IFERROR(__xludf.DUMMYFUNCTION("""COMPUTED_VALUE"""),"Nǐ de pífū hěn bái.")</f>
        <v>Nǐ de pífū hěn bái.</v>
      </c>
      <c r="F44" s="44"/>
      <c r="G44" s="44"/>
    </row>
    <row r="45" spans="1:7" ht="14.25" customHeight="1">
      <c r="A45" s="41" t="s">
        <v>3490</v>
      </c>
      <c r="B45" s="43" t="s">
        <v>3491</v>
      </c>
      <c r="C45" s="44"/>
      <c r="D45" s="44"/>
      <c r="E45" s="5" t="str">
        <f ca="1">IFERROR(__xludf.DUMMYFUNCTION("""COMPUTED_VALUE"""),"Wǒ de pífū shài hēile yīdiǎn.")</f>
        <v>Wǒ de pífū shài hēile yīdiǎn.</v>
      </c>
      <c r="F45" s="44"/>
      <c r="G45" s="44"/>
    </row>
    <row r="46" spans="1:7" ht="14.25" customHeight="1">
      <c r="A46" s="41" t="s">
        <v>3492</v>
      </c>
      <c r="B46" s="43" t="s">
        <v>3493</v>
      </c>
      <c r="C46" s="44"/>
      <c r="D46" s="44" t="s">
        <v>3494</v>
      </c>
      <c r="E46" s="4" t="str">
        <f ca="1">IFERROR(__xludf.DUMMYFUNCTION("""COMPUTED_VALUE"""),"Nǐ zhēnyǒu mèilì.")</f>
        <v>Nǐ zhēnyǒu mèilì.</v>
      </c>
      <c r="F46" s="44"/>
      <c r="G46" s="44"/>
    </row>
    <row r="47" spans="1:7" ht="14.25" customHeight="1">
      <c r="A47" s="41" t="s">
        <v>3495</v>
      </c>
      <c r="B47" s="43" t="s">
        <v>3496</v>
      </c>
      <c r="C47" s="44" t="s">
        <v>3497</v>
      </c>
      <c r="D47" s="10"/>
      <c r="E47" s="4" t="str">
        <f ca="1">IFERROR(__xludf.DUMMYFUNCTION("""COMPUTED_VALUE"""),"Wǒ xiǎng chuān shūshì de yīfú.")</f>
        <v>Wǒ xiǎng chuān shūshì de yīfú.</v>
      </c>
      <c r="F47" s="10" t="s">
        <v>3498</v>
      </c>
      <c r="G47" s="10" t="s">
        <v>3499</v>
      </c>
    </row>
    <row r="48" spans="1:7" ht="14.25" customHeight="1">
      <c r="A48" s="41" t="s">
        <v>3500</v>
      </c>
      <c r="B48" s="43" t="s">
        <v>3501</v>
      </c>
      <c r="C48" s="44"/>
      <c r="D48" s="44" t="s">
        <v>3502</v>
      </c>
      <c r="E48" s="4" t="str">
        <f ca="1">IFERROR(__xludf.DUMMYFUNCTION("""COMPUTED_VALUE"""),"Bié wàngle chuān wàzǐ.")</f>
        <v>Bié wàngle chuān wàzǐ.</v>
      </c>
      <c r="F48" s="44"/>
      <c r="G48" s="44"/>
    </row>
    <row r="49" spans="1:7" ht="14.25" customHeight="1">
      <c r="A49" s="41" t="s">
        <v>3503</v>
      </c>
      <c r="B49" s="43" t="s">
        <v>3504</v>
      </c>
      <c r="C49" s="44" t="s">
        <v>3505</v>
      </c>
      <c r="D49" s="10"/>
      <c r="E49" s="5" t="str">
        <f ca="1">IFERROR(__xludf.DUMMYFUNCTION("""COMPUTED_VALUE"""),"Wǒ zài xì xié dài.")</f>
        <v>Wǒ zài xì xié dài.</v>
      </c>
      <c r="F49" s="10" t="s">
        <v>3506</v>
      </c>
      <c r="G49" s="10" t="s">
        <v>3507</v>
      </c>
    </row>
    <row r="50" spans="1:7" ht="14.25" customHeight="1">
      <c r="A50" s="41" t="s">
        <v>3508</v>
      </c>
      <c r="B50" s="43" t="s">
        <v>3509</v>
      </c>
      <c r="C50" s="44"/>
      <c r="D50" s="44" t="s">
        <v>3510</v>
      </c>
      <c r="E50" s="6" t="str">
        <f ca="1">IFERROR(__xludf.DUMMYFUNCTION("""COMPUTED_VALUE"""),"Nǐ kàn qǐlái hǎo kāixīn!")</f>
        <v>Nǐ kàn qǐlái hǎo kāixīn!</v>
      </c>
      <c r="F50" s="44"/>
      <c r="G50" s="44"/>
    </row>
    <row r="51" spans="1:7" ht="14.25" customHeight="1">
      <c r="A51" s="41" t="s">
        <v>3511</v>
      </c>
      <c r="B51" s="43" t="s">
        <v>3512</v>
      </c>
      <c r="C51" s="44"/>
      <c r="D51" s="44"/>
      <c r="E51" s="6" t="str">
        <f ca="1">IFERROR(__xludf.DUMMYFUNCTION("""COMPUTED_VALUE"""),"Nèizài měi zuì zhòngyào.")</f>
        <v>Nèizài měi zuì zhòngyào.</v>
      </c>
      <c r="F51" s="44"/>
      <c r="G51" s="44"/>
    </row>
    <row r="52" spans="1:7" ht="14.25" customHeight="1">
      <c r="A52" s="42"/>
      <c r="B52" s="46"/>
      <c r="C52" s="44"/>
      <c r="D52" s="44" t="s">
        <v>3513</v>
      </c>
      <c r="F52" s="44"/>
      <c r="G52" s="44"/>
    </row>
    <row r="53" spans="1:7" ht="14.25" customHeight="1">
      <c r="A53" s="42"/>
      <c r="B53" s="46"/>
      <c r="C53" s="44"/>
      <c r="D53" s="44"/>
      <c r="E53" s="5"/>
      <c r="F53" s="44"/>
      <c r="G53" s="44"/>
    </row>
    <row r="54" spans="1:7" ht="14.25" customHeight="1">
      <c r="A54" s="42"/>
      <c r="B54" s="46"/>
      <c r="C54" s="44"/>
      <c r="D54" s="44" t="s">
        <v>3514</v>
      </c>
      <c r="E54" s="5"/>
      <c r="F54" s="44"/>
      <c r="G54" s="44"/>
    </row>
    <row r="55" spans="1:7" ht="14.25" customHeight="1">
      <c r="A55" s="42"/>
      <c r="B55" s="46"/>
      <c r="C55" s="44"/>
      <c r="D55" s="44"/>
      <c r="E55" s="5"/>
      <c r="F55" s="44"/>
      <c r="G55" s="44"/>
    </row>
    <row r="56" spans="1:7" ht="14.25" customHeight="1">
      <c r="A56" s="42"/>
      <c r="B56" s="46"/>
      <c r="C56" s="44"/>
      <c r="D56" s="44" t="s">
        <v>3515</v>
      </c>
      <c r="E56" s="5"/>
      <c r="F56" s="44"/>
      <c r="G56" s="44"/>
    </row>
    <row r="57" spans="1:7" ht="14.25" customHeight="1">
      <c r="A57" s="42"/>
      <c r="B57" s="46"/>
      <c r="C57" s="44"/>
      <c r="D57" s="44"/>
      <c r="E57" s="5"/>
      <c r="F57" s="44"/>
      <c r="G57" s="44"/>
    </row>
    <row r="58" spans="1:7" ht="14.25" customHeight="1">
      <c r="A58" s="42"/>
      <c r="B58" s="46"/>
      <c r="C58" s="44"/>
      <c r="D58" s="44" t="s">
        <v>3516</v>
      </c>
      <c r="E58" s="5"/>
      <c r="F58" s="44"/>
      <c r="G58" s="44"/>
    </row>
    <row r="59" spans="1:7" ht="14.25" customHeight="1">
      <c r="A59" s="42"/>
      <c r="B59" s="46"/>
      <c r="C59" s="44"/>
      <c r="D59" s="44"/>
      <c r="F59" s="44"/>
      <c r="G59" s="44"/>
    </row>
    <row r="60" spans="1:7" ht="14.25" customHeight="1">
      <c r="A60" s="42"/>
      <c r="B60" s="46"/>
      <c r="C60" s="44"/>
      <c r="D60" s="44" t="s">
        <v>3517</v>
      </c>
      <c r="E60" s="5"/>
      <c r="F60" s="44"/>
      <c r="G60" s="44"/>
    </row>
    <row r="61" spans="1:7" ht="14.25" customHeight="1">
      <c r="A61" s="42"/>
      <c r="B61" s="46"/>
      <c r="C61" s="44"/>
      <c r="D61" s="44"/>
      <c r="E61" s="5"/>
      <c r="F61" s="44"/>
      <c r="G61" s="44"/>
    </row>
    <row r="62" spans="1:7" ht="14.25" customHeight="1">
      <c r="A62" s="42"/>
      <c r="B62" s="46"/>
      <c r="C62" s="44"/>
      <c r="D62" s="44" t="s">
        <v>3518</v>
      </c>
      <c r="E62" s="5"/>
      <c r="F62" s="44"/>
      <c r="G62" s="44"/>
    </row>
    <row r="63" spans="1:7" ht="14.25" customHeight="1">
      <c r="A63" s="42"/>
      <c r="B63" s="46"/>
      <c r="C63" s="44"/>
      <c r="D63" s="44"/>
      <c r="E63" s="5"/>
      <c r="F63" s="44"/>
      <c r="G63" s="44"/>
    </row>
    <row r="64" spans="1:7" ht="14.25" customHeight="1">
      <c r="A64" s="42"/>
      <c r="B64" s="46"/>
      <c r="C64" s="44"/>
      <c r="D64" s="44" t="s">
        <v>3519</v>
      </c>
      <c r="E64" s="5"/>
      <c r="F64" s="44"/>
      <c r="G64" s="44"/>
    </row>
    <row r="65" spans="1:7" ht="14.25" customHeight="1">
      <c r="A65" s="42"/>
      <c r="B65" s="46"/>
      <c r="C65" s="44"/>
      <c r="D65" s="44"/>
      <c r="E65" s="5"/>
      <c r="F65" s="44"/>
      <c r="G65" s="44"/>
    </row>
    <row r="66" spans="1:7" ht="14.25" customHeight="1">
      <c r="A66" s="42"/>
      <c r="B66" s="46"/>
      <c r="C66" s="44"/>
      <c r="D66" s="44" t="s">
        <v>3520</v>
      </c>
      <c r="E66" s="5"/>
      <c r="F66" s="44"/>
      <c r="G66" s="44"/>
    </row>
    <row r="67" spans="1:7" ht="14.25" customHeight="1">
      <c r="A67" s="42"/>
      <c r="B67" s="46"/>
      <c r="C67" s="44"/>
      <c r="D67" s="44"/>
      <c r="E67" s="5"/>
      <c r="F67" s="44"/>
      <c r="G67" s="44"/>
    </row>
    <row r="68" spans="1:7" ht="14.25" customHeight="1">
      <c r="A68" s="42"/>
      <c r="B68" s="46"/>
      <c r="C68" s="44"/>
      <c r="D68" s="44" t="s">
        <v>3521</v>
      </c>
      <c r="E68" s="5"/>
      <c r="F68" s="44"/>
      <c r="G68" s="44"/>
    </row>
    <row r="69" spans="1:7" ht="14.25" customHeight="1">
      <c r="A69" s="42"/>
      <c r="B69" s="46"/>
      <c r="C69" s="44"/>
      <c r="D69" s="44"/>
      <c r="E69" s="5"/>
      <c r="F69" s="44"/>
      <c r="G69" s="44"/>
    </row>
    <row r="70" spans="1:7" ht="14.25" customHeight="1">
      <c r="A70" s="42"/>
      <c r="B70" s="46"/>
      <c r="C70" s="44"/>
      <c r="D70" s="44" t="s">
        <v>3522</v>
      </c>
      <c r="E70" s="5"/>
      <c r="F70" s="44"/>
      <c r="G70" s="44"/>
    </row>
    <row r="71" spans="1:7" ht="14.25" customHeight="1">
      <c r="A71" s="42"/>
      <c r="B71" s="46"/>
      <c r="C71" s="44"/>
      <c r="D71" s="44"/>
      <c r="E71" s="5"/>
      <c r="F71" s="44"/>
      <c r="G71" s="44"/>
    </row>
    <row r="72" spans="1:7" ht="14.25" customHeight="1">
      <c r="A72" s="42"/>
      <c r="B72" s="46"/>
      <c r="C72" s="44"/>
      <c r="D72" s="44" t="s">
        <v>3523</v>
      </c>
      <c r="E72" s="5"/>
      <c r="F72" s="44"/>
      <c r="G72" s="44"/>
    </row>
    <row r="73" spans="1:7" ht="14.25" customHeight="1">
      <c r="A73" s="42"/>
      <c r="B73" s="46"/>
      <c r="C73" s="44"/>
      <c r="D73" s="44"/>
      <c r="E73" s="5"/>
      <c r="F73" s="44"/>
      <c r="G73" s="44"/>
    </row>
    <row r="74" spans="1:7" ht="14.25" customHeight="1">
      <c r="A74" s="42"/>
      <c r="B74" s="46"/>
      <c r="C74" s="44"/>
      <c r="D74" s="44" t="s">
        <v>3524</v>
      </c>
      <c r="E74" s="5"/>
      <c r="F74" s="44"/>
      <c r="G74" s="44"/>
    </row>
    <row r="75" spans="1:7" ht="14.25" customHeight="1">
      <c r="A75" s="42"/>
      <c r="B75" s="46"/>
      <c r="C75" s="44"/>
      <c r="D75" s="44"/>
      <c r="E75" s="5"/>
      <c r="F75" s="44"/>
      <c r="G75" s="44"/>
    </row>
    <row r="76" spans="1:7" ht="14.25" customHeight="1">
      <c r="A76" s="42"/>
      <c r="B76" s="46"/>
      <c r="C76" s="44"/>
      <c r="D76" s="44" t="s">
        <v>3525</v>
      </c>
      <c r="E76" s="5"/>
      <c r="F76" s="44"/>
      <c r="G76" s="44"/>
    </row>
    <row r="77" spans="1:7" ht="14.25" customHeight="1">
      <c r="A77" s="42"/>
      <c r="B77" s="46"/>
      <c r="C77" s="44"/>
      <c r="D77" s="44"/>
      <c r="E77" s="5"/>
      <c r="F77" s="44"/>
      <c r="G77" s="44"/>
    </row>
    <row r="78" spans="1:7" ht="14.25" customHeight="1">
      <c r="A78" s="42"/>
      <c r="B78" s="46"/>
      <c r="C78" s="44"/>
      <c r="D78" s="44" t="s">
        <v>3526</v>
      </c>
      <c r="E78" s="5"/>
      <c r="F78" s="44"/>
      <c r="G78" s="44"/>
    </row>
    <row r="79" spans="1:7" ht="14.25" customHeight="1">
      <c r="A79" s="42"/>
      <c r="B79" s="46"/>
      <c r="C79" s="44"/>
      <c r="D79" s="44"/>
      <c r="E79" s="5"/>
      <c r="F79" s="44"/>
      <c r="G79" s="44"/>
    </row>
    <row r="80" spans="1:7" ht="14.25" customHeight="1">
      <c r="A80" s="42"/>
      <c r="B80" s="46"/>
      <c r="C80" s="44"/>
      <c r="D80" s="44" t="s">
        <v>3527</v>
      </c>
      <c r="E80" s="5"/>
      <c r="F80" s="44"/>
      <c r="G80" s="44"/>
    </row>
    <row r="81" spans="1:7" ht="14.25" customHeight="1">
      <c r="A81" s="42"/>
      <c r="B81" s="46"/>
      <c r="C81" s="44"/>
      <c r="D81" s="44"/>
      <c r="E81" s="5"/>
      <c r="F81" s="44"/>
      <c r="G81" s="44"/>
    </row>
    <row r="82" spans="1:7" ht="14.25" customHeight="1">
      <c r="A82" s="42"/>
      <c r="B82" s="46"/>
      <c r="C82" s="44"/>
      <c r="D82" s="44" t="s">
        <v>3528</v>
      </c>
      <c r="E82" s="5"/>
      <c r="F82" s="44"/>
      <c r="G82" s="44"/>
    </row>
    <row r="83" spans="1:7" ht="14.25" customHeight="1">
      <c r="A83" s="42"/>
      <c r="B83" s="46"/>
      <c r="C83" s="44"/>
      <c r="D83" s="44"/>
      <c r="E83" s="5"/>
      <c r="F83" s="44"/>
      <c r="G83" s="44"/>
    </row>
    <row r="84" spans="1:7" ht="14.25" customHeight="1">
      <c r="A84" s="42"/>
      <c r="B84" s="46"/>
      <c r="C84" s="44"/>
      <c r="D84" s="44" t="s">
        <v>3529</v>
      </c>
      <c r="E84" s="5"/>
      <c r="F84" s="44"/>
      <c r="G84" s="44"/>
    </row>
    <row r="85" spans="1:7" ht="14.25" customHeight="1">
      <c r="A85" s="42"/>
      <c r="B85" s="46"/>
      <c r="C85" s="44"/>
      <c r="D85" s="44"/>
      <c r="E85" s="5"/>
      <c r="F85" s="44"/>
      <c r="G85" s="44"/>
    </row>
    <row r="86" spans="1:7" ht="14.25" customHeight="1">
      <c r="A86" s="42"/>
      <c r="B86" s="46"/>
      <c r="C86" s="44"/>
      <c r="D86" s="44" t="s">
        <v>3530</v>
      </c>
      <c r="E86" s="5"/>
      <c r="F86" s="44"/>
      <c r="G86" s="44"/>
    </row>
    <row r="87" spans="1:7" ht="14.25" customHeight="1">
      <c r="A87" s="42"/>
      <c r="B87" s="46"/>
      <c r="C87" s="44"/>
      <c r="D87" s="44"/>
      <c r="E87" s="5"/>
      <c r="F87" s="44"/>
      <c r="G87" s="44"/>
    </row>
    <row r="88" spans="1:7" ht="14.25" customHeight="1">
      <c r="A88" s="42"/>
      <c r="B88" s="46"/>
      <c r="C88" s="44"/>
      <c r="D88" s="44" t="s">
        <v>3531</v>
      </c>
      <c r="E88" s="5"/>
      <c r="F88" s="44"/>
      <c r="G88" s="44"/>
    </row>
    <row r="89" spans="1:7" ht="14.25" customHeight="1">
      <c r="A89" s="42"/>
      <c r="B89" s="46"/>
      <c r="C89" s="44"/>
      <c r="D89" s="44"/>
      <c r="E89" s="5"/>
      <c r="F89" s="44"/>
      <c r="G89" s="44"/>
    </row>
    <row r="90" spans="1:7" ht="14.25" customHeight="1">
      <c r="A90" s="42"/>
      <c r="B90" s="46"/>
      <c r="C90" s="44"/>
      <c r="D90" s="44" t="s">
        <v>3532</v>
      </c>
      <c r="E90" s="5"/>
      <c r="F90" s="44"/>
      <c r="G90" s="44"/>
    </row>
    <row r="91" spans="1:7" ht="14.25" customHeight="1">
      <c r="A91" s="42"/>
      <c r="B91" s="46"/>
      <c r="C91" s="44"/>
      <c r="D91" s="44"/>
      <c r="E91" s="5"/>
      <c r="F91" s="44"/>
      <c r="G91" s="44"/>
    </row>
    <row r="92" spans="1:7" ht="14.25" customHeight="1">
      <c r="A92" s="42"/>
      <c r="B92" s="46"/>
      <c r="C92" s="44"/>
      <c r="D92" s="44" t="s">
        <v>3533</v>
      </c>
      <c r="E92" s="5"/>
      <c r="F92" s="44"/>
      <c r="G92" s="44"/>
    </row>
    <row r="93" spans="1:7" ht="14.25" customHeight="1">
      <c r="A93" s="42"/>
      <c r="B93" s="46"/>
      <c r="C93" s="44"/>
      <c r="D93" s="44"/>
      <c r="E93" s="5"/>
      <c r="F93" s="44"/>
      <c r="G93" s="44"/>
    </row>
    <row r="94" spans="1:7" ht="14.25" customHeight="1">
      <c r="A94" s="42"/>
      <c r="B94" s="46"/>
      <c r="C94" s="44"/>
      <c r="D94" s="44" t="s">
        <v>3534</v>
      </c>
      <c r="E94" s="5"/>
      <c r="F94" s="44"/>
      <c r="G94" s="44"/>
    </row>
    <row r="95" spans="1:7" ht="14.25" customHeight="1">
      <c r="A95" s="42"/>
      <c r="B95" s="46"/>
      <c r="C95" s="44"/>
      <c r="D95" s="44"/>
      <c r="E95" s="5"/>
      <c r="F95" s="44"/>
      <c r="G95" s="44"/>
    </row>
    <row r="96" spans="1:7" ht="14.25" customHeight="1">
      <c r="A96" s="42"/>
      <c r="B96" s="46"/>
      <c r="C96" s="44"/>
      <c r="D96" s="44" t="s">
        <v>3535</v>
      </c>
      <c r="E96" s="5"/>
      <c r="F96" s="44"/>
      <c r="G96" s="44"/>
    </row>
    <row r="97" spans="1:7" ht="14.25" customHeight="1">
      <c r="A97" s="42"/>
      <c r="B97" s="46"/>
      <c r="C97" s="44"/>
      <c r="D97" s="44"/>
      <c r="E97" s="5"/>
      <c r="F97" s="44"/>
      <c r="G97" s="44"/>
    </row>
    <row r="98" spans="1:7" ht="14.25" customHeight="1">
      <c r="A98" s="42"/>
      <c r="B98" s="46"/>
      <c r="C98" s="44"/>
      <c r="D98" s="44" t="s">
        <v>3536</v>
      </c>
      <c r="E98" s="5"/>
      <c r="F98" s="44"/>
      <c r="G98" s="44"/>
    </row>
    <row r="99" spans="1:7" ht="14.25" customHeight="1">
      <c r="A99" s="42"/>
      <c r="B99" s="46"/>
      <c r="C99" s="44"/>
      <c r="D99" s="44"/>
      <c r="E99" s="5"/>
      <c r="F99" s="44"/>
      <c r="G99" s="44"/>
    </row>
    <row r="100" spans="1:7" ht="14.25" customHeight="1">
      <c r="A100" s="42"/>
      <c r="B100" s="46"/>
      <c r="C100" s="44"/>
      <c r="D100" s="44" t="s">
        <v>3537</v>
      </c>
      <c r="E100" s="5"/>
      <c r="F100" s="44"/>
      <c r="G100" s="44"/>
    </row>
  </sheetData>
  <pageMargins left="0.75" right="0.75" top="1" bottom="1"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4" width="48.33203125" customWidth="1"/>
    <col min="5" max="5" width="56.88671875" customWidth="1"/>
  </cols>
  <sheetData>
    <row r="1" spans="1:5" ht="14.25" customHeight="1">
      <c r="A1" s="12" t="s">
        <v>3538</v>
      </c>
      <c r="C1" s="24"/>
      <c r="D1" s="24"/>
      <c r="E1" s="2"/>
    </row>
    <row r="2" spans="1:5" ht="14.25" customHeight="1">
      <c r="A2" s="41" t="s">
        <v>3539</v>
      </c>
      <c r="B2" s="43" t="s">
        <v>3540</v>
      </c>
      <c r="C2" s="44"/>
      <c r="D2" s="44" t="s">
        <v>3541</v>
      </c>
      <c r="E2" s="5" t="str">
        <f ca="1">IFERROR(__xludf.DUMMYFUNCTION("FILTER(D1:D1004,D1:D1004&lt;&gt; """")"),"Jīntiān yǒu shé me xīnwén ma?")</f>
        <v>Jīntiān yǒu shé me xīnwén ma?</v>
      </c>
    </row>
    <row r="3" spans="1:5" ht="14.25" customHeight="1">
      <c r="A3" s="41" t="s">
        <v>3542</v>
      </c>
      <c r="B3" s="43" t="s">
        <v>3543</v>
      </c>
      <c r="C3" s="44"/>
      <c r="D3" s="44"/>
      <c r="E3" s="6" t="str">
        <f ca="1">IFERROR(__xludf.DUMMYFUNCTION("""COMPUTED_VALUE"""),"Wǒ xiǎng kàn diànshì xīnwén.")</f>
        <v>Wǒ xiǎng kàn diànshì xīnwén.</v>
      </c>
    </row>
    <row r="4" spans="1:5" ht="14.25" customHeight="1">
      <c r="A4" s="41" t="s">
        <v>3544</v>
      </c>
      <c r="B4" s="43" t="s">
        <v>3545</v>
      </c>
      <c r="C4" s="44"/>
      <c r="D4" s="44" t="s">
        <v>3546</v>
      </c>
      <c r="E4" s="5" t="str">
        <f ca="1">IFERROR(__xludf.DUMMYFUNCTION("""COMPUTED_VALUE"""),"Xīnwén jǐ diǎn bō chū?")</f>
        <v>Xīnwén jǐ diǎn bō chū?</v>
      </c>
    </row>
    <row r="5" spans="1:5" ht="14.25" customHeight="1">
      <c r="A5" s="41" t="s">
        <v>3547</v>
      </c>
      <c r="B5" s="43" t="s">
        <v>3548</v>
      </c>
      <c r="C5" s="44"/>
      <c r="D5" s="44"/>
      <c r="E5" s="5" t="str">
        <f ca="1">IFERROR(__xludf.DUMMYFUNCTION("""COMPUTED_VALUE"""),"Wǒ zài kàn bàozhǐ.")</f>
        <v>Wǒ zài kàn bàozhǐ.</v>
      </c>
    </row>
    <row r="6" spans="1:5" ht="14.25" customHeight="1">
      <c r="A6" s="41" t="s">
        <v>3549</v>
      </c>
      <c r="B6" s="43" t="s">
        <v>3550</v>
      </c>
      <c r="C6" s="44"/>
      <c r="D6" s="44" t="s">
        <v>3551</v>
      </c>
      <c r="E6" s="5" t="str">
        <f ca="1">IFERROR(__xludf.DUMMYFUNCTION("""COMPUTED_VALUE"""),"Zhè tiáo xīnwén shì zhēn de ma?")</f>
        <v>Zhè tiáo xīnwén shì zhēn de ma?</v>
      </c>
    </row>
    <row r="7" spans="1:5" ht="14.25" customHeight="1">
      <c r="A7" s="41" t="s">
        <v>3552</v>
      </c>
      <c r="B7" s="43" t="s">
        <v>3553</v>
      </c>
      <c r="C7" s="44"/>
      <c r="D7" s="44"/>
      <c r="E7" s="5" t="str">
        <f ca="1">IFERROR(__xludf.DUMMYFUNCTION("""COMPUTED_VALUE"""),"Wǒ zài shèjiāo méitǐ shàng kàn dàole zhè tiáo xīnwén.")</f>
        <v>Wǒ zài shèjiāo méitǐ shàng kàn dàole zhè tiáo xīnwén.</v>
      </c>
    </row>
    <row r="8" spans="1:5" ht="14.25" customHeight="1">
      <c r="A8" s="41" t="s">
        <v>3554</v>
      </c>
      <c r="B8" s="43" t="s">
        <v>3555</v>
      </c>
      <c r="C8" s="44"/>
      <c r="D8" s="44" t="s">
        <v>3556</v>
      </c>
      <c r="E8" s="5" t="str">
        <f ca="1">IFERROR(__xludf.DUMMYFUNCTION("""COMPUTED_VALUE"""),"Nǐ tīng shuōguò zhè tiáo xīnwén ma?")</f>
        <v>Nǐ tīng shuōguò zhè tiáo xīnwén ma?</v>
      </c>
    </row>
    <row r="9" spans="1:5" ht="14.25" customHeight="1">
      <c r="A9" s="41" t="s">
        <v>3557</v>
      </c>
      <c r="B9" s="43" t="s">
        <v>3558</v>
      </c>
      <c r="C9" s="44" t="s">
        <v>3559</v>
      </c>
      <c r="D9" s="44"/>
      <c r="E9" s="5" t="str">
        <f ca="1">IFERROR(__xludf.DUMMYFUNCTION("""COMPUTED_VALUE"""),"Zhège jiémù hěn shòu huānyíng.")</f>
        <v>Zhège jiémù hěn shòu huānyíng.</v>
      </c>
    </row>
    <row r="10" spans="1:5" ht="14.25" customHeight="1">
      <c r="A10" s="41" t="s">
        <v>3560</v>
      </c>
      <c r="B10" s="43" t="s">
        <v>3561</v>
      </c>
      <c r="C10" s="44"/>
      <c r="D10" s="44" t="s">
        <v>3562</v>
      </c>
      <c r="E10" s="5" t="str">
        <f ca="1">IFERROR(__xludf.DUMMYFUNCTION("""COMPUTED_VALUE"""),"Zhǔchí rén shì shéi?")</f>
        <v>Zhǔchí rén shì shéi?</v>
      </c>
    </row>
    <row r="11" spans="1:5" ht="14.25" customHeight="1">
      <c r="A11" s="41" t="s">
        <v>1186</v>
      </c>
      <c r="B11" s="43" t="s">
        <v>1187</v>
      </c>
      <c r="C11" s="44"/>
      <c r="D11" s="44"/>
      <c r="E11" s="5" t="str">
        <f ca="1">IFERROR(__xludf.DUMMYFUNCTION("""COMPUTED_VALUE"""),"Wǒ xǐhuān kàn dònghuà piàn.")</f>
        <v>Wǒ xǐhuān kàn dònghuà piàn.</v>
      </c>
    </row>
    <row r="12" spans="1:5" ht="14.25" customHeight="1">
      <c r="A12" s="41" t="s">
        <v>3563</v>
      </c>
      <c r="B12" s="43" t="s">
        <v>3564</v>
      </c>
      <c r="C12" s="44" t="s">
        <v>3565</v>
      </c>
      <c r="D12" s="44" t="s">
        <v>3566</v>
      </c>
      <c r="E12" s="6" t="str">
        <f ca="1">IFERROR(__xludf.DUMMYFUNCTION("""COMPUTED_VALUE"""),"Wǒ kěyǐ huàn tái ma?")</f>
        <v>Wǒ kěyǐ huàn tái ma?</v>
      </c>
    </row>
    <row r="13" spans="1:5" ht="14.25" customHeight="1">
      <c r="A13" s="41" t="s">
        <v>3567</v>
      </c>
      <c r="B13" s="43" t="s">
        <v>3568</v>
      </c>
      <c r="C13" s="44" t="s">
        <v>3569</v>
      </c>
      <c r="D13" s="44"/>
      <c r="E13" s="6" t="str">
        <f ca="1">IFERROR(__xludf.DUMMYFUNCTION("""COMPUTED_VALUE"""),"Yīnliàng tài dàle, nǐ néng diào xiǎo diǎn ma?")</f>
        <v>Yīnliàng tài dàle, nǐ néng diào xiǎo diǎn ma?</v>
      </c>
    </row>
    <row r="14" spans="1:5" ht="14.25" customHeight="1">
      <c r="A14" s="41" t="s">
        <v>3570</v>
      </c>
      <c r="B14" s="43" t="s">
        <v>3571</v>
      </c>
      <c r="C14" s="44"/>
      <c r="D14" s="44" t="s">
        <v>3572</v>
      </c>
      <c r="E14" s="6" t="str">
        <f ca="1">IFERROR(__xludf.DUMMYFUNCTION("""COMPUTED_VALUE"""),"Wǒ zài tīng guǎngbò.")</f>
        <v>Wǒ zài tīng guǎngbò.</v>
      </c>
    </row>
    <row r="15" spans="1:5" ht="14.25" customHeight="1">
      <c r="A15" s="41" t="s">
        <v>3573</v>
      </c>
      <c r="B15" s="43" t="s">
        <v>3574</v>
      </c>
      <c r="C15" s="44"/>
      <c r="D15" s="44"/>
      <c r="E15" s="6" t="str">
        <f ca="1">IFERROR(__xludf.DUMMYFUNCTION("""COMPUTED_VALUE"""),"Wǒ xiǎng zhīdào tiānqì yùbào.")</f>
        <v>Wǒ xiǎng zhīdào tiānqì yùbào.</v>
      </c>
    </row>
    <row r="16" spans="1:5" ht="14.25" customHeight="1">
      <c r="A16" s="41" t="s">
        <v>3575</v>
      </c>
      <c r="B16" s="43" t="s">
        <v>3576</v>
      </c>
      <c r="C16" s="44"/>
      <c r="D16" s="44" t="s">
        <v>3577</v>
      </c>
      <c r="E16" s="6" t="str">
        <f ca="1">IFERROR(__xludf.DUMMYFUNCTION("""COMPUTED_VALUE"""),"Míngtiān huì xià yǔ ma?")</f>
        <v>Míngtiān huì xià yǔ ma?</v>
      </c>
    </row>
    <row r="17" spans="1:5" ht="14.25" customHeight="1">
      <c r="A17" s="41" t="s">
        <v>3578</v>
      </c>
      <c r="B17" s="43" t="s">
        <v>3579</v>
      </c>
      <c r="C17" s="44"/>
      <c r="D17" s="44"/>
      <c r="E17" s="6" t="str">
        <f ca="1">IFERROR(__xludf.DUMMYFUNCTION("""COMPUTED_VALUE"""),"Xīnwén shuō huì yǒu bàofēngyǔ.")</f>
        <v>Xīnwén shuō huì yǒu bàofēngyǔ.</v>
      </c>
    </row>
    <row r="18" spans="1:5" ht="14.25" customHeight="1">
      <c r="A18" s="41" t="s">
        <v>3580</v>
      </c>
      <c r="B18" s="43" t="s">
        <v>3581</v>
      </c>
      <c r="C18" s="44"/>
      <c r="D18" s="44" t="s">
        <v>3582</v>
      </c>
      <c r="E18" s="5" t="str">
        <f ca="1">IFERROR(__xludf.DUMMYFUNCTION("""COMPUTED_VALUE"""),"Wǒ xǐhuān kàn mànhuà shū.")</f>
        <v>Wǒ xǐhuān kàn mànhuà shū.</v>
      </c>
    </row>
    <row r="19" spans="1:5" ht="14.25" customHeight="1">
      <c r="A19" s="41" t="s">
        <v>3583</v>
      </c>
      <c r="B19" s="43" t="s">
        <v>3584</v>
      </c>
      <c r="C19" s="44"/>
      <c r="D19" s="44"/>
      <c r="E19" s="4" t="str">
        <f ca="1">IFERROR(__xludf.DUMMYFUNCTION("""COMPUTED_VALUE"""),"Nǐ jīngcháng kàn xīnwén ma?")</f>
        <v>Nǐ jīngcháng kàn xīnwén ma?</v>
      </c>
    </row>
    <row r="20" spans="1:5" ht="14.25" customHeight="1">
      <c r="A20" s="41" t="s">
        <v>3585</v>
      </c>
      <c r="B20" s="43" t="s">
        <v>3586</v>
      </c>
      <c r="C20" s="44"/>
      <c r="D20" s="44" t="s">
        <v>1199</v>
      </c>
      <c r="E20" s="5" t="str">
        <f ca="1">IFERROR(__xludf.DUMMYFUNCTION("""COMPUTED_VALUE"""),"Wǒ juédé xīnwén hěn yǒuyìsi.")</f>
        <v>Wǒ juédé xīnwén hěn yǒuyìsi.</v>
      </c>
    </row>
    <row r="21" spans="1:5" ht="14.25" customHeight="1">
      <c r="A21" s="41" t="s">
        <v>3587</v>
      </c>
      <c r="B21" s="43" t="s">
        <v>3588</v>
      </c>
      <c r="C21" s="44"/>
      <c r="D21" s="44"/>
      <c r="E21" s="6" t="str">
        <f ca="1">IFERROR(__xludf.DUMMYFUNCTION("""COMPUTED_VALUE"""),"Wǒ xiǎng chéngwéi yī míng jìzhě.")</f>
        <v>Wǒ xiǎng chéngwéi yī míng jìzhě.</v>
      </c>
    </row>
    <row r="22" spans="1:5" ht="14.25" customHeight="1">
      <c r="A22" s="41" t="s">
        <v>3589</v>
      </c>
      <c r="B22" s="43" t="s">
        <v>3590</v>
      </c>
      <c r="C22" s="44"/>
      <c r="D22" s="44" t="s">
        <v>3591</v>
      </c>
      <c r="E22" s="6" t="str">
        <f ca="1">IFERROR(__xludf.DUMMYFUNCTION("""COMPUTED_VALUE"""),"Wǒ kěyǐ jiè zhè fèn bàozhǐ ma?")</f>
        <v>Wǒ kěyǐ jiè zhè fèn bàozhǐ ma?</v>
      </c>
    </row>
    <row r="23" spans="1:5" ht="14.25" customHeight="1">
      <c r="A23" s="41" t="s">
        <v>3592</v>
      </c>
      <c r="B23" s="43" t="s">
        <v>3593</v>
      </c>
      <c r="C23" s="44"/>
      <c r="D23" s="44"/>
      <c r="E23" s="6" t="str">
        <f ca="1">IFERROR(__xludf.DUMMYFUNCTION("""COMPUTED_VALUE"""),"Zhè shì yī běn shíshàng zázhì.")</f>
        <v>Zhè shì yī běn shíshàng zázhì.</v>
      </c>
    </row>
    <row r="24" spans="1:5" ht="14.25" customHeight="1">
      <c r="A24" s="41" t="s">
        <v>3594</v>
      </c>
      <c r="B24" s="43" t="s">
        <v>3595</v>
      </c>
      <c r="C24" s="44"/>
      <c r="D24" s="44" t="s">
        <v>3596</v>
      </c>
      <c r="E24" s="6" t="str">
        <f ca="1">IFERROR(__xludf.DUMMYFUNCTION("""COMPUTED_VALUE"""),"Nǐ xiāngxìn guǎnggào ma?")</f>
        <v>Nǐ xiāngxìn guǎnggào ma?</v>
      </c>
    </row>
    <row r="25" spans="1:5" ht="14.25" customHeight="1">
      <c r="A25" s="41" t="s">
        <v>3597</v>
      </c>
      <c r="B25" s="43" t="s">
        <v>3598</v>
      </c>
      <c r="C25" s="44"/>
      <c r="D25" s="44"/>
      <c r="E25" s="6" t="str">
        <f ca="1">IFERROR(__xludf.DUMMYFUNCTION("""COMPUTED_VALUE"""),"Zhège guǎnggào zhēn gǎoxiào!")</f>
        <v>Zhège guǎnggào zhēn gǎoxiào!</v>
      </c>
    </row>
    <row r="26" spans="1:5" ht="14.25" customHeight="1">
      <c r="A26" s="41" t="s">
        <v>3599</v>
      </c>
      <c r="B26" s="43" t="s">
        <v>3600</v>
      </c>
      <c r="C26" s="44"/>
      <c r="D26" s="44" t="s">
        <v>3601</v>
      </c>
      <c r="E26" s="6" t="str">
        <f ca="1">IFERROR(__xludf.DUMMYFUNCTION("""COMPUTED_VALUE"""),"Wǒ zài gǔgē shàng zhǎodàole zhèxiē xìnxī.")</f>
        <v>Wǒ zài gǔgē shàng zhǎodàole zhèxiē xìnxī.</v>
      </c>
    </row>
    <row r="27" spans="1:5" ht="14.25" customHeight="1">
      <c r="A27" s="41" t="s">
        <v>3602</v>
      </c>
      <c r="B27" s="43" t="s">
        <v>3603</v>
      </c>
      <c r="C27" s="44"/>
      <c r="D27" s="44"/>
      <c r="E27" s="6" t="str">
        <f ca="1">IFERROR(__xludf.DUMMYFUNCTION("""COMPUTED_VALUE"""),"Zhège wǎngzhàn hěn yǒuyòng.")</f>
        <v>Zhège wǎngzhàn hěn yǒuyòng.</v>
      </c>
    </row>
    <row r="28" spans="1:5" ht="14.25" customHeight="1">
      <c r="A28" s="41" t="s">
        <v>3604</v>
      </c>
      <c r="B28" s="43" t="s">
        <v>3605</v>
      </c>
      <c r="C28" s="44"/>
      <c r="D28" s="44" t="s">
        <v>3606</v>
      </c>
      <c r="E28" s="6" t="str">
        <f ca="1">IFERROR(__xludf.DUMMYFUNCTION("""COMPUTED_VALUE"""),"Bùyào xiāngxìn jiǎ xīnwén.")</f>
        <v>Bùyào xiāngxìn jiǎ xīnwén.</v>
      </c>
    </row>
    <row r="29" spans="1:5" ht="14.25" customHeight="1">
      <c r="A29" s="41" t="s">
        <v>3607</v>
      </c>
      <c r="B29" s="43" t="s">
        <v>3608</v>
      </c>
      <c r="C29" s="44"/>
      <c r="D29" s="44"/>
      <c r="E29" s="37" t="str">
        <f ca="1">IFERROR(__xludf.DUMMYFUNCTION("""COMPUTED_VALUE"""),"Wǒmen yīnggāi héshí xìnxī.")</f>
        <v>Wǒmen yīnggāi héshí xìnxī.</v>
      </c>
    </row>
    <row r="30" spans="1:5" ht="14.25" customHeight="1">
      <c r="A30" s="41" t="s">
        <v>3609</v>
      </c>
      <c r="B30" s="43" t="s">
        <v>3610</v>
      </c>
      <c r="C30" s="44"/>
      <c r="D30" s="44" t="s">
        <v>3611</v>
      </c>
      <c r="E30" s="6" t="str">
        <f ca="1">IFERROR(__xludf.DUMMYFUNCTION("""COMPUTED_VALUE"""),"Nǐ rènshí zhè wèi jìzhě ma?")</f>
        <v>Nǐ rènshí zhè wèi jìzhě ma?</v>
      </c>
    </row>
    <row r="31" spans="1:5" ht="14.25" customHeight="1">
      <c r="A31" s="41" t="s">
        <v>3612</v>
      </c>
      <c r="B31" s="43" t="s">
        <v>3613</v>
      </c>
      <c r="C31" s="44"/>
      <c r="D31" s="44"/>
      <c r="E31" s="4" t="str">
        <f ca="1">IFERROR(__xludf.DUMMYFUNCTION("""COMPUTED_VALUE"""),"Wǒ zài kàn yī bù jìlùpiàn.")</f>
        <v>Wǒ zài kàn yī bù jìlùpiàn.</v>
      </c>
    </row>
    <row r="32" spans="1:5" ht="14.25" customHeight="1">
      <c r="A32" s="41" t="s">
        <v>3614</v>
      </c>
      <c r="B32" s="43" t="s">
        <v>3615</v>
      </c>
      <c r="C32" s="44"/>
      <c r="D32" s="44" t="s">
        <v>3616</v>
      </c>
      <c r="E32" s="4" t="str">
        <f ca="1">IFERROR(__xludf.DUMMYFUNCTION("""COMPUTED_VALUE"""),"Shì guānyú fēilǜbīn de.")</f>
        <v>Shì guānyú fēilǜbīn de.</v>
      </c>
    </row>
    <row r="33" spans="1:5" ht="14.25" customHeight="1">
      <c r="A33" s="41" t="s">
        <v>3617</v>
      </c>
      <c r="B33" s="43" t="s">
        <v>3618</v>
      </c>
      <c r="C33" s="44"/>
      <c r="D33" s="44"/>
      <c r="E33" s="4" t="str">
        <f ca="1">IFERROR(__xludf.DUMMYFUNCTION("""COMPUTED_VALUE"""),"Wǒ xǐhuān kàn tànsuǒ lèi shìpín.")</f>
        <v>Wǒ xǐhuān kàn tànsuǒ lèi shìpín.</v>
      </c>
    </row>
    <row r="34" spans="1:5" ht="14.25" customHeight="1">
      <c r="A34" s="41" t="s">
        <v>3619</v>
      </c>
      <c r="B34" s="43" t="s">
        <v>3620</v>
      </c>
      <c r="C34" s="44"/>
      <c r="D34" s="44" t="s">
        <v>3621</v>
      </c>
      <c r="E34" s="4" t="str">
        <f ca="1">IFERROR(__xludf.DUMMYFUNCTION("""COMPUTED_VALUE"""),"Wǒ kěyǐ cǎifǎng nǐ ma?")</f>
        <v>Wǒ kěyǐ cǎifǎng nǐ ma?</v>
      </c>
    </row>
    <row r="35" spans="1:5" ht="14.25" customHeight="1">
      <c r="A35" s="41" t="s">
        <v>3622</v>
      </c>
      <c r="B35" s="43" t="s">
        <v>3623</v>
      </c>
      <c r="C35" s="44"/>
      <c r="D35" s="44"/>
      <c r="E35" s="8" t="str">
        <f ca="1">IFERROR(__xludf.DUMMYFUNCTION("""COMPUTED_VALUE"""),"Wǒ huì lù xiàlái.")</f>
        <v>Wǒ huì lù xiàlái.</v>
      </c>
    </row>
    <row r="36" spans="1:5" ht="14.25" customHeight="1">
      <c r="A36" s="41" t="s">
        <v>3624</v>
      </c>
      <c r="B36" s="43" t="s">
        <v>3625</v>
      </c>
      <c r="C36" s="44"/>
      <c r="D36" s="44" t="s">
        <v>3626</v>
      </c>
      <c r="E36" s="5" t="str">
        <f ca="1">IFERROR(__xludf.DUMMYFUNCTION("""COMPUTED_VALUE"""),"Wǒ zài xiě yī piān duǎnwén.")</f>
        <v>Wǒ zài xiě yī piān duǎnwén.</v>
      </c>
    </row>
    <row r="37" spans="1:5" ht="14.25" customHeight="1">
      <c r="A37" s="41" t="s">
        <v>3627</v>
      </c>
      <c r="B37" s="43" t="s">
        <v>3628</v>
      </c>
      <c r="C37" s="44"/>
      <c r="D37" s="44"/>
      <c r="E37" s="8" t="str">
        <f ca="1">IFERROR(__xludf.DUMMYFUNCTION("""COMPUTED_VALUE"""),"Zhǔtí shì guānyú wǒ de xuéxiào.")</f>
        <v>Zhǔtí shì guānyú wǒ de xuéxiào.</v>
      </c>
    </row>
    <row r="38" spans="1:5" ht="14.25" customHeight="1">
      <c r="A38" s="41" t="s">
        <v>3629</v>
      </c>
      <c r="B38" s="43" t="s">
        <v>3630</v>
      </c>
      <c r="C38" s="44"/>
      <c r="D38" s="44" t="s">
        <v>3631</v>
      </c>
      <c r="E38" s="5" t="str">
        <f ca="1">IFERROR(__xludf.DUMMYFUNCTION("""COMPUTED_VALUE"""),"Nǐ jīngcháng kàn bókè ma?")</f>
        <v>Nǐ jīngcháng kàn bókè ma?</v>
      </c>
    </row>
    <row r="39" spans="1:5" ht="14.25" customHeight="1">
      <c r="A39" s="41" t="s">
        <v>3632</v>
      </c>
      <c r="B39" s="43" t="s">
        <v>3633</v>
      </c>
      <c r="C39" s="44"/>
      <c r="D39" s="44"/>
      <c r="E39" s="6" t="str">
        <f ca="1">IFERROR(__xludf.DUMMYFUNCTION("""COMPUTED_VALUE"""),"Wǒ xǐhuān kàn diànshì shàng de míngrén.")</f>
        <v>Wǒ xǐhuān kàn diànshì shàng de míngrén.</v>
      </c>
    </row>
    <row r="40" spans="1:5" ht="14.25" customHeight="1">
      <c r="A40" s="41" t="s">
        <v>3634</v>
      </c>
      <c r="B40" s="43" t="s">
        <v>3635</v>
      </c>
      <c r="C40" s="44"/>
      <c r="D40" s="44" t="s">
        <v>3636</v>
      </c>
      <c r="E40" s="6" t="str">
        <f ca="1">IFERROR(__xludf.DUMMYFUNCTION("""COMPUTED_VALUE"""),"Zhè bù diànyǐng jǐ diǎn kāishǐ?")</f>
        <v>Zhè bù diànyǐng jǐ diǎn kāishǐ?</v>
      </c>
    </row>
    <row r="41" spans="1:5" ht="14.25" customHeight="1">
      <c r="A41" s="41" t="s">
        <v>3637</v>
      </c>
      <c r="B41" s="43" t="s">
        <v>3638</v>
      </c>
      <c r="C41" s="44"/>
      <c r="D41" s="44"/>
      <c r="E41" s="5" t="str">
        <f ca="1">IFERROR(__xludf.DUMMYFUNCTION("""COMPUTED_VALUE"""),"Yǒu yīngwén zìmù ma?")</f>
        <v>Yǒu yīngwén zìmù ma?</v>
      </c>
    </row>
    <row r="42" spans="1:5" ht="14.25" customHeight="1">
      <c r="A42" s="41" t="s">
        <v>3639</v>
      </c>
      <c r="B42" s="43" t="s">
        <v>3640</v>
      </c>
      <c r="C42" s="44"/>
      <c r="D42" s="44" t="s">
        <v>3641</v>
      </c>
      <c r="E42" s="4" t="str">
        <f ca="1">IFERROR(__xludf.DUMMYFUNCTION("""COMPUTED_VALUE"""),"Wǒ xiǎng tōngguò diànshì xuéxí tā jiā lù yǔ.")</f>
        <v>Wǒ xiǎng tōngguò diànshì xuéxí tā jiā lù yǔ.</v>
      </c>
    </row>
    <row r="43" spans="1:5" ht="14.25" customHeight="1">
      <c r="A43" s="41" t="s">
        <v>3642</v>
      </c>
      <c r="B43" s="43" t="s">
        <v>3643</v>
      </c>
      <c r="C43" s="44"/>
      <c r="D43" s="44"/>
      <c r="E43" s="5" t="str">
        <f ca="1">IFERROR(__xludf.DUMMYFUNCTION("""COMPUTED_VALUE"""),"Nǐ néng gěi wǒ jiěshì yīxià zhè tiáo xīnwén ma?")</f>
        <v>Nǐ néng gěi wǒ jiěshì yīxià zhè tiáo xīnwén ma?</v>
      </c>
    </row>
    <row r="44" spans="1:5" ht="14.25" customHeight="1">
      <c r="A44" s="41" t="s">
        <v>3644</v>
      </c>
      <c r="B44" s="43" t="s">
        <v>3645</v>
      </c>
      <c r="C44" s="44" t="s">
        <v>3646</v>
      </c>
      <c r="D44" s="44" t="s">
        <v>3647</v>
      </c>
      <c r="E44" s="4" t="str">
        <f ca="1">IFERROR(__xludf.DUMMYFUNCTION("""COMPUTED_VALUE"""),"Wǒ hěn dānxīn zhè tiáo xīnwén.")</f>
        <v>Wǒ hěn dānxīn zhè tiáo xīnwén.</v>
      </c>
    </row>
    <row r="45" spans="1:5" ht="14.25" customHeight="1">
      <c r="A45" s="41" t="s">
        <v>3648</v>
      </c>
      <c r="B45" s="43" t="s">
        <v>3649</v>
      </c>
      <c r="C45" s="44"/>
      <c r="D45" s="44"/>
      <c r="E45" s="5" t="str">
        <f ca="1">IFERROR(__xludf.DUMMYFUNCTION("""COMPUTED_VALUE"""),"Zhège guójiā fāzhǎn dé hěn hǎo.")</f>
        <v>Zhège guójiā fāzhǎn dé hěn hǎo.</v>
      </c>
    </row>
    <row r="46" spans="1:5" ht="14.25" customHeight="1">
      <c r="A46" s="41" t="s">
        <v>3650</v>
      </c>
      <c r="B46" s="43" t="s">
        <v>3651</v>
      </c>
      <c r="C46" s="44"/>
      <c r="D46" s="44" t="s">
        <v>3652</v>
      </c>
      <c r="E46" s="4" t="str">
        <f ca="1">IFERROR(__xludf.DUMMYFUNCTION("""COMPUTED_VALUE"""),"Zhù dàjiā jīntiān píng'ān xǐlè.")</f>
        <v>Zhù dàjiā jīntiān píng'ān xǐlè.</v>
      </c>
    </row>
    <row r="47" spans="1:5" ht="14.25" customHeight="1">
      <c r="A47" s="41" t="s">
        <v>3653</v>
      </c>
      <c r="B47" s="43" t="s">
        <v>3654</v>
      </c>
      <c r="C47" s="44"/>
      <c r="D47" s="44"/>
      <c r="E47" s="4" t="str">
        <f ca="1">IFERROR(__xludf.DUMMYFUNCTION("""COMPUTED_VALUE"""),"Wǒ yào guān diànshìle.")</f>
        <v>Wǒ yào guān diànshìle.</v>
      </c>
    </row>
    <row r="48" spans="1:5" ht="14.25" customHeight="1">
      <c r="A48" s="41" t="s">
        <v>3655</v>
      </c>
      <c r="B48" s="43" t="s">
        <v>3656</v>
      </c>
      <c r="C48" s="44"/>
      <c r="D48" s="44" t="s">
        <v>3657</v>
      </c>
      <c r="E48" s="4" t="str">
        <f ca="1">IFERROR(__xludf.DUMMYFUNCTION("""COMPUTED_VALUE"""),"Xièxiè nǐ péi wǒ yīqǐ kàn.")</f>
        <v>Xièxiè nǐ péi wǒ yīqǐ kàn.</v>
      </c>
    </row>
    <row r="49" spans="1:5" ht="14.25" customHeight="1">
      <c r="A49" s="41" t="s">
        <v>3658</v>
      </c>
      <c r="B49" s="43" t="s">
        <v>3659</v>
      </c>
      <c r="C49" s="44"/>
      <c r="D49" s="44"/>
      <c r="E49" s="5" t="str">
        <f ca="1">IFERROR(__xludf.DUMMYFUNCTION("""COMPUTED_VALUE"""),"Wǒ xiǎng mǎi yī tái xiàngjī.")</f>
        <v>Wǒ xiǎng mǎi yī tái xiàngjī.</v>
      </c>
    </row>
    <row r="50" spans="1:5" ht="14.25" customHeight="1">
      <c r="A50" s="41" t="s">
        <v>3660</v>
      </c>
      <c r="B50" s="43" t="s">
        <v>3661</v>
      </c>
      <c r="C50" s="44"/>
      <c r="D50" s="44" t="s">
        <v>3662</v>
      </c>
      <c r="E50" s="6" t="str">
        <f ca="1">IFERROR(__xludf.DUMMYFUNCTION("""COMPUTED_VALUE"""),"Wǒ yào pāi xià yǒuqù de xīnwén.")</f>
        <v>Wǒ yào pāi xià yǒuqù de xīnwén.</v>
      </c>
    </row>
    <row r="51" spans="1:5" ht="14.25" customHeight="1">
      <c r="A51" s="41" t="s">
        <v>3663</v>
      </c>
      <c r="B51" s="43" t="s">
        <v>3664</v>
      </c>
      <c r="C51" s="44"/>
      <c r="D51" s="44"/>
      <c r="E51" s="6" t="str">
        <f ca="1">IFERROR(__xludf.DUMMYFUNCTION("""COMPUTED_VALUE"""),"Hǎo xiāoxī hěn kuài jiù huì dàolái!")</f>
        <v>Hǎo xiāoxī hěn kuài jiù huì dàolái!</v>
      </c>
    </row>
    <row r="52" spans="1:5" ht="14.25" customHeight="1">
      <c r="A52" s="42"/>
      <c r="B52" s="46"/>
      <c r="C52" s="44"/>
      <c r="D52" s="44" t="s">
        <v>3665</v>
      </c>
    </row>
    <row r="53" spans="1:5" ht="14.25" customHeight="1">
      <c r="A53" s="42"/>
      <c r="B53" s="46"/>
      <c r="C53" s="44"/>
      <c r="D53" s="44"/>
      <c r="E53" s="5"/>
    </row>
    <row r="54" spans="1:5" ht="14.25" customHeight="1">
      <c r="A54" s="42"/>
      <c r="B54" s="46"/>
      <c r="C54" s="44"/>
      <c r="D54" s="44" t="s">
        <v>3666</v>
      </c>
      <c r="E54" s="5"/>
    </row>
    <row r="55" spans="1:5" ht="14.25" customHeight="1">
      <c r="A55" s="42"/>
      <c r="B55" s="46"/>
      <c r="C55" s="44"/>
      <c r="D55" s="44"/>
      <c r="E55" s="5"/>
    </row>
    <row r="56" spans="1:5" ht="14.25" customHeight="1">
      <c r="A56" s="42"/>
      <c r="B56" s="46"/>
      <c r="C56" s="44"/>
      <c r="D56" s="44" t="s">
        <v>3667</v>
      </c>
      <c r="E56" s="5"/>
    </row>
    <row r="57" spans="1:5" ht="14.25" customHeight="1">
      <c r="A57" s="42"/>
      <c r="B57" s="46"/>
      <c r="C57" s="44"/>
      <c r="D57" s="44"/>
      <c r="E57" s="5"/>
    </row>
    <row r="58" spans="1:5" ht="14.25" customHeight="1">
      <c r="A58" s="42"/>
      <c r="B58" s="46"/>
      <c r="C58" s="44"/>
      <c r="D58" s="44" t="s">
        <v>3668</v>
      </c>
      <c r="E58" s="5"/>
    </row>
    <row r="59" spans="1:5" ht="14.25" customHeight="1">
      <c r="A59" s="42"/>
      <c r="B59" s="46"/>
      <c r="C59" s="44"/>
      <c r="D59" s="44"/>
    </row>
    <row r="60" spans="1:5" ht="14.25" customHeight="1">
      <c r="A60" s="42"/>
      <c r="B60" s="46"/>
      <c r="C60" s="44"/>
      <c r="D60" s="44" t="s">
        <v>3669</v>
      </c>
      <c r="E60" s="5"/>
    </row>
    <row r="61" spans="1:5" ht="14.25" customHeight="1">
      <c r="A61" s="42"/>
      <c r="B61" s="46"/>
      <c r="C61" s="44"/>
      <c r="D61" s="44"/>
      <c r="E61" s="5"/>
    </row>
    <row r="62" spans="1:5" ht="14.25" customHeight="1">
      <c r="A62" s="42"/>
      <c r="B62" s="46"/>
      <c r="C62" s="44"/>
      <c r="D62" s="44" t="s">
        <v>3670</v>
      </c>
      <c r="E62" s="5"/>
    </row>
    <row r="63" spans="1:5" ht="14.25" customHeight="1">
      <c r="A63" s="42"/>
      <c r="B63" s="46"/>
      <c r="C63" s="44"/>
      <c r="D63" s="44"/>
      <c r="E63" s="5"/>
    </row>
    <row r="64" spans="1:5" ht="14.25" customHeight="1">
      <c r="A64" s="42"/>
      <c r="B64" s="46"/>
      <c r="C64" s="44"/>
      <c r="D64" s="44" t="s">
        <v>3671</v>
      </c>
      <c r="E64" s="5"/>
    </row>
    <row r="65" spans="1:5" ht="14.25" customHeight="1">
      <c r="A65" s="42"/>
      <c r="B65" s="46"/>
      <c r="C65" s="44"/>
      <c r="D65" s="44"/>
      <c r="E65" s="5"/>
    </row>
    <row r="66" spans="1:5" ht="14.25" customHeight="1">
      <c r="A66" s="42"/>
      <c r="B66" s="46"/>
      <c r="C66" s="44"/>
      <c r="D66" s="44" t="s">
        <v>3672</v>
      </c>
      <c r="E66" s="5"/>
    </row>
    <row r="67" spans="1:5" ht="14.25" customHeight="1">
      <c r="A67" s="42"/>
      <c r="B67" s="46"/>
      <c r="C67" s="44"/>
      <c r="D67" s="44"/>
      <c r="E67" s="5"/>
    </row>
    <row r="68" spans="1:5" ht="14.25" customHeight="1">
      <c r="A68" s="42"/>
      <c r="B68" s="46"/>
      <c r="C68" s="44"/>
      <c r="D68" s="44" t="s">
        <v>3673</v>
      </c>
      <c r="E68" s="5"/>
    </row>
    <row r="69" spans="1:5" ht="14.25" customHeight="1">
      <c r="A69" s="42"/>
      <c r="B69" s="46"/>
      <c r="C69" s="44"/>
      <c r="D69" s="44"/>
      <c r="E69" s="5"/>
    </row>
    <row r="70" spans="1:5" ht="14.25" customHeight="1">
      <c r="A70" s="42"/>
      <c r="B70" s="46"/>
      <c r="C70" s="44"/>
      <c r="D70" s="44" t="s">
        <v>3674</v>
      </c>
      <c r="E70" s="5"/>
    </row>
    <row r="71" spans="1:5" ht="14.25" customHeight="1">
      <c r="A71" s="42"/>
      <c r="B71" s="46"/>
      <c r="C71" s="44"/>
      <c r="D71" s="44"/>
      <c r="E71" s="5"/>
    </row>
    <row r="72" spans="1:5" ht="14.25" customHeight="1">
      <c r="A72" s="42"/>
      <c r="B72" s="46"/>
      <c r="C72" s="44"/>
      <c r="D72" s="44" t="s">
        <v>3675</v>
      </c>
      <c r="E72" s="5"/>
    </row>
    <row r="73" spans="1:5" ht="14.25" customHeight="1">
      <c r="A73" s="42"/>
      <c r="B73" s="46"/>
      <c r="C73" s="44"/>
      <c r="D73" s="44"/>
      <c r="E73" s="5"/>
    </row>
    <row r="74" spans="1:5" ht="14.25" customHeight="1">
      <c r="A74" s="42"/>
      <c r="B74" s="46"/>
      <c r="C74" s="44"/>
      <c r="D74" s="44" t="s">
        <v>3676</v>
      </c>
      <c r="E74" s="5"/>
    </row>
    <row r="75" spans="1:5" ht="14.25" customHeight="1">
      <c r="A75" s="42"/>
      <c r="B75" s="46"/>
      <c r="C75" s="44"/>
      <c r="D75" s="44"/>
      <c r="E75" s="5"/>
    </row>
    <row r="76" spans="1:5" ht="14.25" customHeight="1">
      <c r="A76" s="42"/>
      <c r="B76" s="46"/>
      <c r="C76" s="44"/>
      <c r="D76" s="44" t="s">
        <v>3677</v>
      </c>
      <c r="E76" s="5"/>
    </row>
    <row r="77" spans="1:5" ht="14.25" customHeight="1">
      <c r="A77" s="42"/>
      <c r="B77" s="46"/>
      <c r="C77" s="44"/>
      <c r="D77" s="44"/>
      <c r="E77" s="5"/>
    </row>
    <row r="78" spans="1:5" ht="14.25" customHeight="1">
      <c r="A78" s="42"/>
      <c r="B78" s="46"/>
      <c r="C78" s="44"/>
      <c r="D78" s="44" t="s">
        <v>2518</v>
      </c>
      <c r="E78" s="5"/>
    </row>
    <row r="79" spans="1:5" ht="14.25" customHeight="1">
      <c r="A79" s="42"/>
      <c r="B79" s="46"/>
      <c r="C79" s="44"/>
      <c r="D79" s="44"/>
      <c r="E79" s="5"/>
    </row>
    <row r="80" spans="1:5" ht="14.25" customHeight="1">
      <c r="A80" s="42"/>
      <c r="B80" s="46"/>
      <c r="C80" s="44"/>
      <c r="D80" s="44" t="s">
        <v>3678</v>
      </c>
      <c r="E80" s="5"/>
    </row>
    <row r="81" spans="1:5" ht="14.25" customHeight="1">
      <c r="A81" s="42"/>
      <c r="B81" s="46"/>
      <c r="C81" s="44"/>
      <c r="D81" s="44"/>
      <c r="E81" s="5"/>
    </row>
    <row r="82" spans="1:5" ht="14.25" customHeight="1">
      <c r="A82" s="42"/>
      <c r="B82" s="46"/>
      <c r="C82" s="44"/>
      <c r="D82" s="44" t="s">
        <v>3679</v>
      </c>
      <c r="E82" s="5"/>
    </row>
    <row r="83" spans="1:5" ht="14.25" customHeight="1">
      <c r="A83" s="42"/>
      <c r="B83" s="46"/>
      <c r="C83" s="44"/>
      <c r="D83" s="44"/>
      <c r="E83" s="5"/>
    </row>
    <row r="84" spans="1:5" ht="14.25" customHeight="1">
      <c r="A84" s="42"/>
      <c r="B84" s="46"/>
      <c r="C84" s="44"/>
      <c r="D84" s="44" t="s">
        <v>3680</v>
      </c>
      <c r="E84" s="5"/>
    </row>
    <row r="85" spans="1:5" ht="14.25" customHeight="1">
      <c r="A85" s="42"/>
      <c r="B85" s="46"/>
      <c r="C85" s="44"/>
      <c r="D85" s="44"/>
      <c r="E85" s="5"/>
    </row>
    <row r="86" spans="1:5" ht="14.25" customHeight="1">
      <c r="A86" s="42"/>
      <c r="B86" s="46"/>
      <c r="C86" s="44"/>
      <c r="D86" s="44" t="s">
        <v>3681</v>
      </c>
      <c r="E86" s="5"/>
    </row>
    <row r="87" spans="1:5" ht="14.25" customHeight="1">
      <c r="A87" s="42"/>
      <c r="B87" s="46"/>
      <c r="C87" s="44"/>
      <c r="D87" s="44"/>
      <c r="E87" s="5"/>
    </row>
    <row r="88" spans="1:5" ht="14.25" customHeight="1">
      <c r="A88" s="42"/>
      <c r="B88" s="46"/>
      <c r="C88" s="44"/>
      <c r="D88" s="44" t="s">
        <v>3682</v>
      </c>
      <c r="E88" s="5"/>
    </row>
    <row r="89" spans="1:5" ht="14.25" customHeight="1">
      <c r="A89" s="42"/>
      <c r="B89" s="46"/>
      <c r="C89" s="44"/>
      <c r="D89" s="44"/>
      <c r="E89" s="5"/>
    </row>
    <row r="90" spans="1:5" ht="14.25" customHeight="1">
      <c r="A90" s="42"/>
      <c r="B90" s="46"/>
      <c r="C90" s="44"/>
      <c r="D90" s="44" t="s">
        <v>3683</v>
      </c>
      <c r="E90" s="5"/>
    </row>
    <row r="91" spans="1:5" ht="14.25" customHeight="1">
      <c r="A91" s="42"/>
      <c r="B91" s="46"/>
      <c r="C91" s="44"/>
      <c r="D91" s="44"/>
      <c r="E91" s="5"/>
    </row>
    <row r="92" spans="1:5" ht="14.25" customHeight="1">
      <c r="A92" s="42"/>
      <c r="B92" s="46"/>
      <c r="C92" s="44"/>
      <c r="D92" s="44" t="s">
        <v>3684</v>
      </c>
      <c r="E92" s="5"/>
    </row>
    <row r="93" spans="1:5" ht="14.25" customHeight="1">
      <c r="A93" s="42"/>
      <c r="B93" s="46"/>
      <c r="C93" s="44"/>
      <c r="D93" s="44"/>
      <c r="E93" s="5"/>
    </row>
    <row r="94" spans="1:5" ht="14.25" customHeight="1">
      <c r="A94" s="42"/>
      <c r="B94" s="46"/>
      <c r="C94" s="44"/>
      <c r="D94" s="44" t="s">
        <v>3685</v>
      </c>
      <c r="E94" s="5"/>
    </row>
    <row r="95" spans="1:5" ht="14.25" customHeight="1">
      <c r="A95" s="42"/>
      <c r="B95" s="46"/>
      <c r="C95" s="44"/>
      <c r="D95" s="44"/>
      <c r="E95" s="5"/>
    </row>
    <row r="96" spans="1:5" ht="14.25" customHeight="1">
      <c r="A96" s="42"/>
      <c r="B96" s="46"/>
      <c r="C96" s="44"/>
      <c r="D96" s="44" t="s">
        <v>3686</v>
      </c>
      <c r="E96" s="5"/>
    </row>
    <row r="97" spans="1:5" ht="14.25" customHeight="1">
      <c r="A97" s="42"/>
      <c r="B97" s="46"/>
      <c r="C97" s="44"/>
      <c r="D97" s="44"/>
      <c r="E97" s="5"/>
    </row>
    <row r="98" spans="1:5" ht="14.25" customHeight="1">
      <c r="A98" s="42"/>
      <c r="B98" s="46"/>
      <c r="C98" s="44"/>
      <c r="D98" s="44" t="s">
        <v>3687</v>
      </c>
      <c r="E98" s="5"/>
    </row>
    <row r="99" spans="1:5" ht="14.25" customHeight="1">
      <c r="A99" s="42"/>
      <c r="B99" s="46"/>
      <c r="C99" s="44"/>
      <c r="D99" s="44"/>
      <c r="E99" s="5"/>
    </row>
    <row r="100" spans="1:5" ht="14.25" customHeight="1">
      <c r="A100" s="42"/>
      <c r="B100" s="46"/>
      <c r="C100" s="44"/>
      <c r="D100" s="44" t="s">
        <v>3688</v>
      </c>
      <c r="E100" s="5"/>
    </row>
  </sheetData>
  <pageMargins left="0.75" right="0.75" top="1" bottom="1"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2" width="53" customWidth="1"/>
    <col min="3" max="3" width="20.109375" customWidth="1"/>
    <col min="4" max="4" width="53" customWidth="1"/>
    <col min="5" max="5" width="56.88671875" customWidth="1"/>
  </cols>
  <sheetData>
    <row r="1" spans="1:5" ht="14.25" customHeight="1">
      <c r="A1" s="12" t="s">
        <v>3689</v>
      </c>
      <c r="E1" s="2"/>
    </row>
    <row r="2" spans="1:5" ht="14.25" customHeight="1">
      <c r="A2" s="41" t="s">
        <v>3690</v>
      </c>
      <c r="B2" s="43" t="s">
        <v>3691</v>
      </c>
      <c r="C2" s="46"/>
      <c r="D2" s="46" t="s">
        <v>3692</v>
      </c>
      <c r="E2" s="5" t="str">
        <f ca="1">IFERROR(__xludf.DUMMYFUNCTION("FILTER(D1:D1004,D1:D1004&lt;&gt; """")"),"Wǒmen xūyào bǎohù huánjìng.")</f>
        <v>Wǒmen xūyào bǎohù huánjìng.</v>
      </c>
    </row>
    <row r="3" spans="1:5" ht="14.25" customHeight="1">
      <c r="A3" s="41" t="s">
        <v>3693</v>
      </c>
      <c r="B3" s="43" t="s">
        <v>3694</v>
      </c>
      <c r="C3" s="46"/>
      <c r="D3" s="46"/>
      <c r="E3" s="6" t="str">
        <f ca="1">IFERROR(__xludf.DUMMYFUNCTION("""COMPUTED_VALUE"""),"Bùyào luàn rēng lèsè.")</f>
        <v>Bùyào luàn rēng lèsè.</v>
      </c>
    </row>
    <row r="4" spans="1:5" ht="14.25" customHeight="1">
      <c r="A4" s="41" t="s">
        <v>3695</v>
      </c>
      <c r="B4" s="43" t="s">
        <v>3696</v>
      </c>
      <c r="C4" s="46"/>
      <c r="D4" s="46" t="s">
        <v>3697</v>
      </c>
      <c r="E4" s="5" t="str">
        <f ca="1">IFERROR(__xludf.DUMMYFUNCTION("""COMPUTED_VALUE"""),"Bǎ lèsè rēng jìn lèsè tǒng.")</f>
        <v>Bǎ lèsè rēng jìn lèsè tǒng.</v>
      </c>
    </row>
    <row r="5" spans="1:5" ht="14.25" customHeight="1">
      <c r="A5" s="41" t="s">
        <v>3698</v>
      </c>
      <c r="B5" s="43" t="s">
        <v>3699</v>
      </c>
      <c r="C5" s="46"/>
      <c r="D5" s="46"/>
      <c r="E5" s="5" t="str">
        <f ca="1">IFERROR(__xludf.DUMMYFUNCTION("""COMPUTED_VALUE"""),"Wǒ zài zhǒng shù.")</f>
        <v>Wǒ zài zhǒng shù.</v>
      </c>
    </row>
    <row r="6" spans="1:5" ht="14.25" customHeight="1">
      <c r="A6" s="41" t="s">
        <v>3700</v>
      </c>
      <c r="B6" s="43" t="s">
        <v>3701</v>
      </c>
      <c r="C6" s="46"/>
      <c r="D6" s="46" t="s">
        <v>3702</v>
      </c>
      <c r="E6" s="5" t="str">
        <f ca="1">IFERROR(__xludf.DUMMYFUNCTION("""COMPUTED_VALUE"""),"Lǜ shù néng ràng wǒmen hūxī gèng shùnchàng.")</f>
        <v>Lǜ shù néng ràng wǒmen hūxī gèng shùnchàng.</v>
      </c>
    </row>
    <row r="7" spans="1:5" ht="14.25" customHeight="1">
      <c r="A7" s="41" t="s">
        <v>3703</v>
      </c>
      <c r="B7" s="43" t="s">
        <v>3704</v>
      </c>
      <c r="C7" s="46"/>
      <c r="D7" s="46"/>
      <c r="E7" s="5" t="str">
        <f ca="1">IFERROR(__xludf.DUMMYFUNCTION("""COMPUTED_VALUE"""),"Wǒ xiǎng qù hǎitān jiǎn lèsè.")</f>
        <v>Wǒ xiǎng qù hǎitān jiǎn lèsè.</v>
      </c>
    </row>
    <row r="8" spans="1:5" ht="14.25" customHeight="1">
      <c r="A8" s="41" t="s">
        <v>3705</v>
      </c>
      <c r="B8" s="43" t="s">
        <v>3706</v>
      </c>
      <c r="C8" s="46"/>
      <c r="D8" s="46" t="s">
        <v>3707</v>
      </c>
      <c r="E8" s="5" t="str">
        <f ca="1">IFERROR(__xludf.DUMMYFUNCTION("""COMPUTED_VALUE"""),"Bùyào làngfèi shuǐ.")</f>
        <v>Bùyào làngfèi shuǐ.</v>
      </c>
    </row>
    <row r="9" spans="1:5" ht="14.25" customHeight="1">
      <c r="A9" s="41" t="s">
        <v>3708</v>
      </c>
      <c r="B9" s="43" t="s">
        <v>3709</v>
      </c>
      <c r="C9" s="46"/>
      <c r="D9" s="46"/>
      <c r="E9" s="5" t="str">
        <f ca="1">IFERROR(__xludf.DUMMYFUNCTION("""COMPUTED_VALUE"""),"Bùyòng dēng de shíhòu qǐng guān dēng.")</f>
        <v>Bùyòng dēng de shíhòu qǐng guān dēng.</v>
      </c>
    </row>
    <row r="10" spans="1:5" ht="14.25" customHeight="1">
      <c r="A10" s="41" t="s">
        <v>3710</v>
      </c>
      <c r="B10" s="43" t="s">
        <v>3711</v>
      </c>
      <c r="C10" s="46"/>
      <c r="D10" s="46" t="s">
        <v>3712</v>
      </c>
      <c r="E10" s="5" t="str">
        <f ca="1">IFERROR(__xludf.DUMMYFUNCTION("""COMPUTED_VALUE"""),"Wǒ yòng bùdài dàitì sùliào dài.")</f>
        <v>Wǒ yòng bùdài dàitì sùliào dài.</v>
      </c>
    </row>
    <row r="11" spans="1:5" ht="14.25" customHeight="1">
      <c r="A11" s="41" t="s">
        <v>3713</v>
      </c>
      <c r="B11" s="43" t="s">
        <v>3714</v>
      </c>
      <c r="C11" s="46"/>
      <c r="D11" s="46"/>
      <c r="E11" s="5" t="str">
        <f ca="1">IFERROR(__xludf.DUMMYFUNCTION("""COMPUTED_VALUE"""),"Huíshōu jiùwù fēicháng hǎo.")</f>
        <v>Huíshōu jiùwù fēicháng hǎo.</v>
      </c>
    </row>
    <row r="12" spans="1:5" ht="14.25" customHeight="1">
      <c r="A12" s="41" t="s">
        <v>3715</v>
      </c>
      <c r="B12" s="43" t="s">
        <v>3716</v>
      </c>
      <c r="C12" s="46"/>
      <c r="D12" s="46" t="s">
        <v>3717</v>
      </c>
      <c r="E12" s="6" t="str">
        <f ca="1">IFERROR(__xludf.DUMMYFUNCTION("""COMPUTED_VALUE"""),"Jīntiān kōngqì yǒudiǎn wūrǎn.")</f>
        <v>Jīntiān kōngqì yǒudiǎn wūrǎn.</v>
      </c>
    </row>
    <row r="13" spans="1:5" ht="14.25" customHeight="1">
      <c r="A13" s="41" t="s">
        <v>3718</v>
      </c>
      <c r="B13" s="43" t="s">
        <v>3719</v>
      </c>
      <c r="C13" s="46"/>
      <c r="D13" s="46"/>
      <c r="E13" s="6" t="str">
        <f ca="1">IFERROR(__xludf.DUMMYFUNCTION("""COMPUTED_VALUE"""),"Wǒ huì dài kǒuzhào.")</f>
        <v>Wǒ huì dài kǒuzhào.</v>
      </c>
    </row>
    <row r="14" spans="1:5" ht="14.25" customHeight="1">
      <c r="A14" s="41" t="s">
        <v>3720</v>
      </c>
      <c r="B14" s="43" t="s">
        <v>3721</v>
      </c>
      <c r="C14" s="46"/>
      <c r="D14" s="46" t="s">
        <v>3722</v>
      </c>
      <c r="E14" s="6" t="str">
        <f ca="1">IFERROR(__xludf.DUMMYFUNCTION("""COMPUTED_VALUE"""),"Bàofēngyǔ yào láile ma?")</f>
        <v>Bàofēngyǔ yào láile ma?</v>
      </c>
    </row>
    <row r="15" spans="1:5" ht="14.25" customHeight="1">
      <c r="A15" s="41" t="s">
        <v>3723</v>
      </c>
      <c r="B15" s="43" t="s">
        <v>3724</v>
      </c>
      <c r="C15" s="46"/>
      <c r="D15" s="46"/>
      <c r="E15" s="6" t="str">
        <f ca="1">IFERROR(__xludf.DUMMYFUNCTION("""COMPUTED_VALUE"""),"Zhè chǎng bàofēngyǔ jiào shénme míngzì?")</f>
        <v>Zhè chǎng bàofēngyǔ jiào shénme míngzì?</v>
      </c>
    </row>
    <row r="16" spans="1:5" ht="14.25" customHeight="1">
      <c r="A16" s="41" t="s">
        <v>3725</v>
      </c>
      <c r="B16" s="43" t="s">
        <v>3726</v>
      </c>
      <c r="C16" s="46"/>
      <c r="D16" s="46" t="s">
        <v>3727</v>
      </c>
      <c r="E16" s="6" t="str">
        <f ca="1">IFERROR(__xludf.DUMMYFUNCTION("""COMPUTED_VALUE"""),"Hěn kuài jiù yào xià dàyǔle.")</f>
        <v>Hěn kuài jiù yào xià dàyǔle.</v>
      </c>
    </row>
    <row r="17" spans="1:5" ht="14.25" customHeight="1">
      <c r="A17" s="41" t="s">
        <v>3728</v>
      </c>
      <c r="B17" s="43" t="s">
        <v>3729</v>
      </c>
      <c r="C17" s="46"/>
      <c r="D17" s="46"/>
      <c r="E17" s="6" t="str">
        <f ca="1">IFERROR(__xludf.DUMMYFUNCTION("""COMPUTED_VALUE"""),"Fēng guā dé hěn dà!")</f>
        <v>Fēng guā dé hěn dà!</v>
      </c>
    </row>
    <row r="18" spans="1:5" ht="14.25" customHeight="1">
      <c r="A18" s="41" t="s">
        <v>3730</v>
      </c>
      <c r="B18" s="43" t="s">
        <v>3731</v>
      </c>
      <c r="C18" s="46"/>
      <c r="D18" s="46" t="s">
        <v>3732</v>
      </c>
      <c r="E18" s="5" t="str">
        <f ca="1">IFERROR(__xludf.DUMMYFUNCTION("""COMPUTED_VALUE"""),"Wǒ hǎo hàipà dǎléi hé shǎndiàn.")</f>
        <v>Wǒ hǎo hàipà dǎléi hé shǎndiàn.</v>
      </c>
    </row>
    <row r="19" spans="1:5" ht="14.25" customHeight="1">
      <c r="A19" s="41" t="s">
        <v>3733</v>
      </c>
      <c r="B19" s="43" t="s">
        <v>3734</v>
      </c>
      <c r="C19" s="46"/>
      <c r="D19" s="46"/>
      <c r="E19" s="4" t="str">
        <f ca="1">IFERROR(__xludf.DUMMYFUNCTION("""COMPUTED_VALUE"""),"Bàofēngyǔ de shíhòu bùyào chūmén.")</f>
        <v>Bàofēngyǔ de shíhòu bùyào chūmén.</v>
      </c>
    </row>
    <row r="20" spans="1:5" ht="14.25" customHeight="1">
      <c r="A20" s="41" t="s">
        <v>3735</v>
      </c>
      <c r="B20" s="43" t="s">
        <v>3736</v>
      </c>
      <c r="C20" s="46"/>
      <c r="D20" s="46" t="s">
        <v>3737</v>
      </c>
      <c r="E20" s="5" t="str">
        <f ca="1">IFERROR(__xludf.DUMMYFUNCTION("""COMPUTED_VALUE"""),"Wǒmen yīnggāi zhǔnbèi yīxiē yìngjí wùzī.")</f>
        <v>Wǒmen yīnggāi zhǔnbèi yīxiē yìngjí wùzī.</v>
      </c>
    </row>
    <row r="21" spans="1:5" ht="14.25" customHeight="1">
      <c r="A21" s="41" t="s">
        <v>3738</v>
      </c>
      <c r="B21" s="43" t="s">
        <v>3739</v>
      </c>
      <c r="C21" s="46"/>
      <c r="D21" s="46"/>
      <c r="E21" s="6" t="str">
        <f ca="1">IFERROR(__xludf.DUMMYFUNCTION("""COMPUTED_VALUE"""),"Nǐ yǒu làzhú hé shǒudiàntǒng ma?")</f>
        <v>Nǐ yǒu làzhú hé shǒudiàntǒng ma?</v>
      </c>
    </row>
    <row r="22" spans="1:5" ht="14.25" customHeight="1">
      <c r="A22" s="41" t="s">
        <v>3740</v>
      </c>
      <c r="B22" s="43" t="s">
        <v>3741</v>
      </c>
      <c r="C22" s="46"/>
      <c r="D22" s="46" t="s">
        <v>3742</v>
      </c>
      <c r="E22" s="6" t="str">
        <f ca="1">IFERROR(__xludf.DUMMYFUNCTION("""COMPUTED_VALUE"""),"Wǒ yào bǎ shǒujī chōngmǎn diàn.")</f>
        <v>Wǒ yào bǎ shǒujī chōngmǎn diàn.</v>
      </c>
    </row>
    <row r="23" spans="1:5" ht="14.25" customHeight="1">
      <c r="A23" s="41" t="s">
        <v>3743</v>
      </c>
      <c r="B23" s="43" t="s">
        <v>3744</v>
      </c>
      <c r="C23" s="46"/>
      <c r="D23" s="46"/>
      <c r="E23" s="6" t="str">
        <f ca="1">IFERROR(__xludf.DUMMYFUNCTION("""COMPUTED_VALUE"""),"Nǐ yǒu shíwù chúbèi ma?")</f>
        <v>Nǐ yǒu shíwù chúbèi ma?</v>
      </c>
    </row>
    <row r="24" spans="1:5" ht="14.25" customHeight="1">
      <c r="A24" s="41" t="s">
        <v>3745</v>
      </c>
      <c r="B24" s="43" t="s">
        <v>3746</v>
      </c>
      <c r="C24" s="46"/>
      <c r="D24" s="46" t="s">
        <v>3747</v>
      </c>
      <c r="E24" s="6" t="str">
        <f ca="1">IFERROR(__xludf.DUMMYFUNCTION("""COMPUTED_VALUE"""),"Dìzhènle! Bǎochí lěngjìng!")</f>
        <v>Dìzhènle! Bǎochí lěngjìng!</v>
      </c>
    </row>
    <row r="25" spans="1:5" ht="14.25" customHeight="1">
      <c r="A25" s="41" t="s">
        <v>3748</v>
      </c>
      <c r="B25" s="43" t="s">
        <v>3749</v>
      </c>
      <c r="C25" s="46"/>
      <c r="D25" s="46"/>
      <c r="E25" s="6" t="str">
        <f ca="1">IFERROR(__xludf.DUMMYFUNCTION("""COMPUTED_VALUE"""),"Pá dào zhuōzǐ dǐxia.")</f>
        <v>Pá dào zhuōzǐ dǐxia.</v>
      </c>
    </row>
    <row r="26" spans="1:5" ht="14.25" customHeight="1">
      <c r="A26" s="41" t="s">
        <v>3750</v>
      </c>
      <c r="B26" s="43" t="s">
        <v>3751</v>
      </c>
      <c r="C26" s="46"/>
      <c r="D26" s="46" t="s">
        <v>3752</v>
      </c>
      <c r="E26" s="6" t="str">
        <f ca="1">IFERROR(__xludf.DUMMYFUNCTION("""COMPUTED_VALUE"""),"Dìzhèn shí bùyào chéngzuò diàntī.")</f>
        <v>Dìzhèn shí bùyào chéngzuò diàntī.</v>
      </c>
    </row>
    <row r="27" spans="1:5" ht="14.25" customHeight="1">
      <c r="A27" s="41" t="s">
        <v>3753</v>
      </c>
      <c r="B27" s="43" t="s">
        <v>3754</v>
      </c>
      <c r="C27" s="46"/>
      <c r="D27" s="46"/>
      <c r="E27" s="6" t="str">
        <f ca="1">IFERROR(__xludf.DUMMYFUNCTION("""COMPUTED_VALUE"""),"Kuài pǎo dào kōngkuàng dì dìfāng.")</f>
        <v>Kuài pǎo dào kōngkuàng dì dìfāng.</v>
      </c>
    </row>
    <row r="28" spans="1:5" ht="14.25" customHeight="1">
      <c r="A28" s="41" t="s">
        <v>3755</v>
      </c>
      <c r="B28" s="43" t="s">
        <v>3756</v>
      </c>
      <c r="C28" s="46"/>
      <c r="D28" s="46" t="s">
        <v>3757</v>
      </c>
      <c r="E28" s="6" t="str">
        <f ca="1">IFERROR(__xludf.DUMMYFUNCTION("""COMPUTED_VALUE"""),"Wǒ gǎnjué dàole zhèndòng.")</f>
        <v>Wǒ gǎnjué dàole zhèndòng.</v>
      </c>
    </row>
    <row r="29" spans="1:5" ht="14.25" customHeight="1">
      <c r="A29" s="41" t="s">
        <v>3758</v>
      </c>
      <c r="B29" s="43" t="s">
        <v>3759</v>
      </c>
      <c r="C29" s="46"/>
      <c r="D29" s="46"/>
      <c r="E29" s="37" t="str">
        <f ca="1">IFERROR(__xludf.DUMMYFUNCTION("""COMPUTED_VALUE"""),"Méishì de, bié dānxīn.")</f>
        <v>Méishì de, bié dānxīn.</v>
      </c>
    </row>
    <row r="30" spans="1:5" ht="14.25" customHeight="1">
      <c r="A30" s="41" t="s">
        <v>3760</v>
      </c>
      <c r="B30" s="43" t="s">
        <v>3761</v>
      </c>
      <c r="C30" s="46"/>
      <c r="D30" s="46" t="s">
        <v>3762</v>
      </c>
      <c r="E30" s="6" t="str">
        <f ca="1">IFERROR(__xludf.DUMMYFUNCTION("""COMPUTED_VALUE"""),"Yǒu hǎixiào yùjǐng ma?")</f>
        <v>Yǒu hǎixiào yùjǐng ma?</v>
      </c>
    </row>
    <row r="31" spans="1:5" ht="14.25" customHeight="1">
      <c r="A31" s="41" t="s">
        <v>3763</v>
      </c>
      <c r="B31" s="43" t="s">
        <v>3764</v>
      </c>
      <c r="C31" s="46"/>
      <c r="D31" s="46"/>
      <c r="E31" s="4" t="str">
        <f ca="1">IFERROR(__xludf.DUMMYFUNCTION("""COMPUTED_VALUE"""),"Qù dìshì gāo dì dìfāng.")</f>
        <v>Qù dìshì gāo dì dìfāng.</v>
      </c>
    </row>
    <row r="32" spans="1:5" ht="14.25" customHeight="1">
      <c r="A32" s="41" t="s">
        <v>3765</v>
      </c>
      <c r="B32" s="43" t="s">
        <v>3766</v>
      </c>
      <c r="C32" s="46"/>
      <c r="D32" s="46" t="s">
        <v>3767</v>
      </c>
      <c r="E32" s="4" t="str">
        <f ca="1">IFERROR(__xludf.DUMMYFUNCTION("""COMPUTED_VALUE"""),"Hóngshuǐ shàngzhǎngle.")</f>
        <v>Hóngshuǐ shàngzhǎngle.</v>
      </c>
    </row>
    <row r="33" spans="1:5" ht="14.25" customHeight="1">
      <c r="A33" s="41" t="s">
        <v>3768</v>
      </c>
      <c r="B33" s="43" t="s">
        <v>3769</v>
      </c>
      <c r="C33" s="46"/>
      <c r="D33" s="46"/>
      <c r="E33" s="4" t="str">
        <f ca="1">IFERROR(__xludf.DUMMYFUNCTION("""COMPUTED_VALUE"""),"Bùyào tàngguò hóngshuǐ, shuǐ hěn zàng.")</f>
        <v>Bùyào tàngguò hóngshuǐ, shuǐ hěn zàng.</v>
      </c>
    </row>
    <row r="34" spans="1:5" ht="14.25" customHeight="1">
      <c r="A34" s="41" t="s">
        <v>3770</v>
      </c>
      <c r="B34" s="43" t="s">
        <v>3771</v>
      </c>
      <c r="C34" s="46"/>
      <c r="D34" s="46" t="s">
        <v>3772</v>
      </c>
      <c r="E34" s="4" t="str">
        <f ca="1">IFERROR(__xludf.DUMMYFUNCTION("""COMPUTED_VALUE"""),"Wǒ de yīfú dōu shīle.")</f>
        <v>Wǒ de yīfú dōu shīle.</v>
      </c>
    </row>
    <row r="35" spans="1:5" ht="14.25" customHeight="1">
      <c r="A35" s="41" t="s">
        <v>3773</v>
      </c>
      <c r="B35" s="43" t="s">
        <v>3774</v>
      </c>
      <c r="C35" s="46"/>
      <c r="D35" s="46"/>
      <c r="E35" s="8" t="str">
        <f ca="1">IFERROR(__xludf.DUMMYFUNCTION("""COMPUTED_VALUE"""),"Cā gān shēntǐ, miǎndé zháoliáng.")</f>
        <v>Cā gān shēntǐ, miǎndé zháoliáng.</v>
      </c>
    </row>
    <row r="36" spans="1:5" ht="14.25" customHeight="1">
      <c r="A36" s="41" t="s">
        <v>3775</v>
      </c>
      <c r="B36" s="43" t="s">
        <v>3776</v>
      </c>
      <c r="C36" s="46"/>
      <c r="D36" s="46" t="s">
        <v>3777</v>
      </c>
      <c r="E36" s="5" t="str">
        <f ca="1">IFERROR(__xludf.DUMMYFUNCTION("""COMPUTED_VALUE"""),"Xīwàng hěn kuài jiù néng fàngqíng.")</f>
        <v>Xīwàng hěn kuài jiù néng fàngqíng.</v>
      </c>
    </row>
    <row r="37" spans="1:5" ht="14.25" customHeight="1">
      <c r="A37" s="41" t="s">
        <v>3778</v>
      </c>
      <c r="B37" s="43" t="s">
        <v>3779</v>
      </c>
      <c r="C37" s="46"/>
      <c r="D37" s="46"/>
      <c r="E37" s="8" t="str">
        <f ca="1">IFERROR(__xludf.DUMMYFUNCTION("""COMPUTED_VALUE"""),"Kàn, yǒu cǎihóng!")</f>
        <v>Kàn, yǒu cǎihóng!</v>
      </c>
    </row>
    <row r="38" spans="1:5" ht="14.25" customHeight="1">
      <c r="A38" s="41" t="s">
        <v>3780</v>
      </c>
      <c r="B38" s="43" t="s">
        <v>3781</v>
      </c>
      <c r="C38" s="46"/>
      <c r="D38" s="46" t="s">
        <v>3782</v>
      </c>
      <c r="E38" s="5" t="str">
        <f ca="1">IFERROR(__xludf.DUMMYFUNCTION("""COMPUTED_VALUE"""),"Gānjìng de huánjìng yìwèizhe wǒmen gèng jiànkāng.")</f>
        <v>Gānjìng de huánjìng yìwèizhe wǒmen gèng jiànkāng.</v>
      </c>
    </row>
    <row r="39" spans="1:5" ht="14.25" customHeight="1">
      <c r="A39" s="41" t="s">
        <v>3783</v>
      </c>
      <c r="B39" s="43" t="s">
        <v>3784</v>
      </c>
      <c r="C39" s="46"/>
      <c r="D39" s="46"/>
      <c r="E39" s="6" t="str">
        <f ca="1">IFERROR(__xludf.DUMMYFUNCTION("""COMPUTED_VALUE"""),"Wǒ xǐhuān lǜsè de zìrán.")</f>
        <v>Wǒ xǐhuān lǜsè de zìrán.</v>
      </c>
    </row>
    <row r="40" spans="1:5" ht="14.25" customHeight="1">
      <c r="A40" s="41" t="s">
        <v>3785</v>
      </c>
      <c r="B40" s="43" t="s">
        <v>3786</v>
      </c>
      <c r="C40" s="46"/>
      <c r="D40" s="46" t="s">
        <v>3787</v>
      </c>
      <c r="E40" s="6" t="str">
        <f ca="1">IFERROR(__xludf.DUMMYFUNCTION("""COMPUTED_VALUE"""),"Wǒmen yī qǐlái qīnglǐ ba.")</f>
        <v>Wǒmen yī qǐlái qīnglǐ ba.</v>
      </c>
    </row>
    <row r="41" spans="1:5" ht="14.25" customHeight="1">
      <c r="A41" s="41" t="s">
        <v>3788</v>
      </c>
      <c r="B41" s="43" t="s">
        <v>3789</v>
      </c>
      <c r="C41" s="46"/>
      <c r="D41" s="46"/>
      <c r="E41" s="5" t="str">
        <f ca="1">IFERROR(__xludf.DUMMYFUNCTION("""COMPUTED_VALUE"""),"Wǒ bù huì shǐyòng sùliào xīguǎn.")</f>
        <v>Wǒ bù huì shǐyòng sùliào xīguǎn.</v>
      </c>
    </row>
    <row r="42" spans="1:5" ht="14.25" customHeight="1">
      <c r="A42" s="41" t="s">
        <v>3790</v>
      </c>
      <c r="B42" s="43" t="s">
        <v>3791</v>
      </c>
      <c r="C42" s="46"/>
      <c r="D42" s="46" t="s">
        <v>3792</v>
      </c>
      <c r="E42" s="4" t="str">
        <f ca="1">IFERROR(__xludf.DUMMYFUNCTION("""COMPUTED_VALUE"""),"Fēilǜbīn yǒu hěnduō huǒshān ma?")</f>
        <v>Fēilǜbīn yǒu hěnduō huǒshān ma?</v>
      </c>
    </row>
    <row r="43" spans="1:5" ht="14.25" customHeight="1">
      <c r="A43" s="41" t="s">
        <v>3793</v>
      </c>
      <c r="B43" s="43" t="s">
        <v>3794</v>
      </c>
      <c r="C43" s="46"/>
      <c r="D43" s="46"/>
      <c r="E43" s="5" t="str">
        <f ca="1">IFERROR(__xludf.DUMMYFUNCTION("""COMPUTED_VALUE"""),"Mǎ róng huǒshān zhēn piàoliang.")</f>
        <v>Mǎ róng huǒshān zhēn piàoliang.</v>
      </c>
    </row>
    <row r="44" spans="1:5" ht="14.25" customHeight="1">
      <c r="A44" s="41" t="s">
        <v>3795</v>
      </c>
      <c r="B44" s="43" t="s">
        <v>3796</v>
      </c>
      <c r="C44" s="46"/>
      <c r="D44" s="46" t="s">
        <v>3797</v>
      </c>
      <c r="E44" s="4" t="str">
        <f ca="1">IFERROR(__xludf.DUMMYFUNCTION("""COMPUTED_VALUE"""),"Tā shì huó huǒshān ma?")</f>
        <v>Tā shì huó huǒshān ma?</v>
      </c>
    </row>
    <row r="45" spans="1:5" ht="14.25" customHeight="1">
      <c r="A45" s="41" t="s">
        <v>3798</v>
      </c>
      <c r="B45" s="43" t="s">
        <v>3799</v>
      </c>
      <c r="C45" s="46"/>
      <c r="D45" s="46"/>
      <c r="E45" s="5" t="str">
        <f ca="1">IFERROR(__xludf.DUMMYFUNCTION("""COMPUTED_VALUE"""),"Wǒ xiǎng kàn kàn tā mào chū de yān.")</f>
        <v>Wǒ xiǎng kàn kàn tā mào chū de yān.</v>
      </c>
    </row>
    <row r="46" spans="1:5" ht="14.25" customHeight="1">
      <c r="A46" s="41" t="s">
        <v>3800</v>
      </c>
      <c r="B46" s="43" t="s">
        <v>3801</v>
      </c>
      <c r="C46" s="46"/>
      <c r="D46" s="46" t="s">
        <v>3802</v>
      </c>
      <c r="E46" s="4" t="str">
        <f ca="1">IFERROR(__xludf.DUMMYFUNCTION("""COMPUTED_VALUE"""),"Dàn wèile ānquán qǐjiàn, wǒmen bìxū zhàn yuǎn diǎn.")</f>
        <v>Dàn wèile ānquán qǐjiàn, wǒmen bìxū zhàn yuǎn diǎn.</v>
      </c>
    </row>
    <row r="47" spans="1:5" ht="14.25" customHeight="1">
      <c r="A47" s="41" t="s">
        <v>3803</v>
      </c>
      <c r="B47" s="43" t="s">
        <v>3804</v>
      </c>
      <c r="C47" s="46"/>
      <c r="D47" s="46"/>
      <c r="E47" s="4" t="str">
        <f ca="1">IFERROR(__xludf.DUMMYFUNCTION("""COMPUTED_VALUE"""),"Wǒ huì gàosù wǒ de péngyǒu guānyú huánjìng de shìqíng.")</f>
        <v>Wǒ huì gàosù wǒ de péngyǒu guānyú huánjìng de shìqíng.</v>
      </c>
    </row>
    <row r="48" spans="1:5" ht="14.25" customHeight="1">
      <c r="A48" s="41" t="s">
        <v>3805</v>
      </c>
      <c r="B48" s="43" t="s">
        <v>3806</v>
      </c>
      <c r="C48" s="46"/>
      <c r="D48" s="46" t="s">
        <v>3807</v>
      </c>
      <c r="E48" s="4" t="str">
        <f ca="1">IFERROR(__xludf.DUMMYFUNCTION("""COMPUTED_VALUE"""),"Wǒmen shì huánbǎo wèishì!")</f>
        <v>Wǒmen shì huánbǎo wèishì!</v>
      </c>
    </row>
    <row r="49" spans="1:5" ht="14.25" customHeight="1">
      <c r="A49" s="41" t="s">
        <v>3808</v>
      </c>
      <c r="B49" s="43" t="s">
        <v>3809</v>
      </c>
      <c r="C49" s="46"/>
      <c r="D49" s="46"/>
      <c r="E49" s="5" t="str">
        <f ca="1">IFERROR(__xludf.DUMMYFUNCTION("""COMPUTED_VALUE"""),"Xièxiè nǐ jiào wǒ ānquán zhīshì.")</f>
        <v>Xièxiè nǐ jiào wǒ ānquán zhīshì.</v>
      </c>
    </row>
    <row r="50" spans="1:5" ht="14.25" customHeight="1">
      <c r="A50" s="41" t="s">
        <v>3810</v>
      </c>
      <c r="B50" s="43" t="s">
        <v>3811</v>
      </c>
      <c r="C50" s="46"/>
      <c r="D50" s="46" t="s">
        <v>3812</v>
      </c>
      <c r="E50" s="6" t="str">
        <f ca="1">IFERROR(__xludf.DUMMYFUNCTION("""COMPUTED_VALUE"""),"Yuàn wǒmen dì dìqiú yǒngyuǎn měilì.")</f>
        <v>Yuàn wǒmen dì dìqiú yǒngyuǎn měilì.</v>
      </c>
    </row>
    <row r="51" spans="1:5" ht="14.25" customHeight="1">
      <c r="A51" s="41" t="s">
        <v>3813</v>
      </c>
      <c r="B51" s="43" t="s">
        <v>3814</v>
      </c>
      <c r="C51" s="46"/>
      <c r="D51" s="46"/>
      <c r="E51" s="6" t="str">
        <f ca="1">IFERROR(__xludf.DUMMYFUNCTION("""COMPUTED_VALUE"""),"Yuàn měi gèrén dōu píng'ān!")</f>
        <v>Yuàn měi gèrén dōu píng'ān!</v>
      </c>
    </row>
    <row r="52" spans="1:5" ht="14.25" customHeight="1">
      <c r="A52" s="42"/>
      <c r="B52" s="46"/>
      <c r="C52" s="46"/>
      <c r="D52" s="46" t="s">
        <v>3815</v>
      </c>
    </row>
    <row r="53" spans="1:5" ht="14.25" customHeight="1">
      <c r="A53" s="42"/>
      <c r="B53" s="46"/>
      <c r="C53" s="46"/>
      <c r="D53" s="46"/>
      <c r="E53" s="5"/>
    </row>
    <row r="54" spans="1:5" ht="14.25" customHeight="1">
      <c r="A54" s="42"/>
      <c r="B54" s="46"/>
      <c r="C54" s="46"/>
      <c r="D54" s="46" t="s">
        <v>3816</v>
      </c>
      <c r="E54" s="5"/>
    </row>
    <row r="55" spans="1:5" ht="14.25" customHeight="1">
      <c r="A55" s="42"/>
      <c r="B55" s="46"/>
      <c r="C55" s="46"/>
      <c r="D55" s="46"/>
      <c r="E55" s="5"/>
    </row>
    <row r="56" spans="1:5" ht="14.25" customHeight="1">
      <c r="A56" s="42"/>
      <c r="B56" s="46"/>
      <c r="C56" s="46"/>
      <c r="D56" s="46" t="s">
        <v>3817</v>
      </c>
      <c r="E56" s="5"/>
    </row>
    <row r="57" spans="1:5" ht="14.25" customHeight="1">
      <c r="A57" s="42"/>
      <c r="B57" s="46"/>
      <c r="C57" s="46"/>
      <c r="D57" s="46"/>
      <c r="E57" s="5"/>
    </row>
    <row r="58" spans="1:5" ht="14.25" customHeight="1">
      <c r="A58" s="42"/>
      <c r="B58" s="46"/>
      <c r="C58" s="46"/>
      <c r="D58" s="46" t="s">
        <v>3818</v>
      </c>
      <c r="E58" s="5"/>
    </row>
    <row r="59" spans="1:5" ht="14.25" customHeight="1">
      <c r="A59" s="42"/>
      <c r="B59" s="46"/>
      <c r="C59" s="46"/>
      <c r="D59" s="46"/>
    </row>
    <row r="60" spans="1:5" ht="14.25" customHeight="1">
      <c r="A60" s="42"/>
      <c r="B60" s="46"/>
      <c r="C60" s="46"/>
      <c r="D60" s="46" t="s">
        <v>3819</v>
      </c>
      <c r="E60" s="5"/>
    </row>
    <row r="61" spans="1:5" ht="14.25" customHeight="1">
      <c r="A61" s="42"/>
      <c r="B61" s="46"/>
      <c r="C61" s="46"/>
      <c r="D61" s="46"/>
      <c r="E61" s="5"/>
    </row>
    <row r="62" spans="1:5" ht="14.25" customHeight="1">
      <c r="A62" s="42"/>
      <c r="B62" s="46"/>
      <c r="C62" s="46"/>
      <c r="D62" s="46" t="s">
        <v>3820</v>
      </c>
      <c r="E62" s="5"/>
    </row>
    <row r="63" spans="1:5" ht="14.25" customHeight="1">
      <c r="A63" s="42"/>
      <c r="B63" s="46"/>
      <c r="C63" s="46"/>
      <c r="D63" s="46"/>
      <c r="E63" s="5"/>
    </row>
    <row r="64" spans="1:5" ht="14.25" customHeight="1">
      <c r="A64" s="42"/>
      <c r="B64" s="46"/>
      <c r="C64" s="46"/>
      <c r="D64" s="46" t="s">
        <v>3821</v>
      </c>
      <c r="E64" s="5"/>
    </row>
    <row r="65" spans="1:5" ht="14.25" customHeight="1">
      <c r="A65" s="42"/>
      <c r="B65" s="46"/>
      <c r="C65" s="46"/>
      <c r="D65" s="46"/>
      <c r="E65" s="5"/>
    </row>
    <row r="66" spans="1:5" ht="14.25" customHeight="1">
      <c r="A66" s="42"/>
      <c r="B66" s="46"/>
      <c r="C66" s="46"/>
      <c r="D66" s="46" t="s">
        <v>3822</v>
      </c>
      <c r="E66" s="5"/>
    </row>
    <row r="67" spans="1:5" ht="14.25" customHeight="1">
      <c r="A67" s="42"/>
      <c r="B67" s="46"/>
      <c r="C67" s="46"/>
      <c r="D67" s="46"/>
      <c r="E67" s="5"/>
    </row>
    <row r="68" spans="1:5" ht="14.25" customHeight="1">
      <c r="A68" s="42"/>
      <c r="B68" s="46"/>
      <c r="C68" s="46"/>
      <c r="D68" s="46" t="s">
        <v>3823</v>
      </c>
      <c r="E68" s="5"/>
    </row>
    <row r="69" spans="1:5" ht="14.25" customHeight="1">
      <c r="A69" s="42"/>
      <c r="B69" s="46"/>
      <c r="C69" s="46"/>
      <c r="D69" s="46"/>
      <c r="E69" s="5"/>
    </row>
    <row r="70" spans="1:5" ht="14.25" customHeight="1">
      <c r="A70" s="42"/>
      <c r="B70" s="46"/>
      <c r="C70" s="46"/>
      <c r="D70" s="46" t="s">
        <v>3824</v>
      </c>
      <c r="E70" s="5"/>
    </row>
    <row r="71" spans="1:5" ht="14.25" customHeight="1">
      <c r="A71" s="42"/>
      <c r="B71" s="46"/>
      <c r="C71" s="46"/>
      <c r="D71" s="46"/>
      <c r="E71" s="5"/>
    </row>
    <row r="72" spans="1:5" ht="14.25" customHeight="1">
      <c r="A72" s="42"/>
      <c r="B72" s="46"/>
      <c r="C72" s="46"/>
      <c r="D72" s="46" t="s">
        <v>3825</v>
      </c>
      <c r="E72" s="5"/>
    </row>
    <row r="73" spans="1:5" ht="14.25" customHeight="1">
      <c r="A73" s="42"/>
      <c r="B73" s="46"/>
      <c r="C73" s="46"/>
      <c r="D73" s="46"/>
      <c r="E73" s="5"/>
    </row>
    <row r="74" spans="1:5" ht="14.25" customHeight="1">
      <c r="A74" s="42"/>
      <c r="B74" s="46"/>
      <c r="C74" s="46"/>
      <c r="D74" s="46" t="s">
        <v>3826</v>
      </c>
      <c r="E74" s="5"/>
    </row>
    <row r="75" spans="1:5" ht="14.25" customHeight="1">
      <c r="A75" s="42"/>
      <c r="B75" s="46"/>
      <c r="C75" s="46"/>
      <c r="D75" s="46"/>
      <c r="E75" s="5"/>
    </row>
    <row r="76" spans="1:5" ht="14.25" customHeight="1">
      <c r="A76" s="42"/>
      <c r="B76" s="46"/>
      <c r="C76" s="46"/>
      <c r="D76" s="46" t="s">
        <v>3827</v>
      </c>
      <c r="E76" s="5"/>
    </row>
    <row r="77" spans="1:5" ht="14.25" customHeight="1">
      <c r="A77" s="42"/>
      <c r="B77" s="46"/>
      <c r="C77" s="46"/>
      <c r="D77" s="46"/>
      <c r="E77" s="5"/>
    </row>
    <row r="78" spans="1:5" ht="14.25" customHeight="1">
      <c r="A78" s="42"/>
      <c r="B78" s="46"/>
      <c r="C78" s="46"/>
      <c r="D78" s="46" t="s">
        <v>3828</v>
      </c>
      <c r="E78" s="5"/>
    </row>
    <row r="79" spans="1:5" ht="14.25" customHeight="1">
      <c r="A79" s="42"/>
      <c r="B79" s="46"/>
      <c r="C79" s="46"/>
      <c r="D79" s="46"/>
      <c r="E79" s="5"/>
    </row>
    <row r="80" spans="1:5" ht="14.25" customHeight="1">
      <c r="A80" s="42"/>
      <c r="B80" s="46"/>
      <c r="C80" s="46"/>
      <c r="D80" s="46" t="s">
        <v>3829</v>
      </c>
      <c r="E80" s="5"/>
    </row>
    <row r="81" spans="1:5" ht="14.25" customHeight="1">
      <c r="A81" s="42"/>
      <c r="B81" s="46"/>
      <c r="C81" s="46"/>
      <c r="D81" s="46"/>
      <c r="E81" s="5"/>
    </row>
    <row r="82" spans="1:5" ht="14.25" customHeight="1">
      <c r="A82" s="42"/>
      <c r="B82" s="46"/>
      <c r="C82" s="46"/>
      <c r="D82" s="46" t="s">
        <v>3830</v>
      </c>
      <c r="E82" s="5"/>
    </row>
    <row r="83" spans="1:5" ht="14.25" customHeight="1">
      <c r="A83" s="42"/>
      <c r="B83" s="46"/>
      <c r="C83" s="46"/>
      <c r="D83" s="46"/>
      <c r="E83" s="5"/>
    </row>
    <row r="84" spans="1:5" ht="14.25" customHeight="1">
      <c r="A84" s="42"/>
      <c r="B84" s="46"/>
      <c r="C84" s="46"/>
      <c r="D84" s="46" t="s">
        <v>3831</v>
      </c>
      <c r="E84" s="5"/>
    </row>
    <row r="85" spans="1:5" ht="14.25" customHeight="1">
      <c r="A85" s="42"/>
      <c r="B85" s="46"/>
      <c r="C85" s="46"/>
      <c r="D85" s="46"/>
      <c r="E85" s="5"/>
    </row>
    <row r="86" spans="1:5" ht="14.25" customHeight="1">
      <c r="A86" s="42"/>
      <c r="B86" s="46"/>
      <c r="C86" s="46"/>
      <c r="D86" s="46" t="s">
        <v>3832</v>
      </c>
      <c r="E86" s="5"/>
    </row>
    <row r="87" spans="1:5" ht="14.25" customHeight="1">
      <c r="A87" s="42"/>
      <c r="B87" s="46"/>
      <c r="C87" s="46"/>
      <c r="D87" s="46"/>
      <c r="E87" s="5"/>
    </row>
    <row r="88" spans="1:5" ht="14.25" customHeight="1">
      <c r="A88" s="42"/>
      <c r="B88" s="46"/>
      <c r="C88" s="46"/>
      <c r="D88" s="46" t="s">
        <v>3833</v>
      </c>
      <c r="E88" s="5"/>
    </row>
    <row r="89" spans="1:5" ht="14.25" customHeight="1">
      <c r="A89" s="42"/>
      <c r="B89" s="46"/>
      <c r="C89" s="46"/>
      <c r="D89" s="46"/>
      <c r="E89" s="5"/>
    </row>
    <row r="90" spans="1:5" ht="14.25" customHeight="1">
      <c r="A90" s="42"/>
      <c r="B90" s="46"/>
      <c r="C90" s="46"/>
      <c r="D90" s="46" t="s">
        <v>3834</v>
      </c>
      <c r="E90" s="5"/>
    </row>
    <row r="91" spans="1:5" ht="14.25" customHeight="1">
      <c r="A91" s="42"/>
      <c r="B91" s="46"/>
      <c r="C91" s="46"/>
      <c r="D91" s="46"/>
      <c r="E91" s="5"/>
    </row>
    <row r="92" spans="1:5" ht="14.25" customHeight="1">
      <c r="A92" s="42"/>
      <c r="B92" s="46"/>
      <c r="C92" s="46"/>
      <c r="D92" s="46" t="s">
        <v>3835</v>
      </c>
      <c r="E92" s="5"/>
    </row>
    <row r="93" spans="1:5" ht="14.25" customHeight="1">
      <c r="A93" s="42"/>
      <c r="B93" s="46"/>
      <c r="C93" s="46"/>
      <c r="D93" s="46"/>
      <c r="E93" s="5"/>
    </row>
    <row r="94" spans="1:5" ht="14.25" customHeight="1">
      <c r="A94" s="42"/>
      <c r="B94" s="46"/>
      <c r="C94" s="46"/>
      <c r="D94" s="46" t="s">
        <v>3836</v>
      </c>
      <c r="E94" s="5"/>
    </row>
    <row r="95" spans="1:5" ht="14.25" customHeight="1">
      <c r="A95" s="42"/>
      <c r="B95" s="46"/>
      <c r="C95" s="46"/>
      <c r="D95" s="46"/>
      <c r="E95" s="5"/>
    </row>
    <row r="96" spans="1:5" ht="14.25" customHeight="1">
      <c r="A96" s="42"/>
      <c r="B96" s="46"/>
      <c r="C96" s="46"/>
      <c r="D96" s="46" t="s">
        <v>3837</v>
      </c>
      <c r="E96" s="5"/>
    </row>
    <row r="97" spans="1:5" ht="14.25" customHeight="1">
      <c r="A97" s="42"/>
      <c r="B97" s="46"/>
      <c r="C97" s="46"/>
      <c r="D97" s="46"/>
      <c r="E97" s="5"/>
    </row>
    <row r="98" spans="1:5" ht="14.25" customHeight="1">
      <c r="A98" s="42"/>
      <c r="B98" s="46"/>
      <c r="C98" s="46"/>
      <c r="D98" s="46" t="s">
        <v>3838</v>
      </c>
      <c r="E98" s="5"/>
    </row>
    <row r="99" spans="1:5" ht="14.25" customHeight="1">
      <c r="A99" s="42"/>
      <c r="B99" s="46"/>
      <c r="C99" s="46"/>
      <c r="D99" s="46"/>
      <c r="E99" s="5"/>
    </row>
    <row r="100" spans="1:5" ht="14.25" customHeight="1">
      <c r="A100" s="42"/>
      <c r="B100" s="46"/>
      <c r="C100" s="46"/>
      <c r="D100" s="46" t="s">
        <v>3839</v>
      </c>
      <c r="E100" s="5"/>
    </row>
  </sheetData>
  <pageMargins left="0.75" right="0.75" top="1" bottom="1"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8"/>
  <sheetViews>
    <sheetView workbookViewId="0"/>
  </sheetViews>
  <sheetFormatPr defaultColWidth="14.44140625" defaultRowHeight="15" customHeight="1"/>
  <cols>
    <col min="1" max="4" width="47.5546875" customWidth="1"/>
    <col min="5" max="5" width="56.88671875" customWidth="1"/>
    <col min="6" max="6" width="47.5546875" customWidth="1"/>
  </cols>
  <sheetData>
    <row r="1" spans="1:6" ht="14.25" customHeight="1">
      <c r="A1" s="12" t="s">
        <v>3840</v>
      </c>
      <c r="E1" s="2"/>
    </row>
    <row r="2" spans="1:6" ht="14.25" customHeight="1">
      <c r="A2" s="41" t="s">
        <v>3841</v>
      </c>
      <c r="B2" s="43" t="s">
        <v>3842</v>
      </c>
      <c r="C2" s="46"/>
      <c r="D2" s="46" t="s">
        <v>1178</v>
      </c>
      <c r="E2" s="5" t="str">
        <f ca="1">IFERROR(__xludf.DUMMYFUNCTION("FILTER(D1:D1002,D1:D1002&lt;&gt; """")"),"Nǐ kòngxián shíjiān xǐhuān zuò shénme?")</f>
        <v>Nǐ kòngxián shíjiān xǐhuān zuò shénme?</v>
      </c>
      <c r="F2" s="46"/>
    </row>
    <row r="3" spans="1:6" ht="14.25" customHeight="1">
      <c r="A3" s="41" t="s">
        <v>1217</v>
      </c>
      <c r="B3" s="43" t="s">
        <v>1218</v>
      </c>
      <c r="C3" s="46"/>
      <c r="D3" s="46"/>
      <c r="E3" s="6" t="str">
        <f ca="1">IFERROR(__xludf.DUMMYFUNCTION("""COMPUTED_VALUE"""),"Wǒ xǐhuān huà huà.")</f>
        <v>Wǒ xǐhuān huà huà.</v>
      </c>
      <c r="F3" s="46"/>
    </row>
    <row r="4" spans="1:6" ht="14.25" customHeight="1">
      <c r="A4" s="41" t="s">
        <v>1179</v>
      </c>
      <c r="B4" s="43" t="s">
        <v>3843</v>
      </c>
      <c r="C4" s="46"/>
      <c r="D4" s="46" t="s">
        <v>1259</v>
      </c>
      <c r="E4" s="5" t="str">
        <f ca="1">IFERROR(__xludf.DUMMYFUNCTION("""COMPUTED_VALUE"""),"Wǒ xǐhuān tīng yīnyuè.")</f>
        <v>Wǒ xǐhuān tīng yīnyuè.</v>
      </c>
      <c r="F4" s="46"/>
    </row>
    <row r="5" spans="1:6" ht="14.25" customHeight="1">
      <c r="A5" s="41" t="s">
        <v>3844</v>
      </c>
      <c r="B5" s="43" t="s">
        <v>3845</v>
      </c>
      <c r="C5" s="46"/>
      <c r="D5" s="46"/>
      <c r="E5" s="5" t="str">
        <f ca="1">IFERROR(__xludf.DUMMYFUNCTION("""COMPUTED_VALUE"""),"Nǐ xǐhuān dúshū ma?")</f>
        <v>Nǐ xǐhuān dúshū ma?</v>
      </c>
      <c r="F5" s="46"/>
    </row>
    <row r="6" spans="1:6" ht="14.25" customHeight="1">
      <c r="A6" s="41" t="s">
        <v>3846</v>
      </c>
      <c r="B6" s="43" t="s">
        <v>3847</v>
      </c>
      <c r="C6" s="46"/>
      <c r="D6" s="46" t="s">
        <v>1183</v>
      </c>
      <c r="E6" s="5" t="str">
        <f ca="1">IFERROR(__xludf.DUMMYFUNCTION("""COMPUTED_VALUE"""),"Wǒ rè'ài pēngrèn.")</f>
        <v>Wǒ rè'ài pēngrèn.</v>
      </c>
      <c r="F6" s="46"/>
    </row>
    <row r="7" spans="1:6" ht="14.25" customHeight="1">
      <c r="A7" s="41" t="s">
        <v>3848</v>
      </c>
      <c r="B7" s="43" t="s">
        <v>3849</v>
      </c>
      <c r="C7" s="46"/>
      <c r="D7" s="46"/>
      <c r="E7" s="5" t="str">
        <f ca="1">IFERROR(__xludf.DUMMYFUNCTION("""COMPUTED_VALUE"""),"Wǒ xǐhuān jíyóu.")</f>
        <v>Wǒ xǐhuān jíyóu.</v>
      </c>
      <c r="F7" s="46"/>
    </row>
    <row r="8" spans="1:6" ht="14.25" customHeight="1">
      <c r="A8" s="41" t="s">
        <v>1192</v>
      </c>
      <c r="B8" s="43" t="s">
        <v>3850</v>
      </c>
      <c r="C8" s="46"/>
      <c r="D8" s="46" t="s">
        <v>3851</v>
      </c>
      <c r="E8" s="5" t="str">
        <f ca="1">IFERROR(__xludf.DUMMYFUNCTION("""COMPUTED_VALUE"""),"Wǒ xǐhuān wán diànzǐ yóuxì.")</f>
        <v>Wǒ xǐhuān wán diànzǐ yóuxì.</v>
      </c>
      <c r="F8" s="46"/>
    </row>
    <row r="9" spans="1:6" ht="14.25" customHeight="1">
      <c r="A9" s="41" t="s">
        <v>3852</v>
      </c>
      <c r="B9" s="43" t="s">
        <v>3853</v>
      </c>
      <c r="C9" s="46"/>
      <c r="D9" s="46"/>
      <c r="E9" s="5" t="str">
        <f ca="1">IFERROR(__xludf.DUMMYFUNCTION("""COMPUTED_VALUE"""),"Nǐ huì yǎnzòu yuèqì ma?")</f>
        <v>Nǐ huì yǎnzòu yuèqì ma?</v>
      </c>
      <c r="F9" s="46"/>
    </row>
    <row r="10" spans="1:6" ht="14.25" customHeight="1">
      <c r="A10" s="41" t="s">
        <v>3854</v>
      </c>
      <c r="B10" s="43" t="s">
        <v>3855</v>
      </c>
      <c r="C10" s="46"/>
      <c r="D10" s="46" t="s">
        <v>3856</v>
      </c>
      <c r="E10" s="5" t="str">
        <f ca="1">IFERROR(__xludf.DUMMYFUNCTION("""COMPUTED_VALUE"""),"Wǒ huì dàn gāngqín.")</f>
        <v>Wǒ huì dàn gāngqín.</v>
      </c>
      <c r="F10" s="46"/>
    </row>
    <row r="11" spans="1:6" ht="14.25" customHeight="1">
      <c r="A11" s="41" t="s">
        <v>3857</v>
      </c>
      <c r="B11" s="43" t="s">
        <v>3858</v>
      </c>
      <c r="C11" s="46"/>
      <c r="D11" s="46"/>
      <c r="E11" s="5" t="str">
        <f ca="1">IFERROR(__xludf.DUMMYFUNCTION("""COMPUTED_VALUE"""),"Wǒ xiǎng xué jítā.")</f>
        <v>Wǒ xiǎng xué jítā.</v>
      </c>
      <c r="F11" s="46"/>
    </row>
    <row r="12" spans="1:6" ht="14.25" customHeight="1">
      <c r="A12" s="41" t="s">
        <v>3859</v>
      </c>
      <c r="B12" s="43" t="s">
        <v>3860</v>
      </c>
      <c r="C12" s="46"/>
      <c r="D12" s="46" t="s">
        <v>3861</v>
      </c>
      <c r="E12" s="6" t="str">
        <f ca="1">IFERROR(__xludf.DUMMYFUNCTION("""COMPUTED_VALUE"""),"Nǐ de gēshēng zhēn hǎotīng!")</f>
        <v>Nǐ de gēshēng zhēn hǎotīng!</v>
      </c>
      <c r="F12" s="46"/>
    </row>
    <row r="13" spans="1:6" ht="14.25" customHeight="1">
      <c r="A13" s="41" t="s">
        <v>3862</v>
      </c>
      <c r="B13" s="43" t="s">
        <v>3863</v>
      </c>
      <c r="C13" s="46"/>
      <c r="D13" s="46"/>
      <c r="E13" s="6" t="str">
        <f ca="1">IFERROR(__xludf.DUMMYFUNCTION("""COMPUTED_VALUE"""),"Wǒ xǐhuān pāizhào.")</f>
        <v>Wǒ xǐhuān pāizhào.</v>
      </c>
      <c r="F13" s="46"/>
    </row>
    <row r="14" spans="1:6" ht="14.25" customHeight="1">
      <c r="A14" s="41" t="s">
        <v>3864</v>
      </c>
      <c r="B14" s="43" t="s">
        <v>3865</v>
      </c>
      <c r="C14" s="46"/>
      <c r="D14" s="46" t="s">
        <v>1209</v>
      </c>
      <c r="E14" s="6" t="str">
        <f ca="1">IFERROR(__xludf.DUMMYFUNCTION("""COMPUTED_VALUE"""),"Wǒ yǒuyī tái xiǎoxíng xiàngjī.")</f>
        <v>Wǒ yǒuyī tái xiǎoxíng xiàngjī.</v>
      </c>
      <c r="F14" s="46"/>
    </row>
    <row r="15" spans="1:6" ht="14.25" customHeight="1">
      <c r="A15" s="41" t="s">
        <v>3866</v>
      </c>
      <c r="B15" s="43" t="s">
        <v>3867</v>
      </c>
      <c r="C15" s="46"/>
      <c r="D15" s="46"/>
      <c r="E15" s="6" t="str">
        <f ca="1">IFERROR(__xludf.DUMMYFUNCTION("""COMPUTED_VALUE"""),"Wǒ xǐhuān kàn rìběn dòngmàn.")</f>
        <v>Wǒ xǐhuān kàn rìběn dòngmàn.</v>
      </c>
      <c r="F15" s="46"/>
    </row>
    <row r="16" spans="1:6" ht="14.25" customHeight="1">
      <c r="A16" s="41" t="s">
        <v>3868</v>
      </c>
      <c r="B16" s="43" t="s">
        <v>3869</v>
      </c>
      <c r="C16" s="46"/>
      <c r="D16" s="46" t="s">
        <v>3870</v>
      </c>
      <c r="E16" s="6" t="str">
        <f ca="1">IFERROR(__xludf.DUMMYFUNCTION("""COMPUTED_VALUE"""),"Nǐ xǐhuān tiàowǔ ma?")</f>
        <v>Nǐ xǐhuān tiàowǔ ma?</v>
      </c>
      <c r="F16" s="46"/>
    </row>
    <row r="17" spans="1:6" ht="14.25" customHeight="1">
      <c r="A17" s="41" t="s">
        <v>3871</v>
      </c>
      <c r="B17" s="43" t="s">
        <v>3872</v>
      </c>
      <c r="C17" s="46"/>
      <c r="D17" s="46"/>
      <c r="E17" s="6" t="str">
        <f ca="1">IFERROR(__xludf.DUMMYFUNCTION("""COMPUTED_VALUE"""),"Wǒ xǐhuān xiàndài wǔ.")</f>
        <v>Wǒ xǐhuān xiàndài wǔ.</v>
      </c>
      <c r="F17" s="46"/>
    </row>
    <row r="18" spans="1:6" ht="14.25" customHeight="1">
      <c r="A18" s="41" t="s">
        <v>3873</v>
      </c>
      <c r="B18" s="43" t="s">
        <v>3874</v>
      </c>
      <c r="C18" s="46"/>
      <c r="D18" s="46" t="s">
        <v>3875</v>
      </c>
      <c r="E18" s="5" t="str">
        <f ca="1">IFERROR(__xludf.DUMMYFUNCTION("""COMPUTED_VALUE"""),"Wǒ xǐhuān zuò shǒugōng.")</f>
        <v>Wǒ xǐhuān zuò shǒugōng.</v>
      </c>
      <c r="F18" s="46"/>
    </row>
    <row r="19" spans="1:6" ht="14.25" customHeight="1">
      <c r="A19" s="41" t="s">
        <v>3876</v>
      </c>
      <c r="B19" s="43" t="s">
        <v>3877</v>
      </c>
      <c r="C19" s="46"/>
      <c r="D19" s="46"/>
      <c r="E19" s="4" t="str">
        <f ca="1">IFERROR(__xludf.DUMMYFUNCTION("""COMPUTED_VALUE"""),"Wǒ zài zuò hèkǎ.")</f>
        <v>Wǒ zài zuò hèkǎ.</v>
      </c>
      <c r="F19" s="46"/>
    </row>
    <row r="20" spans="1:6" ht="14.25" customHeight="1">
      <c r="A20" s="41" t="s">
        <v>3878</v>
      </c>
      <c r="B20" s="43" t="s">
        <v>3879</v>
      </c>
      <c r="C20" s="46"/>
      <c r="D20" s="46" t="s">
        <v>3880</v>
      </c>
      <c r="E20" s="5" t="str">
        <f ca="1">IFERROR(__xludf.DUMMYFUNCTION("""COMPUTED_VALUE"""),"Wǒ xǐhuān zhǒng méiguī.")</f>
        <v>Wǒ xǐhuān zhǒng méiguī.</v>
      </c>
      <c r="F20" s="46"/>
    </row>
    <row r="21" spans="1:6" ht="14.25" customHeight="1">
      <c r="A21" s="41" t="s">
        <v>3881</v>
      </c>
      <c r="B21" s="43" t="s">
        <v>3882</v>
      </c>
      <c r="C21" s="46"/>
      <c r="D21" s="46"/>
      <c r="E21" s="6" t="str">
        <f ca="1">IFERROR(__xludf.DUMMYFUNCTION("""COMPUTED_VALUE"""),"Nǐ xǐhuān shénme yùndòng?")</f>
        <v>Nǐ xǐhuān shénme yùndòng?</v>
      </c>
      <c r="F21" s="46"/>
    </row>
    <row r="22" spans="1:6" ht="14.25" customHeight="1">
      <c r="A22" s="41" t="s">
        <v>3883</v>
      </c>
      <c r="B22" s="43" t="s">
        <v>3884</v>
      </c>
      <c r="C22" s="46"/>
      <c r="D22" s="46" t="s">
        <v>3885</v>
      </c>
      <c r="E22" s="6" t="str">
        <f ca="1">IFERROR(__xludf.DUMMYFUNCTION("""COMPUTED_VALUE"""),"Wǒ fēicháng xǐhuān tī zúqiú.")</f>
        <v>Wǒ fēicháng xǐhuān tī zúqiú.</v>
      </c>
      <c r="F22" s="46"/>
    </row>
    <row r="23" spans="1:6" ht="14.25" customHeight="1">
      <c r="A23" s="41" t="s">
        <v>3886</v>
      </c>
      <c r="B23" s="43" t="s">
        <v>1055</v>
      </c>
      <c r="C23" s="46"/>
      <c r="D23" s="46"/>
      <c r="E23" s="6" t="str">
        <f ca="1">IFERROR(__xludf.DUMMYFUNCTION("""COMPUTED_VALUE"""),"Wǒ xǐhuān zài gōngyuán sànbù.")</f>
        <v>Wǒ xǐhuān zài gōngyuán sànbù.</v>
      </c>
      <c r="F23" s="46"/>
    </row>
    <row r="24" spans="1:6" ht="14.25" customHeight="1">
      <c r="A24" s="41" t="s">
        <v>3887</v>
      </c>
      <c r="B24" s="43" t="s">
        <v>3888</v>
      </c>
      <c r="C24" s="46"/>
      <c r="D24" s="46" t="s">
        <v>3889</v>
      </c>
      <c r="E24" s="6" t="str">
        <f ca="1">IFERROR(__xludf.DUMMYFUNCTION("""COMPUTED_VALUE"""),"Wǒ xǐhuān xiě rìjì.")</f>
        <v>Wǒ xǐhuān xiě rìjì.</v>
      </c>
      <c r="F24" s="46"/>
    </row>
    <row r="25" spans="1:6" ht="14.25" customHeight="1">
      <c r="A25" s="41" t="s">
        <v>3890</v>
      </c>
      <c r="B25" s="43" t="s">
        <v>3891</v>
      </c>
      <c r="C25" s="46"/>
      <c r="D25" s="46"/>
      <c r="E25" s="6" t="str">
        <f ca="1">IFERROR(__xludf.DUMMYFUNCTION("""COMPUTED_VALUE"""),"Wǒ xiǎng chéngwéi yī míng yìshùjiā.")</f>
        <v>Wǒ xiǎng chéngwéi yī míng yìshùjiā.</v>
      </c>
      <c r="F25" s="46"/>
    </row>
    <row r="26" spans="1:6" ht="14.25" customHeight="1">
      <c r="A26" s="41" t="s">
        <v>3892</v>
      </c>
      <c r="B26" s="43" t="s">
        <v>3893</v>
      </c>
      <c r="C26" s="46"/>
      <c r="D26" s="46" t="s">
        <v>3894</v>
      </c>
      <c r="E26" s="6" t="str">
        <f ca="1">IFERROR(__xludf.DUMMYFUNCTION("""COMPUTED_VALUE"""),"Nǐ de mèngxiǎng shì shénme?")</f>
        <v>Nǐ de mèngxiǎng shì shénme?</v>
      </c>
      <c r="F26" s="46"/>
    </row>
    <row r="27" spans="1:6" ht="14.25" customHeight="1">
      <c r="A27" s="41" t="s">
        <v>3895</v>
      </c>
      <c r="B27" s="43" t="s">
        <v>3896</v>
      </c>
      <c r="C27" s="46"/>
      <c r="D27" s="46"/>
      <c r="E27" s="6" t="str">
        <f ca="1">IFERROR(__xludf.DUMMYFUNCTION("""COMPUTED_VALUE"""),"Wǒ xǐhuān xuéxí wàiyǔ.")</f>
        <v>Wǒ xǐhuān xuéxí wàiyǔ.</v>
      </c>
      <c r="F27" s="46"/>
    </row>
    <row r="28" spans="1:6" ht="14.25" customHeight="1">
      <c r="A28" s="41" t="s">
        <v>3897</v>
      </c>
      <c r="B28" s="43" t="s">
        <v>57</v>
      </c>
      <c r="C28" s="46"/>
      <c r="D28" s="46" t="s">
        <v>3898</v>
      </c>
      <c r="E28" s="6" t="str">
        <f ca="1">IFERROR(__xludf.DUMMYFUNCTION("""COMPUTED_VALUE"""),"Wǒ zhèngzài xuéxí tā jiā lù yǔ.")</f>
        <v>Wǒ zhèngzài xuéxí tā jiā lù yǔ.</v>
      </c>
      <c r="F28" s="46"/>
    </row>
    <row r="29" spans="1:6" ht="14.25" customHeight="1">
      <c r="A29" s="41" t="s">
        <v>3899</v>
      </c>
      <c r="B29" s="43" t="s">
        <v>3900</v>
      </c>
      <c r="C29" s="46"/>
      <c r="D29" s="46"/>
      <c r="E29" s="37" t="str">
        <f ca="1">IFERROR(__xludf.DUMMYFUNCTION("""COMPUTED_VALUE"""),"Zhēn yǒuqù! ")</f>
        <v xml:space="preserve">Zhēn yǒuqù! </v>
      </c>
      <c r="F29" s="46"/>
    </row>
    <row r="30" spans="1:6" ht="14.25" customHeight="1">
      <c r="A30" s="41" t="s">
        <v>3901</v>
      </c>
      <c r="B30" s="43" t="s">
        <v>3902</v>
      </c>
      <c r="C30" s="46"/>
      <c r="D30" s="46" t="s">
        <v>3903</v>
      </c>
      <c r="E30" s="6" t="str">
        <f ca="1">IFERROR(__xludf.DUMMYFUNCTION("""COMPUTED_VALUE"""),"Wǒ xǐhuān guàng zhǎnlǎn.")</f>
        <v>Wǒ xǐhuān guàng zhǎnlǎn.</v>
      </c>
      <c r="F30" s="46"/>
    </row>
    <row r="31" spans="1:6" ht="14.25" customHeight="1">
      <c r="A31" s="41" t="s">
        <v>1275</v>
      </c>
      <c r="B31" s="43" t="s">
        <v>3904</v>
      </c>
      <c r="C31" s="46"/>
      <c r="D31" s="46"/>
      <c r="E31" s="4" t="str">
        <f ca="1">IFERROR(__xludf.DUMMYFUNCTION("""COMPUTED_VALUE"""),"Nǐ xǐhuān yǎng chǒngwù ma?")</f>
        <v>Nǐ xǐhuān yǎng chǒngwù ma?</v>
      </c>
      <c r="F31" s="46"/>
    </row>
    <row r="32" spans="1:6" ht="14.25" customHeight="1">
      <c r="A32" s="41" t="s">
        <v>3905</v>
      </c>
      <c r="B32" s="43" t="s">
        <v>3906</v>
      </c>
      <c r="C32" s="46"/>
      <c r="D32" s="46" t="s">
        <v>3907</v>
      </c>
      <c r="E32" s="4" t="str">
        <f ca="1">IFERROR(__xludf.DUMMYFUNCTION("""COMPUTED_VALUE"""),"Wǒ xǐhuān zhàogù māo.")</f>
        <v>Wǒ xǐhuān zhàogù māo.</v>
      </c>
      <c r="F32" s="46"/>
    </row>
    <row r="33" spans="1:6" ht="14.25" customHeight="1">
      <c r="A33" s="41" t="s">
        <v>3908</v>
      </c>
      <c r="B33" s="43" t="s">
        <v>2499</v>
      </c>
      <c r="C33" s="46"/>
      <c r="D33" s="46"/>
      <c r="E33" s="4" t="str">
        <f ca="1">IFERROR(__xludf.DUMMYFUNCTION("""COMPUTED_VALUE"""),"Wǒ xǐhuān xià qí.")</f>
        <v>Wǒ xǐhuān xià qí.</v>
      </c>
      <c r="F33" s="46"/>
    </row>
    <row r="34" spans="1:6" ht="14.25" customHeight="1">
      <c r="A34" s="41" t="s">
        <v>3909</v>
      </c>
      <c r="B34" s="43" t="s">
        <v>3910</v>
      </c>
      <c r="C34" s="46"/>
      <c r="D34" s="46" t="s">
        <v>3911</v>
      </c>
      <c r="E34" s="4" t="str">
        <f ca="1">IFERROR(__xludf.DUMMYFUNCTION("""COMPUTED_VALUE"""),"Wǒ xǐhuān jiě mí.")</f>
        <v>Wǒ xǐhuān jiě mí.</v>
      </c>
      <c r="F34" s="46"/>
    </row>
    <row r="35" spans="1:6" ht="14.25" customHeight="1">
      <c r="A35" s="41" t="s">
        <v>3912</v>
      </c>
      <c r="B35" s="43" t="s">
        <v>3913</v>
      </c>
      <c r="C35" s="46"/>
      <c r="D35" s="46"/>
      <c r="E35" s="8" t="str">
        <f ca="1">IFERROR(__xludf.DUMMYFUNCTION("""COMPUTED_VALUE"""),"Nǐ jīngcháng kàn TikTok ma?")</f>
        <v>Nǐ jīngcháng kàn TikTok ma?</v>
      </c>
      <c r="F35" s="46"/>
    </row>
    <row r="36" spans="1:6" ht="14.25" customHeight="1">
      <c r="A36" s="41" t="s">
        <v>3914</v>
      </c>
      <c r="B36" s="43" t="s">
        <v>3915</v>
      </c>
      <c r="C36" s="46"/>
      <c r="D36" s="46" t="s">
        <v>3916</v>
      </c>
      <c r="E36" s="5" t="str">
        <f ca="1">IFERROR(__xludf.DUMMYFUNCTION("""COMPUTED_VALUE"""),"Wǒ xǐhuān zhìzuò duǎn shìpín.")</f>
        <v>Wǒ xǐhuān zhìzuò duǎn shìpín.</v>
      </c>
      <c r="F36" s="46"/>
    </row>
    <row r="37" spans="1:6" ht="14.25" customHeight="1">
      <c r="A37" s="41" t="s">
        <v>3917</v>
      </c>
      <c r="B37" s="43" t="s">
        <v>3918</v>
      </c>
      <c r="C37" s="46"/>
      <c r="D37" s="46"/>
      <c r="E37" s="8" t="str">
        <f ca="1">IFERROR(__xludf.DUMMYFUNCTION("""COMPUTED_VALUE"""),"Wǒ xǐhuān xiàtiān yóuyǒng.")</f>
        <v>Wǒ xǐhuān xiàtiān yóuyǒng.</v>
      </c>
      <c r="F37" s="46"/>
    </row>
    <row r="38" spans="1:6" ht="14.25" customHeight="1">
      <c r="A38" s="41" t="s">
        <v>3919</v>
      </c>
      <c r="B38" s="43" t="s">
        <v>3920</v>
      </c>
      <c r="C38" s="46"/>
      <c r="D38" s="46" t="s">
        <v>3921</v>
      </c>
      <c r="E38" s="5" t="str">
        <f ca="1">IFERROR(__xludf.DUMMYFUNCTION("""COMPUTED_VALUE"""),"Wǒ xǐhuān kàn tiānkōng.")</f>
        <v>Wǒ xǐhuān kàn tiānkōng.</v>
      </c>
      <c r="F38" s="46"/>
    </row>
    <row r="39" spans="1:6" ht="14.25" customHeight="1">
      <c r="A39" s="41" t="s">
        <v>3922</v>
      </c>
      <c r="B39" s="43" t="s">
        <v>3923</v>
      </c>
      <c r="C39" s="46"/>
      <c r="D39" s="46"/>
      <c r="E39" s="6" t="str">
        <f ca="1">IFERROR(__xludf.DUMMYFUNCTION("""COMPUTED_VALUE"""),"Nǐ xǐhuān tiānwénxué ma?")</f>
        <v>Nǐ xǐhuān tiānwénxué ma?</v>
      </c>
      <c r="F39" s="46"/>
    </row>
    <row r="40" spans="1:6" ht="14.25" customHeight="1">
      <c r="A40" s="41" t="s">
        <v>3924</v>
      </c>
      <c r="B40" s="43" t="s">
        <v>3925</v>
      </c>
      <c r="C40" s="46"/>
      <c r="D40" s="46" t="s">
        <v>3926</v>
      </c>
      <c r="E40" s="6" t="str">
        <f ca="1">IFERROR(__xludf.DUMMYFUNCTION("""COMPUTED_VALUE"""),"Wǒ xǐhuān kàn xīngxīng.")</f>
        <v>Wǒ xǐhuān kàn xīngxīng.</v>
      </c>
      <c r="F40" s="46"/>
    </row>
    <row r="41" spans="1:6" ht="14.25" customHeight="1">
      <c r="A41" s="41" t="s">
        <v>3927</v>
      </c>
      <c r="B41" s="43" t="s">
        <v>3928</v>
      </c>
      <c r="C41" s="46"/>
      <c r="D41" s="46"/>
      <c r="E41" s="5" t="str">
        <f ca="1">IFERROR(__xludf.DUMMYFUNCTION("""COMPUTED_VALUE"""),"Wǒ xǐhuān gòuwù.")</f>
        <v>Wǒ xǐhuān gòuwù.</v>
      </c>
      <c r="F41" s="46"/>
    </row>
    <row r="42" spans="1:6" ht="14.25" customHeight="1">
      <c r="A42" s="41" t="s">
        <v>3929</v>
      </c>
      <c r="B42" s="43" t="s">
        <v>3930</v>
      </c>
      <c r="C42" s="46"/>
      <c r="D42" s="46" t="s">
        <v>3931</v>
      </c>
      <c r="E42" s="4" t="str">
        <f ca="1">IFERROR(__xludf.DUMMYFUNCTION("""COMPUTED_VALUE"""),"Wǒ xǐhuān chī língshí.")</f>
        <v>Wǒ xǐhuān chī língshí.</v>
      </c>
      <c r="F42" s="46"/>
    </row>
    <row r="43" spans="1:6" ht="14.25" customHeight="1">
      <c r="A43" s="41" t="s">
        <v>3932</v>
      </c>
      <c r="B43" s="43" t="s">
        <v>3933</v>
      </c>
      <c r="C43" s="46"/>
      <c r="D43" s="46"/>
      <c r="E43" s="5" t="str">
        <f ca="1">IFERROR(__xludf.DUMMYFUNCTION("""COMPUTED_VALUE"""),"Wǒ xǐhuān lùyíng.")</f>
        <v>Wǒ xǐhuān lùyíng.</v>
      </c>
      <c r="F43" s="46"/>
    </row>
    <row r="44" spans="1:6" ht="14.25" customHeight="1">
      <c r="A44" s="41" t="s">
        <v>3934</v>
      </c>
      <c r="B44" s="43" t="s">
        <v>3935</v>
      </c>
      <c r="C44" s="46"/>
      <c r="D44" s="46" t="s">
        <v>3936</v>
      </c>
      <c r="E44" s="4" t="str">
        <f ca="1">IFERROR(__xludf.DUMMYFUNCTION("""COMPUTED_VALUE"""),"Wǒ xǐhuān jiǎng xiàohuà.")</f>
        <v>Wǒ xǐhuān jiǎng xiàohuà.</v>
      </c>
      <c r="F44" s="46"/>
    </row>
    <row r="45" spans="1:6" ht="14.25" customHeight="1">
      <c r="A45" s="41" t="s">
        <v>3937</v>
      </c>
      <c r="B45" s="43" t="s">
        <v>3938</v>
      </c>
      <c r="C45" s="46"/>
      <c r="D45" s="46"/>
      <c r="E45" s="5" t="str">
        <f ca="1">IFERROR(__xludf.DUMMYFUNCTION("""COMPUTED_VALUE"""),"Nǐ zhēn yōumò!")</f>
        <v>Nǐ zhēn yōumò!</v>
      </c>
      <c r="F45" s="46"/>
    </row>
    <row r="46" spans="1:6" ht="14.25" customHeight="1">
      <c r="A46" s="41" t="s">
        <v>3939</v>
      </c>
      <c r="B46" s="43" t="s">
        <v>3940</v>
      </c>
      <c r="C46" s="46"/>
      <c r="D46" s="46" t="s">
        <v>3941</v>
      </c>
      <c r="E46" s="4" t="str">
        <f ca="1">IFERROR(__xludf.DUMMYFUNCTION("""COMPUTED_VALUE"""),"Wǒ xǐhuān zhuāngshì wǒ de fángjiān.")</f>
        <v>Wǒ xǐhuān zhuāngshì wǒ de fángjiān.</v>
      </c>
      <c r="F46" s="46"/>
    </row>
    <row r="47" spans="1:6" ht="14.25" customHeight="1">
      <c r="A47" s="41" t="s">
        <v>3942</v>
      </c>
      <c r="B47" s="43" t="s">
        <v>3943</v>
      </c>
      <c r="C47" s="46"/>
      <c r="D47" s="46"/>
      <c r="E47" s="4" t="str">
        <f ca="1">IFERROR(__xludf.DUMMYFUNCTION("""COMPUTED_VALUE"""),"Wǒ xǐhuān zhézhǐ.")</f>
        <v>Wǒ xǐhuān zhézhǐ.</v>
      </c>
      <c r="F47" s="46"/>
    </row>
    <row r="48" spans="1:6" ht="14.25" customHeight="1">
      <c r="A48" s="41" t="s">
        <v>3944</v>
      </c>
      <c r="B48" s="43" t="s">
        <v>3945</v>
      </c>
      <c r="C48" s="46"/>
      <c r="D48" s="46" t="s">
        <v>3946</v>
      </c>
      <c r="E48" s="4" t="str">
        <f ca="1">IFERROR(__xludf.DUMMYFUNCTION("""COMPUTED_VALUE"""),"Wǒ xǐhuān zuò chénliàn.")</f>
        <v>Wǒ xǐhuān zuò chénliàn.</v>
      </c>
      <c r="F48" s="46"/>
    </row>
    <row r="49" spans="1:6" ht="14.25" customHeight="1">
      <c r="A49" s="41" t="s">
        <v>3947</v>
      </c>
      <c r="B49" s="43" t="s">
        <v>3948</v>
      </c>
      <c r="C49" s="46"/>
      <c r="D49" s="46"/>
      <c r="E49" s="5" t="str">
        <f ca="1">IFERROR(__xludf.DUMMYFUNCTION("""COMPUTED_VALUE"""),"Zhè yǒu zhù yú wǒ bǎochí jiànkāng.")</f>
        <v>Zhè yǒu zhù yú wǒ bǎochí jiànkāng.</v>
      </c>
      <c r="F49" s="46"/>
    </row>
    <row r="50" spans="1:6" ht="14.25" customHeight="1">
      <c r="A50" s="41" t="s">
        <v>3949</v>
      </c>
      <c r="B50" s="43" t="s">
        <v>3950</v>
      </c>
      <c r="C50" s="46"/>
      <c r="D50" s="46" t="s">
        <v>3951</v>
      </c>
      <c r="E50" s="6" t="str">
        <f ca="1">IFERROR(__xludf.DUMMYFUNCTION("""COMPUTED_VALUE"""),"Wǒ xǐhuān hé nǐ fēnxiǎng wǒ de àihào.")</f>
        <v>Wǒ xǐhuān hé nǐ fēnxiǎng wǒ de àihào.</v>
      </c>
      <c r="F50" s="46"/>
    </row>
    <row r="51" spans="1:6" ht="14.25" customHeight="1">
      <c r="A51" s="41" t="s">
        <v>3952</v>
      </c>
      <c r="B51" s="43" t="s">
        <v>3953</v>
      </c>
      <c r="C51" s="46"/>
      <c r="D51" s="46"/>
      <c r="E51" s="6" t="str">
        <f ca="1">IFERROR(__xludf.DUMMYFUNCTION("""COMPUTED_VALUE"""),"Wǒmen yīqǐ zuò ba!")</f>
        <v>Wǒmen yīqǐ zuò ba!</v>
      </c>
      <c r="F51" s="46"/>
    </row>
    <row r="52" spans="1:6" ht="14.25" customHeight="1">
      <c r="A52" s="42"/>
      <c r="B52" s="46"/>
      <c r="C52" s="46"/>
      <c r="D52" s="46" t="s">
        <v>3954</v>
      </c>
      <c r="F52" s="46"/>
    </row>
    <row r="53" spans="1:6" ht="14.25" customHeight="1">
      <c r="A53" s="42"/>
      <c r="B53" s="46"/>
      <c r="C53" s="46"/>
      <c r="D53" s="46"/>
      <c r="E53" s="5"/>
      <c r="F53" s="46"/>
    </row>
    <row r="54" spans="1:6" ht="14.25" customHeight="1">
      <c r="A54" s="42"/>
      <c r="B54" s="46"/>
      <c r="C54" s="46"/>
      <c r="D54" s="46" t="s">
        <v>113</v>
      </c>
      <c r="E54" s="5"/>
      <c r="F54" s="46"/>
    </row>
    <row r="55" spans="1:6" ht="14.25" customHeight="1">
      <c r="A55" s="42"/>
      <c r="B55" s="46"/>
      <c r="C55" s="46"/>
      <c r="D55" s="46"/>
      <c r="E55" s="5"/>
      <c r="F55" s="46"/>
    </row>
    <row r="56" spans="1:6" ht="14.25" customHeight="1">
      <c r="A56" s="42"/>
      <c r="B56" s="46"/>
      <c r="C56" s="46"/>
      <c r="D56" s="46" t="s">
        <v>3955</v>
      </c>
      <c r="E56" s="5"/>
      <c r="F56" s="46"/>
    </row>
    <row r="57" spans="1:6" ht="14.25" customHeight="1">
      <c r="A57" s="42"/>
      <c r="B57" s="46"/>
      <c r="C57" s="46"/>
      <c r="D57" s="46" t="s">
        <v>3956</v>
      </c>
      <c r="E57" s="5"/>
      <c r="F57" s="46"/>
    </row>
    <row r="58" spans="1:6" ht="14.25" customHeight="1">
      <c r="A58" s="42"/>
      <c r="B58" s="46"/>
      <c r="C58" s="46"/>
      <c r="D58" s="46" t="s">
        <v>1319</v>
      </c>
      <c r="E58" s="5"/>
      <c r="F58" s="46"/>
    </row>
    <row r="59" spans="1:6" ht="14.25" customHeight="1">
      <c r="A59" s="42"/>
      <c r="B59" s="46"/>
      <c r="C59" s="46"/>
      <c r="D59" s="46"/>
      <c r="F59" s="46"/>
    </row>
    <row r="60" spans="1:6" ht="14.25" customHeight="1">
      <c r="A60" s="42"/>
      <c r="B60" s="46"/>
      <c r="C60" s="46"/>
      <c r="D60" s="46" t="s">
        <v>3957</v>
      </c>
      <c r="E60" s="5"/>
      <c r="F60" s="46"/>
    </row>
    <row r="61" spans="1:6" ht="14.25" customHeight="1">
      <c r="A61" s="42"/>
      <c r="B61" s="46"/>
      <c r="C61" s="46"/>
      <c r="D61" s="46"/>
      <c r="E61" s="5"/>
      <c r="F61" s="46"/>
    </row>
    <row r="62" spans="1:6" ht="14.25" customHeight="1">
      <c r="A62" s="42"/>
      <c r="B62" s="46"/>
      <c r="C62" s="46"/>
      <c r="D62" s="46" t="s">
        <v>2544</v>
      </c>
      <c r="E62" s="5"/>
      <c r="F62" s="46"/>
    </row>
    <row r="63" spans="1:6" ht="14.25" customHeight="1">
      <c r="A63" s="42"/>
      <c r="B63" s="46"/>
      <c r="C63" s="46"/>
      <c r="D63" s="46"/>
      <c r="E63" s="5"/>
      <c r="F63" s="46"/>
    </row>
    <row r="64" spans="1:6" ht="14.25" customHeight="1">
      <c r="A64" s="42"/>
      <c r="B64" s="46"/>
      <c r="C64" s="46"/>
      <c r="D64" s="46" t="s">
        <v>3958</v>
      </c>
      <c r="E64" s="5"/>
      <c r="F64" s="46"/>
    </row>
    <row r="65" spans="1:6" ht="14.25" customHeight="1">
      <c r="A65" s="42"/>
      <c r="B65" s="46"/>
      <c r="C65" s="46"/>
      <c r="D65" s="46"/>
      <c r="E65" s="5"/>
      <c r="F65" s="46"/>
    </row>
    <row r="66" spans="1:6" ht="14.25" customHeight="1">
      <c r="A66" s="42"/>
      <c r="B66" s="46"/>
      <c r="C66" s="46"/>
      <c r="D66" s="46" t="s">
        <v>3959</v>
      </c>
      <c r="E66" s="5"/>
      <c r="F66" s="46"/>
    </row>
    <row r="67" spans="1:6" ht="14.25" customHeight="1">
      <c r="A67" s="42"/>
      <c r="B67" s="46"/>
      <c r="C67" s="46"/>
      <c r="D67" s="46"/>
      <c r="E67" s="5"/>
      <c r="F67" s="46"/>
    </row>
    <row r="68" spans="1:6" ht="14.25" customHeight="1">
      <c r="A68" s="42"/>
      <c r="B68" s="46"/>
      <c r="C68" s="46"/>
      <c r="D68" s="46" t="s">
        <v>3960</v>
      </c>
      <c r="E68" s="5"/>
      <c r="F68" s="46"/>
    </row>
    <row r="69" spans="1:6" ht="14.25" customHeight="1">
      <c r="A69" s="42"/>
      <c r="B69" s="46"/>
      <c r="C69" s="46"/>
      <c r="D69" s="46"/>
      <c r="E69" s="5"/>
      <c r="F69" s="46"/>
    </row>
    <row r="70" spans="1:6" ht="14.25" customHeight="1">
      <c r="A70" s="42"/>
      <c r="B70" s="46"/>
      <c r="C70" s="46"/>
      <c r="D70" s="46" t="s">
        <v>3961</v>
      </c>
      <c r="E70" s="5"/>
      <c r="F70" s="46"/>
    </row>
    <row r="71" spans="1:6" ht="14.25" customHeight="1">
      <c r="A71" s="42"/>
      <c r="B71" s="46"/>
      <c r="C71" s="46"/>
      <c r="D71" s="46"/>
      <c r="E71" s="5"/>
      <c r="F71" s="46"/>
    </row>
    <row r="72" spans="1:6" ht="14.25" customHeight="1">
      <c r="A72" s="42"/>
      <c r="B72" s="46"/>
      <c r="C72" s="46"/>
      <c r="D72" s="46" t="s">
        <v>3962</v>
      </c>
      <c r="E72" s="5"/>
      <c r="F72" s="46"/>
    </row>
    <row r="73" spans="1:6" ht="14.25" customHeight="1">
      <c r="A73" s="42"/>
      <c r="B73" s="46"/>
      <c r="C73" s="46"/>
      <c r="D73" s="46"/>
      <c r="E73" s="5"/>
      <c r="F73" s="46"/>
    </row>
    <row r="74" spans="1:6" ht="14.25" customHeight="1">
      <c r="A74" s="42"/>
      <c r="B74" s="46"/>
      <c r="C74" s="46"/>
      <c r="D74" s="46" t="s">
        <v>3963</v>
      </c>
      <c r="E74" s="5"/>
      <c r="F74" s="46"/>
    </row>
    <row r="75" spans="1:6" ht="14.25" customHeight="1">
      <c r="A75" s="42"/>
      <c r="B75" s="46"/>
      <c r="C75" s="46"/>
      <c r="D75" s="46"/>
      <c r="E75" s="5"/>
      <c r="F75" s="46"/>
    </row>
    <row r="76" spans="1:6" ht="14.25" customHeight="1">
      <c r="A76" s="42"/>
      <c r="B76" s="46"/>
      <c r="C76" s="46"/>
      <c r="D76" s="46" t="s">
        <v>3964</v>
      </c>
      <c r="E76" s="5"/>
      <c r="F76" s="46"/>
    </row>
    <row r="77" spans="1:6" ht="14.25" customHeight="1">
      <c r="A77" s="42"/>
      <c r="B77" s="46"/>
      <c r="C77" s="46"/>
      <c r="D77" s="46"/>
      <c r="E77" s="5"/>
      <c r="F77" s="46"/>
    </row>
    <row r="78" spans="1:6" ht="14.25" customHeight="1">
      <c r="A78" s="42"/>
      <c r="B78" s="46"/>
      <c r="C78" s="46"/>
      <c r="D78" s="46" t="s">
        <v>3965</v>
      </c>
      <c r="E78" s="5"/>
      <c r="F78" s="46"/>
    </row>
    <row r="79" spans="1:6" ht="14.25" customHeight="1">
      <c r="A79" s="42"/>
      <c r="B79" s="46"/>
      <c r="C79" s="46"/>
      <c r="D79" s="46"/>
      <c r="E79" s="5"/>
      <c r="F79" s="46"/>
    </row>
    <row r="80" spans="1:6" ht="14.25" customHeight="1">
      <c r="A80" s="42"/>
      <c r="B80" s="46"/>
      <c r="C80" s="46"/>
      <c r="D80" s="46" t="s">
        <v>3966</v>
      </c>
      <c r="E80" s="5"/>
      <c r="F80" s="46"/>
    </row>
    <row r="81" spans="1:6" ht="14.25" customHeight="1">
      <c r="A81" s="42"/>
      <c r="B81" s="46"/>
      <c r="C81" s="46"/>
      <c r="D81" s="46"/>
      <c r="E81" s="5"/>
      <c r="F81" s="46"/>
    </row>
    <row r="82" spans="1:6" ht="14.25" customHeight="1">
      <c r="A82" s="42"/>
      <c r="B82" s="46"/>
      <c r="C82" s="46"/>
      <c r="D82" s="46" t="s">
        <v>3967</v>
      </c>
      <c r="E82" s="5"/>
      <c r="F82" s="46"/>
    </row>
    <row r="83" spans="1:6" ht="14.25" customHeight="1">
      <c r="A83" s="42"/>
      <c r="B83" s="46"/>
      <c r="C83" s="46"/>
      <c r="D83" s="46"/>
      <c r="E83" s="5"/>
      <c r="F83" s="46"/>
    </row>
    <row r="84" spans="1:6" ht="14.25" customHeight="1">
      <c r="A84" s="42"/>
      <c r="B84" s="46"/>
      <c r="C84" s="46"/>
      <c r="D84" s="46" t="s">
        <v>3968</v>
      </c>
      <c r="E84" s="5"/>
      <c r="F84" s="46"/>
    </row>
    <row r="85" spans="1:6" ht="14.25" customHeight="1">
      <c r="A85" s="42"/>
      <c r="B85" s="46"/>
      <c r="C85" s="46"/>
      <c r="D85" s="46"/>
      <c r="E85" s="5"/>
      <c r="F85" s="46"/>
    </row>
    <row r="86" spans="1:6" ht="14.25" customHeight="1">
      <c r="A86" s="42"/>
      <c r="B86" s="46"/>
      <c r="C86" s="46"/>
      <c r="D86" s="46" t="s">
        <v>1307</v>
      </c>
      <c r="E86" s="5"/>
      <c r="F86" s="46"/>
    </row>
    <row r="87" spans="1:6" ht="14.25" customHeight="1">
      <c r="A87" s="42"/>
      <c r="B87" s="46"/>
      <c r="C87" s="46"/>
      <c r="D87" s="46"/>
      <c r="E87" s="5"/>
      <c r="F87" s="46"/>
    </row>
    <row r="88" spans="1:6" ht="14.25" customHeight="1">
      <c r="A88" s="42"/>
      <c r="B88" s="46"/>
      <c r="C88" s="46"/>
      <c r="D88" s="46" t="s">
        <v>3969</v>
      </c>
      <c r="E88" s="5"/>
      <c r="F88" s="46"/>
    </row>
    <row r="89" spans="1:6" ht="14.25" customHeight="1">
      <c r="A89" s="42"/>
      <c r="B89" s="46"/>
      <c r="C89" s="46"/>
      <c r="D89" s="46"/>
      <c r="E89" s="5"/>
      <c r="F89" s="46"/>
    </row>
    <row r="90" spans="1:6" ht="14.25" customHeight="1">
      <c r="A90" s="42"/>
      <c r="B90" s="46"/>
      <c r="C90" s="46"/>
      <c r="D90" s="46" t="s">
        <v>3970</v>
      </c>
      <c r="E90" s="5"/>
      <c r="F90" s="46"/>
    </row>
    <row r="91" spans="1:6" ht="14.25" customHeight="1">
      <c r="A91" s="42"/>
      <c r="B91" s="46"/>
      <c r="C91" s="46"/>
      <c r="D91" s="46"/>
      <c r="E91" s="5"/>
      <c r="F91" s="46"/>
    </row>
    <row r="92" spans="1:6" ht="14.25" customHeight="1">
      <c r="A92" s="42"/>
      <c r="B92" s="46"/>
      <c r="C92" s="46"/>
      <c r="D92" s="46" t="s">
        <v>3971</v>
      </c>
      <c r="E92" s="5"/>
      <c r="F92" s="46"/>
    </row>
    <row r="93" spans="1:6" ht="14.25" customHeight="1">
      <c r="A93" s="42"/>
      <c r="B93" s="46"/>
      <c r="C93" s="46"/>
      <c r="D93" s="46"/>
      <c r="E93" s="5"/>
      <c r="F93" s="46"/>
    </row>
    <row r="94" spans="1:6" ht="14.25" customHeight="1">
      <c r="A94" s="42"/>
      <c r="B94" s="46"/>
      <c r="C94" s="46"/>
      <c r="D94" s="46" t="s">
        <v>3972</v>
      </c>
      <c r="E94" s="5"/>
      <c r="F94" s="46"/>
    </row>
    <row r="95" spans="1:6" ht="14.25" customHeight="1">
      <c r="A95" s="42"/>
      <c r="B95" s="46"/>
      <c r="C95" s="46"/>
      <c r="D95" s="46"/>
      <c r="E95" s="5"/>
      <c r="F95" s="46"/>
    </row>
    <row r="96" spans="1:6" ht="14.25" customHeight="1">
      <c r="A96" s="42"/>
      <c r="B96" s="46"/>
      <c r="C96" s="46"/>
      <c r="D96" s="46" t="s">
        <v>3973</v>
      </c>
      <c r="E96" s="5"/>
      <c r="F96" s="46"/>
    </row>
    <row r="97" spans="1:6" ht="14.25" customHeight="1">
      <c r="A97" s="42"/>
      <c r="B97" s="46"/>
      <c r="C97" s="46"/>
      <c r="D97" s="46"/>
      <c r="E97" s="5"/>
      <c r="F97" s="46"/>
    </row>
    <row r="98" spans="1:6" ht="14.25" customHeight="1">
      <c r="A98" s="42"/>
      <c r="B98" s="46"/>
      <c r="C98" s="46"/>
      <c r="D98" s="46" t="s">
        <v>3974</v>
      </c>
      <c r="E98" s="5"/>
      <c r="F98" s="46"/>
    </row>
  </sheetData>
  <pageMargins left="0.75" right="0.75" top="1" bottom="1"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2" width="53.44140625" customWidth="1"/>
    <col min="3" max="3" width="26.109375" customWidth="1"/>
    <col min="4" max="4" width="53.44140625" customWidth="1"/>
    <col min="5" max="5" width="56.88671875" customWidth="1"/>
  </cols>
  <sheetData>
    <row r="1" spans="1:5" ht="14.25" customHeight="1">
      <c r="A1" s="12" t="s">
        <v>3975</v>
      </c>
      <c r="E1" s="2"/>
    </row>
    <row r="2" spans="1:5" ht="14.25" customHeight="1">
      <c r="A2" s="41" t="s">
        <v>3976</v>
      </c>
      <c r="B2" s="41" t="s">
        <v>3977</v>
      </c>
      <c r="C2" s="42"/>
      <c r="D2" s="42" t="s">
        <v>3978</v>
      </c>
      <c r="E2" s="5" t="str">
        <f ca="1">IFERROR(__xludf.DUMMYFUNCTION("FILTER(D1:D1002,D1:D1002&lt;&gt; """")"),"Jiàqī kuài dàole!")</f>
        <v>Jiàqī kuài dàole!</v>
      </c>
    </row>
    <row r="3" spans="1:5" ht="14.25" customHeight="1">
      <c r="A3" s="41" t="s">
        <v>3979</v>
      </c>
      <c r="B3" s="41" t="s">
        <v>3980</v>
      </c>
      <c r="C3" s="42"/>
      <c r="D3" s="42"/>
      <c r="E3" s="6" t="str">
        <f ca="1">IFERROR(__xludf.DUMMYFUNCTION("""COMPUTED_VALUE"""),"Wǒmen yào qù nǎlǐ?")</f>
        <v>Wǒmen yào qù nǎlǐ?</v>
      </c>
    </row>
    <row r="4" spans="1:5" ht="14.25" customHeight="1">
      <c r="A4" s="41" t="s">
        <v>3981</v>
      </c>
      <c r="B4" s="41" t="s">
        <v>3982</v>
      </c>
      <c r="C4" s="42"/>
      <c r="D4" s="42" t="s">
        <v>3983</v>
      </c>
      <c r="E4" s="5" t="str">
        <f ca="1">IFERROR(__xludf.DUMMYFUNCTION("""COMPUTED_VALUE"""),"Wǒ xiǎng qù zhǎngtān dǎo.")</f>
        <v>Wǒ xiǎng qù zhǎngtān dǎo.</v>
      </c>
    </row>
    <row r="5" spans="1:5" ht="14.25" customHeight="1">
      <c r="A5" s="41" t="s">
        <v>3984</v>
      </c>
      <c r="B5" s="41" t="s">
        <v>3985</v>
      </c>
      <c r="C5" s="42"/>
      <c r="D5" s="42"/>
      <c r="E5" s="5" t="str">
        <f ca="1">IFERROR(__xludf.DUMMYFUNCTION("""COMPUTED_VALUE"""),"Wǒ xiǎng qù cānguān tītián.")</f>
        <v>Wǒ xiǎng qù cānguān tītián.</v>
      </c>
    </row>
    <row r="6" spans="1:5" ht="14.25" customHeight="1">
      <c r="A6" s="41" t="s">
        <v>3986</v>
      </c>
      <c r="B6" s="41" t="s">
        <v>3987</v>
      </c>
      <c r="C6" s="42"/>
      <c r="D6" s="42" t="s">
        <v>3988</v>
      </c>
      <c r="E6" s="5" t="str">
        <f ca="1">IFERROR(__xludf.DUMMYFUNCTION("""COMPUTED_VALUE"""),"Wǒmen zěnme qù?")</f>
        <v>Wǒmen zěnme qù?</v>
      </c>
    </row>
    <row r="7" spans="1:5" ht="14.25" customHeight="1">
      <c r="A7" s="41" t="s">
        <v>3989</v>
      </c>
      <c r="B7" s="41" t="s">
        <v>3990</v>
      </c>
      <c r="C7" s="42"/>
      <c r="D7" s="42"/>
      <c r="E7" s="5" t="str">
        <f ca="1">IFERROR(__xludf.DUMMYFUNCTION("""COMPUTED_VALUE"""),"Zuò fēijī, duì ba?")</f>
        <v>Zuò fēijī, duì ba?</v>
      </c>
    </row>
    <row r="8" spans="1:5" ht="14.25" customHeight="1">
      <c r="A8" s="41" t="s">
        <v>3991</v>
      </c>
      <c r="B8" s="41" t="s">
        <v>3992</v>
      </c>
      <c r="C8" s="42"/>
      <c r="D8" s="42" t="s">
        <v>3993</v>
      </c>
      <c r="E8" s="5" t="str">
        <f ca="1">IFERROR(__xludf.DUMMYFUNCTION("""COMPUTED_VALUE"""),"Wǒ dé shōushí xínglǐle.")</f>
        <v>Wǒ dé shōushí xínglǐle.</v>
      </c>
    </row>
    <row r="9" spans="1:5" ht="14.25" customHeight="1">
      <c r="A9" s="41" t="s">
        <v>3994</v>
      </c>
      <c r="B9" s="41" t="s">
        <v>3995</v>
      </c>
      <c r="C9" s="42"/>
      <c r="D9" s="42"/>
      <c r="E9" s="5" t="str">
        <f ca="1">IFERROR(__xludf.DUMMYFUNCTION("""COMPUTED_VALUE"""),"Bié wàngle dài yǒngyī.")</f>
        <v>Bié wàngle dài yǒngyī.</v>
      </c>
    </row>
    <row r="10" spans="1:5" ht="14.25" customHeight="1">
      <c r="A10" s="41" t="s">
        <v>3996</v>
      </c>
      <c r="B10" s="41" t="s">
        <v>3997</v>
      </c>
      <c r="C10" s="42"/>
      <c r="D10" s="42" t="s">
        <v>3998</v>
      </c>
      <c r="E10" s="5" t="str">
        <f ca="1">IFERROR(__xludf.DUMMYFUNCTION("""COMPUTED_VALUE"""),"Wǒ yǐjīng bǎ fángshài shuāng fàng jìn bāo lǐle.")</f>
        <v>Wǒ yǐjīng bǎ fángshài shuāng fàng jìn bāo lǐle.</v>
      </c>
    </row>
    <row r="11" spans="1:5" ht="14.25" customHeight="1">
      <c r="A11" s="41" t="s">
        <v>3999</v>
      </c>
      <c r="B11" s="41" t="s">
        <v>4000</v>
      </c>
      <c r="C11" s="42"/>
      <c r="D11" s="42"/>
      <c r="E11" s="5" t="str">
        <f ca="1">IFERROR(__xludf.DUMMYFUNCTION("""COMPUTED_VALUE"""),"Wǒ xūyào dài màozǐ.")</f>
        <v>Wǒ xūyào dài màozǐ.</v>
      </c>
    </row>
    <row r="12" spans="1:5" ht="14.25" customHeight="1">
      <c r="A12" s="41" t="s">
        <v>4001</v>
      </c>
      <c r="B12" s="41" t="s">
        <v>4002</v>
      </c>
      <c r="C12" s="42"/>
      <c r="D12" s="42" t="s">
        <v>4003</v>
      </c>
      <c r="E12" s="6" t="str">
        <f ca="1">IFERROR(__xludf.DUMMYFUNCTION("""COMPUTED_VALUE"""),"Lùtú yáoyuǎn ma?")</f>
        <v>Lùtú yáoyuǎn ma?</v>
      </c>
    </row>
    <row r="13" spans="1:5" ht="14.25" customHeight="1">
      <c r="A13" s="41" t="s">
        <v>4004</v>
      </c>
      <c r="B13" s="41" t="s">
        <v>4005</v>
      </c>
      <c r="C13" s="42"/>
      <c r="D13" s="42"/>
      <c r="E13" s="6" t="str">
        <f ca="1">IFERROR(__xludf.DUMMYFUNCTION("""COMPUTED_VALUE"""),"Wǒ hǎo xīngfèn!")</f>
        <v>Wǒ hǎo xīngfèn!</v>
      </c>
    </row>
    <row r="14" spans="1:5" ht="14.25" customHeight="1">
      <c r="A14" s="41" t="s">
        <v>4006</v>
      </c>
      <c r="B14" s="41" t="s">
        <v>4007</v>
      </c>
      <c r="C14" s="42"/>
      <c r="D14" s="42" t="s">
        <v>4008</v>
      </c>
      <c r="E14" s="6" t="str">
        <f ca="1">IFERROR(__xludf.DUMMYFUNCTION("""COMPUTED_VALUE"""),"Wǒ xiǎng zuò zài kào chuāng de wèizhì.")</f>
        <v>Wǒ xiǎng zuò zài kào chuāng de wèizhì.</v>
      </c>
    </row>
    <row r="15" spans="1:5" ht="14.25" customHeight="1">
      <c r="A15" s="41" t="s">
        <v>4009</v>
      </c>
      <c r="B15" s="41" t="s">
        <v>4010</v>
      </c>
      <c r="C15" s="42"/>
      <c r="D15" s="42"/>
      <c r="E15" s="6" t="str">
        <f ca="1">IFERROR(__xludf.DUMMYFUNCTION("""COMPUTED_VALUE"""),"Wǒ huì yùnjī ma?")</f>
        <v>Wǒ huì yùnjī ma?</v>
      </c>
    </row>
    <row r="16" spans="1:5" ht="14.25" customHeight="1">
      <c r="A16" s="41" t="s">
        <v>4011</v>
      </c>
      <c r="B16" s="41" t="s">
        <v>4012</v>
      </c>
      <c r="C16" s="42"/>
      <c r="D16" s="42" t="s">
        <v>4013</v>
      </c>
      <c r="E16" s="6" t="str">
        <f ca="1">IFERROR(__xludf.DUMMYFUNCTION("""COMPUTED_VALUE"""),"Qǐng gěi wǒ yīxiē yùnjī yào.")</f>
        <v>Qǐng gěi wǒ yīxiē yùnjī yào.</v>
      </c>
    </row>
    <row r="17" spans="1:5" ht="14.25" customHeight="1">
      <c r="A17" s="41" t="s">
        <v>4014</v>
      </c>
      <c r="B17" s="41" t="s">
        <v>4015</v>
      </c>
      <c r="C17" s="42"/>
      <c r="D17" s="42"/>
      <c r="E17" s="6" t="str">
        <f ca="1">IFERROR(__xludf.DUMMYFUNCTION("""COMPUTED_VALUE"""),"Wǒmen zhù zài nǎ jiā jiǔdiàn?")</f>
        <v>Wǒmen zhù zài nǎ jiā jiǔdiàn?</v>
      </c>
    </row>
    <row r="18" spans="1:5" ht="14.25" customHeight="1">
      <c r="A18" s="41" t="s">
        <v>4016</v>
      </c>
      <c r="B18" s="41" t="s">
        <v>4017</v>
      </c>
      <c r="C18" s="42"/>
      <c r="D18" s="42" t="s">
        <v>4018</v>
      </c>
      <c r="E18" s="5" t="str">
        <f ca="1">IFERROR(__xludf.DUMMYFUNCTION("""COMPUTED_VALUE"""),"Jiǔdiàn yǒu yóuyǒngchí ma?")</f>
        <v>Jiǔdiàn yǒu yóuyǒngchí ma?</v>
      </c>
    </row>
    <row r="19" spans="1:5" ht="14.25" customHeight="1">
      <c r="A19" s="41" t="s">
        <v>4019</v>
      </c>
      <c r="B19" s="41" t="s">
        <v>4020</v>
      </c>
      <c r="C19" s="42"/>
      <c r="D19" s="42"/>
      <c r="E19" s="4" t="str">
        <f ca="1">IFERROR(__xludf.DUMMYFUNCTION("""COMPUTED_VALUE"""),"Wǒ xiǎng qù guānguāng.")</f>
        <v>Wǒ xiǎng qù guānguāng.</v>
      </c>
    </row>
    <row r="20" spans="1:5" ht="14.25" customHeight="1">
      <c r="A20" s="41" t="s">
        <v>4021</v>
      </c>
      <c r="B20" s="41" t="s">
        <v>4022</v>
      </c>
      <c r="C20" s="42"/>
      <c r="D20" s="42" t="s">
        <v>4023</v>
      </c>
      <c r="E20" s="5" t="str">
        <f ca="1">IFERROR(__xludf.DUMMYFUNCTION("""COMPUTED_VALUE"""),"Zhèlǐ zhēnměi!")</f>
        <v>Zhèlǐ zhēnměi!</v>
      </c>
    </row>
    <row r="21" spans="1:5" ht="14.25" customHeight="1">
      <c r="A21" s="41" t="s">
        <v>4024</v>
      </c>
      <c r="B21" s="41" t="s">
        <v>4025</v>
      </c>
      <c r="C21" s="42"/>
      <c r="D21" s="42"/>
      <c r="E21" s="6" t="str">
        <f ca="1">IFERROR(__xludf.DUMMYFUNCTION("""COMPUTED_VALUE"""),"Qǐng bāng wǒ pāi zhāng zhàopiàn.")</f>
        <v>Qǐng bāng wǒ pāi zhāng zhàopiàn.</v>
      </c>
    </row>
    <row r="22" spans="1:5" ht="14.25" customHeight="1">
      <c r="A22" s="41" t="s">
        <v>4026</v>
      </c>
      <c r="B22" s="41" t="s">
        <v>4027</v>
      </c>
      <c r="C22" s="42"/>
      <c r="D22" s="42" t="s">
        <v>4028</v>
      </c>
      <c r="E22" s="6" t="str">
        <f ca="1">IFERROR(__xludf.DUMMYFUNCTION("""COMPUTED_VALUE"""),"Wǒ xiǎng mǎi xiē jìniànpǐn.")</f>
        <v>Wǒ xiǎng mǎi xiē jìniànpǐn.</v>
      </c>
    </row>
    <row r="23" spans="1:5" ht="14.25" customHeight="1">
      <c r="A23" s="41" t="s">
        <v>4029</v>
      </c>
      <c r="B23" s="41" t="s">
        <v>195</v>
      </c>
      <c r="C23" s="42"/>
      <c r="D23" s="42"/>
      <c r="E23" s="6" t="str">
        <f ca="1">IFERROR(__xludf.DUMMYFUNCTION("""COMPUTED_VALUE"""),"Zhège duōshǎo qián?")</f>
        <v>Zhège duōshǎo qián?</v>
      </c>
    </row>
    <row r="24" spans="1:5" ht="14.25" customHeight="1">
      <c r="A24" s="41" t="s">
        <v>4030</v>
      </c>
      <c r="B24" s="41" t="s">
        <v>4031</v>
      </c>
      <c r="C24" s="42"/>
      <c r="D24" s="42" t="s">
        <v>4032</v>
      </c>
      <c r="E24" s="6" t="str">
        <f ca="1">IFERROR(__xludf.DUMMYFUNCTION("""COMPUTED_VALUE"""),"Wǒ xiǎng cháng cháng dāngdì de tèsè cài.")</f>
        <v>Wǒ xiǎng cháng cháng dāngdì de tèsè cài.</v>
      </c>
    </row>
    <row r="25" spans="1:5" ht="14.25" customHeight="1">
      <c r="A25" s="41" t="s">
        <v>4033</v>
      </c>
      <c r="B25" s="41" t="s">
        <v>4034</v>
      </c>
      <c r="C25" s="42"/>
      <c r="D25" s="42"/>
      <c r="E25" s="6" t="str">
        <f ca="1">IFERROR(__xludf.DUMMYFUNCTION("""COMPUTED_VALUE"""),"Yǒu shé me hào chī de ma?")</f>
        <v>Yǒu shé me hào chī de ma?</v>
      </c>
    </row>
    <row r="26" spans="1:5" ht="14.25" customHeight="1">
      <c r="A26" s="41" t="s">
        <v>4035</v>
      </c>
      <c r="B26" s="41" t="s">
        <v>4036</v>
      </c>
      <c r="C26" s="42"/>
      <c r="D26" s="42" t="s">
        <v>4037</v>
      </c>
      <c r="E26" s="6" t="str">
        <f ca="1">IFERROR(__xludf.DUMMYFUNCTION("""COMPUTED_VALUE"""),"Wǒ xǐhuān zài shātān shàng sànbù.")</f>
        <v>Wǒ xǐhuān zài shātān shàng sànbù.</v>
      </c>
    </row>
    <row r="27" spans="1:5" ht="14.25" customHeight="1">
      <c r="A27" s="41" t="s">
        <v>4038</v>
      </c>
      <c r="B27" s="41" t="s">
        <v>4039</v>
      </c>
      <c r="C27" s="42"/>
      <c r="D27" s="42"/>
      <c r="E27" s="6" t="str">
        <f ca="1">IFERROR(__xludf.DUMMYFUNCTION("""COMPUTED_VALUE"""),"Hǎilàng hào dà a!")</f>
        <v>Hǎilàng hào dà a!</v>
      </c>
    </row>
    <row r="28" spans="1:5" ht="14.25" customHeight="1">
      <c r="A28" s="41" t="s">
        <v>4040</v>
      </c>
      <c r="B28" s="41" t="s">
        <v>4041</v>
      </c>
      <c r="C28" s="42"/>
      <c r="D28" s="42" t="s">
        <v>4042</v>
      </c>
      <c r="E28" s="6" t="str">
        <f ca="1">IFERROR(__xludf.DUMMYFUNCTION("""COMPUTED_VALUE""")," Bié yóutàiyuǎn!")</f>
        <v xml:space="preserve"> Bié yóutàiyuǎn!</v>
      </c>
    </row>
    <row r="29" spans="1:5" ht="14.25" customHeight="1">
      <c r="A29" s="41" t="s">
        <v>4043</v>
      </c>
      <c r="B29" s="41" t="s">
        <v>4044</v>
      </c>
      <c r="C29" s="42"/>
      <c r="D29" s="42"/>
      <c r="E29" s="37" t="str">
        <f ca="1">IFERROR(__xludf.DUMMYFUNCTION("""COMPUTED_VALUE""")," Wǒ xiǎng chéng chuán yóulǎn.")</f>
        <v xml:space="preserve"> Wǒ xiǎng chéng chuán yóulǎn.</v>
      </c>
    </row>
    <row r="30" spans="1:5" ht="14.25" customHeight="1">
      <c r="A30" s="41" t="s">
        <v>4045</v>
      </c>
      <c r="B30" s="41" t="s">
        <v>4046</v>
      </c>
      <c r="C30" s="42"/>
      <c r="D30" s="42" t="s">
        <v>4047</v>
      </c>
      <c r="E30" s="6" t="str">
        <f ca="1">IFERROR(__xludf.DUMMYFUNCTION("""COMPUTED_VALUE"""),"Wǒ xiǎng qù fú qiǎn kàn shānhújiāo.")</f>
        <v>Wǒ xiǎng qù fú qiǎn kàn shānhújiāo.</v>
      </c>
    </row>
    <row r="31" spans="1:5" ht="14.25" customHeight="1">
      <c r="A31" s="41" t="s">
        <v>4048</v>
      </c>
      <c r="B31" s="41" t="s">
        <v>4049</v>
      </c>
      <c r="C31" s="42"/>
      <c r="D31" s="42"/>
      <c r="E31" s="4" t="str">
        <f ca="1">IFERROR(__xludf.DUMMYFUNCTION("""COMPUTED_VALUE"""),"Wǒ kàn dàole hǎoduō wǔcǎibīnfēn de yú.")</f>
        <v>Wǒ kàn dàole hǎoduō wǔcǎibīnfēn de yú.</v>
      </c>
    </row>
    <row r="32" spans="1:5" ht="14.25" customHeight="1">
      <c r="A32" s="41" t="s">
        <v>4050</v>
      </c>
      <c r="B32" s="41" t="s">
        <v>4051</v>
      </c>
      <c r="C32" s="42"/>
      <c r="D32" s="42" t="s">
        <v>4052</v>
      </c>
      <c r="E32" s="4" t="str">
        <f ca="1">IFERROR(__xludf.DUMMYFUNCTION("""COMPUTED_VALUE"""),"Wǒmen qù túbù lǚxíng ba?")</f>
        <v>Wǒmen qù túbù lǚxíng ba?</v>
      </c>
    </row>
    <row r="33" spans="1:5" ht="14.25" customHeight="1">
      <c r="A33" s="41" t="s">
        <v>4053</v>
      </c>
      <c r="B33" s="41" t="s">
        <v>4054</v>
      </c>
      <c r="C33" s="42"/>
      <c r="D33" s="42"/>
      <c r="E33" s="4" t="str">
        <f ca="1">IFERROR(__xludf.DUMMYFUNCTION("""COMPUTED_VALUE"""),"Jìdé dài shuǐ.")</f>
        <v>Jìdé dài shuǐ.</v>
      </c>
    </row>
    <row r="34" spans="1:5" ht="14.25" customHeight="1">
      <c r="A34" s="41" t="s">
        <v>4055</v>
      </c>
      <c r="B34" s="41" t="s">
        <v>4056</v>
      </c>
      <c r="C34" s="42"/>
      <c r="D34" s="42" t="s">
        <v>4057</v>
      </c>
      <c r="E34" s="4" t="str">
        <f ca="1">IFERROR(__xludf.DUMMYFUNCTION("""COMPUTED_VALUE"""),"Wǒ xiǎng cānguān bówùguǎn.")</f>
        <v>Wǒ xiǎng cānguān bówùguǎn.</v>
      </c>
    </row>
    <row r="35" spans="1:5" ht="14.25" customHeight="1">
      <c r="A35" s="41" t="s">
        <v>4058</v>
      </c>
      <c r="B35" s="41" t="s">
        <v>4059</v>
      </c>
      <c r="C35" s="42"/>
      <c r="D35" s="42"/>
      <c r="E35" s="8" t="str">
        <f ca="1">IFERROR(__xludf.DUMMYFUNCTION("""COMPUTED_VALUE"""),"Wǒ xiǎng liǎojiě zhège dìfāng de lìshǐ.")</f>
        <v>Wǒ xiǎng liǎojiě zhège dìfāng de lìshǐ.</v>
      </c>
    </row>
    <row r="36" spans="1:5" ht="14.25" customHeight="1">
      <c r="A36" s="41" t="s">
        <v>4060</v>
      </c>
      <c r="B36" s="41" t="s">
        <v>4061</v>
      </c>
      <c r="C36" s="42"/>
      <c r="D36" s="42" t="s">
        <v>4062</v>
      </c>
      <c r="E36" s="5" t="str">
        <f ca="1">IFERROR(__xludf.DUMMYFUNCTION("""COMPUTED_VALUE"""),"Zhè li yǒu dìtú ma?")</f>
        <v>Zhè li yǒu dìtú ma?</v>
      </c>
    </row>
    <row r="37" spans="1:5" ht="14.25" customHeight="1">
      <c r="A37" s="41" t="s">
        <v>325</v>
      </c>
      <c r="B37" s="41" t="s">
        <v>326</v>
      </c>
      <c r="C37" s="42"/>
      <c r="D37" s="42"/>
      <c r="E37" s="8" t="str">
        <f ca="1">IFERROR(__xludf.DUMMYFUNCTION("""COMPUTED_VALUE"""),"Wǒ mílùle.")</f>
        <v>Wǒ mílùle.</v>
      </c>
    </row>
    <row r="38" spans="1:5" ht="14.25" customHeight="1">
      <c r="A38" s="41" t="s">
        <v>4063</v>
      </c>
      <c r="B38" s="41" t="s">
        <v>4064</v>
      </c>
      <c r="C38" s="42"/>
      <c r="D38" s="42" t="s">
        <v>4065</v>
      </c>
      <c r="E38" s="5" t="str">
        <f ca="1">IFERROR(__xludf.DUMMYFUNCTION("""COMPUTED_VALUE"""),"Qǐng bāng bāng wǒ.")</f>
        <v>Qǐng bāng bāng wǒ.</v>
      </c>
    </row>
    <row r="39" spans="1:5" ht="14.25" customHeight="1">
      <c r="A39" s="41" t="s">
        <v>4066</v>
      </c>
      <c r="B39" s="41" t="s">
        <v>4067</v>
      </c>
      <c r="C39" s="42"/>
      <c r="D39" s="42"/>
      <c r="E39" s="6" t="str">
        <f ca="1">IFERROR(__xludf.DUMMYFUNCTION("""COMPUTED_VALUE"""),"Wǒ zài zhǎo huí jiǔdiàn de lù.")</f>
        <v>Wǒ zài zhǎo huí jiǔdiàn de lù.</v>
      </c>
    </row>
    <row r="40" spans="1:5" ht="14.25" customHeight="1">
      <c r="A40" s="41" t="s">
        <v>4068</v>
      </c>
      <c r="B40" s="41" t="s">
        <v>4069</v>
      </c>
      <c r="C40" s="42"/>
      <c r="D40" s="42" t="s">
        <v>4070</v>
      </c>
      <c r="E40" s="6" t="str">
        <f ca="1">IFERROR(__xludf.DUMMYFUNCTION("""COMPUTED_VALUE"""),"Wǒ jīntiān zǒule hǎoduō lù, jiǎo dōu lèile.")</f>
        <v>Wǒ jīntiān zǒule hǎoduō lù, jiǎo dōu lèile.</v>
      </c>
    </row>
    <row r="41" spans="1:5" ht="14.25" customHeight="1">
      <c r="A41" s="41" t="s">
        <v>4071</v>
      </c>
      <c r="B41" s="41" t="s">
        <v>682</v>
      </c>
      <c r="C41" s="42"/>
      <c r="D41" s="42"/>
      <c r="E41" s="5" t="str">
        <f ca="1">IFERROR(__xludf.DUMMYFUNCTION("""COMPUTED_VALUE"""),"Wǒmen xiūxí yīhuǐ'er ba, hǎo ma?")</f>
        <v>Wǒmen xiūxí yīhuǐ'er ba, hǎo ma?</v>
      </c>
    </row>
    <row r="42" spans="1:5" ht="14.25" customHeight="1">
      <c r="A42" s="41" t="s">
        <v>4072</v>
      </c>
      <c r="B42" s="41" t="s">
        <v>4073</v>
      </c>
      <c r="C42" s="42"/>
      <c r="D42" s="42" t="s">
        <v>2382</v>
      </c>
      <c r="E42" s="4" t="str">
        <f ca="1">IFERROR(__xludf.DUMMYFUNCTION("""COMPUTED_VALUE"""),"Wǒ xiǎng mǎi bīngqílín.")</f>
        <v>Wǒ xiǎng mǎi bīngqílín.</v>
      </c>
    </row>
    <row r="43" spans="1:5" ht="14.25" customHeight="1">
      <c r="A43" s="41" t="s">
        <v>4074</v>
      </c>
      <c r="B43" s="41" t="s">
        <v>4075</v>
      </c>
      <c r="C43" s="42"/>
      <c r="D43" s="42"/>
      <c r="E43" s="5" t="str">
        <f ca="1">IFERROR(__xludf.DUMMYFUNCTION("""COMPUTED_VALUE"""),"Jīntiān tiānqì zhēn hǎo, shìhé chūqù wán.")</f>
        <v>Jīntiān tiānqì zhēn hǎo, shìhé chūqù wán.</v>
      </c>
    </row>
    <row r="44" spans="1:5" ht="14.25" customHeight="1">
      <c r="A44" s="41" t="s">
        <v>4076</v>
      </c>
      <c r="B44" s="41" t="s">
        <v>4077</v>
      </c>
      <c r="C44" s="42"/>
      <c r="D44" s="42" t="s">
        <v>454</v>
      </c>
      <c r="E44" s="4" t="str">
        <f ca="1">IFERROR(__xludf.DUMMYFUNCTION("""COMPUTED_VALUE"""),"Wǒ yīdiǎn dōu bùxiǎng huí jiā.")</f>
        <v>Wǒ yīdiǎn dōu bùxiǎng huí jiā.</v>
      </c>
    </row>
    <row r="45" spans="1:5" ht="14.25" customHeight="1">
      <c r="A45" s="41" t="s">
        <v>4078</v>
      </c>
      <c r="B45" s="41" t="s">
        <v>4079</v>
      </c>
      <c r="C45" s="42"/>
      <c r="D45" s="42"/>
      <c r="E45" s="5" t="str">
        <f ca="1">IFERROR(__xludf.DUMMYFUNCTION("""COMPUTED_VALUE"""),"Wǒ zhēn de hěn xiǎngshòu zhè cì lǚxíng.")</f>
        <v>Wǒ zhēn de hěn xiǎngshòu zhè cì lǚxíng.</v>
      </c>
    </row>
    <row r="46" spans="1:5" ht="14.25" customHeight="1">
      <c r="A46" s="41" t="s">
        <v>4080</v>
      </c>
      <c r="B46" s="41" t="s">
        <v>4081</v>
      </c>
      <c r="C46" s="42"/>
      <c r="D46" s="42" t="s">
        <v>4082</v>
      </c>
      <c r="E46" s="4" t="str">
        <f ca="1">IFERROR(__xludf.DUMMYFUNCTION("""COMPUTED_VALUE"""),"Xièxiè nǐ dài wǒ lái.")</f>
        <v>Xièxiè nǐ dài wǒ lái.</v>
      </c>
    </row>
    <row r="47" spans="1:5" ht="14.25" customHeight="1">
      <c r="A47" s="41" t="s">
        <v>4083</v>
      </c>
      <c r="B47" s="41" t="s">
        <v>4084</v>
      </c>
      <c r="C47" s="42"/>
      <c r="D47" s="42"/>
      <c r="E47" s="4" t="str">
        <f ca="1">IFERROR(__xludf.DUMMYFUNCTION("""COMPUTED_VALUE"""),"Xià cì wǒmen zàilái ba.")</f>
        <v>Xià cì wǒmen zàilái ba.</v>
      </c>
    </row>
    <row r="48" spans="1:5" ht="14.25" customHeight="1">
      <c r="A48" s="41" t="s">
        <v>4085</v>
      </c>
      <c r="B48" s="41" t="s">
        <v>4086</v>
      </c>
      <c r="C48" s="42"/>
      <c r="D48" s="42" t="s">
        <v>4087</v>
      </c>
      <c r="E48" s="4" t="str">
        <f ca="1">IFERROR(__xludf.DUMMYFUNCTION("""COMPUTED_VALUE"""),"Wǒ huì gàosù wǒ de péngyǒumen.")</f>
        <v>Wǒ huì gàosù wǒ de péngyǒumen.</v>
      </c>
    </row>
    <row r="49" spans="1:5" ht="14.25" customHeight="1">
      <c r="A49" s="41" t="s">
        <v>4088</v>
      </c>
      <c r="B49" s="41" t="s">
        <v>4089</v>
      </c>
      <c r="C49" s="42"/>
      <c r="D49" s="42"/>
      <c r="E49" s="5" t="str">
        <f ca="1">IFERROR(__xludf.DUMMYFUNCTION("""COMPUTED_VALUE"""),"Wǒ pāile hěnduō piàoliang de shìpín.")</f>
        <v>Wǒ pāile hěnduō piàoliang de shìpín.</v>
      </c>
    </row>
    <row r="50" spans="1:5" ht="14.25" customHeight="1">
      <c r="A50" s="41" t="s">
        <v>4090</v>
      </c>
      <c r="B50" s="41" t="s">
        <v>4091</v>
      </c>
      <c r="C50" s="42"/>
      <c r="D50" s="42" t="s">
        <v>4092</v>
      </c>
      <c r="E50" s="6" t="str">
        <f ca="1">IFERROR(__xludf.DUMMYFUNCTION("""COMPUTED_VALUE"""),"Zhù dàjiā lǚtú yúkuài!")</f>
        <v>Zhù dàjiā lǚtú yúkuài!</v>
      </c>
    </row>
    <row r="51" spans="1:5" ht="14.25" customHeight="1">
      <c r="A51" s="41" t="s">
        <v>4093</v>
      </c>
      <c r="B51" s="41" t="s">
        <v>4094</v>
      </c>
      <c r="C51" s="42"/>
      <c r="D51" s="42" t="s">
        <v>4095</v>
      </c>
      <c r="E51" s="6" t="str">
        <f ca="1">IFERROR(__xludf.DUMMYFUNCTION("""COMPUTED_VALUE"""),"Jiàqī kuàilè!")</f>
        <v>Jiàqī kuàilè!</v>
      </c>
    </row>
    <row r="52" spans="1:5" ht="14.25" customHeight="1">
      <c r="A52" s="42"/>
      <c r="B52" s="42"/>
      <c r="C52" s="42"/>
      <c r="D52" s="42" t="s">
        <v>4096</v>
      </c>
    </row>
    <row r="53" spans="1:5" ht="14.25" customHeight="1">
      <c r="A53" s="42"/>
      <c r="B53" s="42"/>
      <c r="C53" s="42"/>
      <c r="D53" s="42" t="s">
        <v>4097</v>
      </c>
      <c r="E53" s="5"/>
    </row>
    <row r="54" spans="1:5" ht="14.25" customHeight="1">
      <c r="A54" s="42"/>
      <c r="B54" s="42"/>
      <c r="C54" s="42"/>
      <c r="D54" s="42" t="s">
        <v>4098</v>
      </c>
      <c r="E54" s="5"/>
    </row>
    <row r="55" spans="1:5" ht="14.25" customHeight="1">
      <c r="A55" s="42"/>
      <c r="B55" s="42"/>
      <c r="C55" s="42"/>
      <c r="D55" s="42"/>
      <c r="E55" s="5"/>
    </row>
    <row r="56" spans="1:5" ht="14.25" customHeight="1">
      <c r="A56" s="42"/>
      <c r="B56" s="42"/>
      <c r="C56" s="42"/>
      <c r="D56" s="42" t="s">
        <v>4099</v>
      </c>
      <c r="E56" s="5"/>
    </row>
    <row r="57" spans="1:5" ht="14.25" customHeight="1">
      <c r="A57" s="42"/>
      <c r="B57" s="42"/>
      <c r="C57" s="42"/>
      <c r="D57" s="42"/>
      <c r="E57" s="5"/>
    </row>
    <row r="58" spans="1:5" ht="14.25" customHeight="1">
      <c r="A58" s="42"/>
      <c r="B58" s="42"/>
      <c r="C58" s="42"/>
      <c r="D58" s="42" t="s">
        <v>4100</v>
      </c>
      <c r="E58" s="5"/>
    </row>
    <row r="59" spans="1:5" ht="14.25" customHeight="1">
      <c r="A59" s="42"/>
      <c r="B59" s="42"/>
      <c r="C59" s="42"/>
      <c r="D59" s="42"/>
    </row>
    <row r="60" spans="1:5" ht="14.25" customHeight="1">
      <c r="A60" s="42"/>
      <c r="B60" s="42"/>
      <c r="C60" s="42"/>
      <c r="D60" s="42" t="s">
        <v>4101</v>
      </c>
      <c r="E60" s="5"/>
    </row>
    <row r="61" spans="1:5" ht="14.25" customHeight="1">
      <c r="A61" s="42"/>
      <c r="B61" s="42"/>
      <c r="C61" s="42"/>
      <c r="D61" s="42"/>
      <c r="E61" s="5"/>
    </row>
    <row r="62" spans="1:5" ht="14.25" customHeight="1">
      <c r="A62" s="42"/>
      <c r="B62" s="42"/>
      <c r="C62" s="42"/>
      <c r="D62" s="42" t="s">
        <v>4102</v>
      </c>
      <c r="E62" s="5"/>
    </row>
    <row r="63" spans="1:5" ht="14.25" customHeight="1">
      <c r="A63" s="42"/>
      <c r="B63" s="42"/>
      <c r="C63" s="42"/>
      <c r="D63" s="42"/>
      <c r="E63" s="5"/>
    </row>
    <row r="64" spans="1:5" ht="14.25" customHeight="1">
      <c r="A64" s="42"/>
      <c r="B64" s="42"/>
      <c r="C64" s="42"/>
      <c r="D64" s="42" t="s">
        <v>4103</v>
      </c>
      <c r="E64" s="5"/>
    </row>
    <row r="65" spans="1:5" ht="14.25" customHeight="1">
      <c r="A65" s="42"/>
      <c r="B65" s="42"/>
      <c r="C65" s="42"/>
      <c r="D65" s="42"/>
      <c r="E65" s="5"/>
    </row>
    <row r="66" spans="1:5" ht="14.25" customHeight="1">
      <c r="A66" s="42"/>
      <c r="B66" s="42"/>
      <c r="C66" s="42"/>
      <c r="D66" s="42" t="s">
        <v>4104</v>
      </c>
      <c r="E66" s="5"/>
    </row>
    <row r="67" spans="1:5" ht="14.25" customHeight="1">
      <c r="A67" s="42"/>
      <c r="B67" s="42"/>
      <c r="C67" s="42"/>
      <c r="D67" s="42"/>
      <c r="E67" s="5"/>
    </row>
    <row r="68" spans="1:5" ht="14.25" customHeight="1">
      <c r="A68" s="42"/>
      <c r="B68" s="42"/>
      <c r="C68" s="42"/>
      <c r="D68" s="42" t="s">
        <v>349</v>
      </c>
      <c r="E68" s="5"/>
    </row>
    <row r="69" spans="1:5" ht="14.25" customHeight="1">
      <c r="A69" s="42"/>
      <c r="B69" s="42"/>
      <c r="C69" s="42"/>
      <c r="D69" s="42"/>
      <c r="E69" s="5"/>
    </row>
    <row r="70" spans="1:5" ht="14.25" customHeight="1">
      <c r="A70" s="42"/>
      <c r="B70" s="42"/>
      <c r="C70" s="42"/>
      <c r="D70" s="42" t="s">
        <v>4105</v>
      </c>
      <c r="E70" s="5"/>
    </row>
    <row r="71" spans="1:5" ht="14.25" customHeight="1">
      <c r="A71" s="42"/>
      <c r="B71" s="42"/>
      <c r="C71" s="42"/>
      <c r="D71" s="42"/>
      <c r="E71" s="5"/>
    </row>
    <row r="72" spans="1:5" ht="14.25" customHeight="1">
      <c r="A72" s="42"/>
      <c r="B72" s="42"/>
      <c r="C72" s="42"/>
      <c r="D72" s="42" t="s">
        <v>4106</v>
      </c>
      <c r="E72" s="5"/>
    </row>
    <row r="73" spans="1:5" ht="14.25" customHeight="1">
      <c r="A73" s="42"/>
      <c r="B73" s="42"/>
      <c r="C73" s="42"/>
      <c r="D73" s="42"/>
      <c r="E73" s="5"/>
    </row>
    <row r="74" spans="1:5" ht="14.25" customHeight="1">
      <c r="A74" s="42"/>
      <c r="B74" s="42"/>
      <c r="C74" s="42"/>
      <c r="D74" s="42" t="s">
        <v>4107</v>
      </c>
      <c r="E74" s="5"/>
    </row>
    <row r="75" spans="1:5" ht="14.25" customHeight="1">
      <c r="A75" s="42"/>
      <c r="B75" s="42"/>
      <c r="C75" s="42"/>
      <c r="D75" s="42"/>
      <c r="E75" s="5"/>
    </row>
    <row r="76" spans="1:5" ht="14.25" customHeight="1">
      <c r="A76" s="42"/>
      <c r="B76" s="42"/>
      <c r="C76" s="42"/>
      <c r="D76" s="42" t="s">
        <v>4108</v>
      </c>
      <c r="E76" s="5"/>
    </row>
    <row r="77" spans="1:5" ht="14.25" customHeight="1">
      <c r="A77" s="42"/>
      <c r="B77" s="42"/>
      <c r="C77" s="42"/>
      <c r="D77" s="42"/>
      <c r="E77" s="5"/>
    </row>
    <row r="78" spans="1:5" ht="14.25" customHeight="1">
      <c r="A78" s="42"/>
      <c r="B78" s="42"/>
      <c r="C78" s="42"/>
      <c r="D78" s="42" t="s">
        <v>4109</v>
      </c>
      <c r="E78" s="5"/>
    </row>
    <row r="79" spans="1:5" ht="14.25" customHeight="1">
      <c r="A79" s="42"/>
      <c r="B79" s="42"/>
      <c r="C79" s="42"/>
      <c r="D79" s="42"/>
      <c r="E79" s="5"/>
    </row>
    <row r="80" spans="1:5" ht="14.25" customHeight="1">
      <c r="A80" s="42"/>
      <c r="B80" s="42"/>
      <c r="C80" s="42"/>
      <c r="D80" s="42" t="s">
        <v>4110</v>
      </c>
      <c r="E80" s="5"/>
    </row>
    <row r="81" spans="1:5" ht="14.25" customHeight="1">
      <c r="A81" s="42"/>
      <c r="B81" s="42"/>
      <c r="C81" s="42"/>
      <c r="D81" s="42"/>
      <c r="E81" s="5"/>
    </row>
    <row r="82" spans="1:5" ht="14.25" customHeight="1">
      <c r="A82" s="42"/>
      <c r="B82" s="42"/>
      <c r="C82" s="42"/>
      <c r="D82" s="42" t="s">
        <v>4111</v>
      </c>
      <c r="E82" s="5"/>
    </row>
    <row r="83" spans="1:5" ht="14.25" customHeight="1">
      <c r="A83" s="42"/>
      <c r="B83" s="42"/>
      <c r="C83" s="42"/>
      <c r="D83" s="42"/>
      <c r="E83" s="5"/>
    </row>
    <row r="84" spans="1:5" ht="14.25" customHeight="1">
      <c r="A84" s="42"/>
      <c r="B84" s="42"/>
      <c r="C84" s="42"/>
      <c r="D84" s="42" t="s">
        <v>4112</v>
      </c>
      <c r="E84" s="5"/>
    </row>
    <row r="85" spans="1:5" ht="14.25" customHeight="1">
      <c r="A85" s="42"/>
      <c r="B85" s="42"/>
      <c r="C85" s="42"/>
      <c r="D85" s="42"/>
      <c r="E85" s="5"/>
    </row>
    <row r="86" spans="1:5" ht="14.25" customHeight="1">
      <c r="A86" s="42"/>
      <c r="B86" s="42"/>
      <c r="C86" s="42"/>
      <c r="D86" s="42" t="s">
        <v>4113</v>
      </c>
      <c r="E86" s="5"/>
    </row>
    <row r="87" spans="1:5" ht="14.25" customHeight="1">
      <c r="A87" s="42"/>
      <c r="B87" s="42"/>
      <c r="C87" s="42"/>
      <c r="D87" s="42"/>
      <c r="E87" s="5"/>
    </row>
    <row r="88" spans="1:5" ht="14.25" customHeight="1">
      <c r="A88" s="42"/>
      <c r="B88" s="42"/>
      <c r="C88" s="42"/>
      <c r="D88" s="42" t="s">
        <v>4114</v>
      </c>
      <c r="E88" s="5"/>
    </row>
    <row r="89" spans="1:5" ht="14.25" customHeight="1">
      <c r="A89" s="42"/>
      <c r="B89" s="42"/>
      <c r="C89" s="42"/>
      <c r="D89" s="42"/>
      <c r="E89" s="5"/>
    </row>
    <row r="90" spans="1:5" ht="14.25" customHeight="1">
      <c r="A90" s="42"/>
      <c r="B90" s="42"/>
      <c r="C90" s="42"/>
      <c r="D90" s="42" t="s">
        <v>4115</v>
      </c>
      <c r="E90" s="5"/>
    </row>
    <row r="91" spans="1:5" ht="14.25" customHeight="1">
      <c r="A91" s="42"/>
      <c r="B91" s="42"/>
      <c r="C91" s="42"/>
      <c r="D91" s="42"/>
      <c r="E91" s="5"/>
    </row>
    <row r="92" spans="1:5" ht="14.25" customHeight="1">
      <c r="A92" s="42"/>
      <c r="B92" s="42"/>
      <c r="C92" s="42"/>
      <c r="D92" s="42" t="s">
        <v>4116</v>
      </c>
      <c r="E92" s="5"/>
    </row>
    <row r="93" spans="1:5" ht="14.25" customHeight="1">
      <c r="A93" s="42"/>
      <c r="B93" s="42"/>
      <c r="C93" s="42"/>
      <c r="D93" s="42"/>
      <c r="E93" s="5"/>
    </row>
    <row r="94" spans="1:5" ht="14.25" customHeight="1">
      <c r="A94" s="42"/>
      <c r="B94" s="42"/>
      <c r="C94" s="42"/>
      <c r="D94" s="42" t="s">
        <v>4117</v>
      </c>
      <c r="E94" s="5"/>
    </row>
    <row r="95" spans="1:5" ht="14.25" customHeight="1">
      <c r="A95" s="42"/>
      <c r="B95" s="42"/>
      <c r="C95" s="42"/>
      <c r="D95" s="42"/>
      <c r="E95" s="5"/>
    </row>
    <row r="96" spans="1:5" ht="14.25" customHeight="1">
      <c r="A96" s="42"/>
      <c r="B96" s="42"/>
      <c r="C96" s="42"/>
      <c r="D96" s="42" t="s">
        <v>4118</v>
      </c>
      <c r="E96" s="5"/>
    </row>
    <row r="97" spans="1:5" ht="14.25" customHeight="1">
      <c r="A97" s="42"/>
      <c r="B97" s="42"/>
      <c r="C97" s="42"/>
      <c r="D97" s="42"/>
      <c r="E97" s="5"/>
    </row>
    <row r="98" spans="1:5" ht="14.25" customHeight="1">
      <c r="A98" s="42"/>
      <c r="B98" s="42"/>
      <c r="C98" s="42"/>
      <c r="D98" s="42"/>
      <c r="E98" s="5"/>
    </row>
  </sheetData>
  <pageMargins left="0.75" right="0.75" top="1" bottom="1"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2" width="52.6640625" customWidth="1"/>
    <col min="3" max="3" width="10.88671875" customWidth="1"/>
    <col min="4" max="4" width="52.6640625" customWidth="1"/>
    <col min="5" max="5" width="56.88671875" customWidth="1"/>
  </cols>
  <sheetData>
    <row r="1" spans="1:5" ht="14.25" customHeight="1">
      <c r="A1" s="12" t="s">
        <v>4119</v>
      </c>
      <c r="E1" s="2"/>
    </row>
    <row r="2" spans="1:5" ht="14.25" customHeight="1">
      <c r="A2" s="41" t="s">
        <v>4120</v>
      </c>
      <c r="B2" s="43" t="s">
        <v>4121</v>
      </c>
      <c r="C2" s="46"/>
      <c r="D2" s="46" t="s">
        <v>757</v>
      </c>
      <c r="E2" s="5" t="str">
        <f ca="1">IFERROR(__xludf.DUMMYFUNCTION("FILTER(D1:D1002,D1:D1002&lt;&gt; """")"),"Wǒ gǎnjué bú shūfú.")</f>
        <v>Wǒ gǎnjué bú shūfú.</v>
      </c>
    </row>
    <row r="3" spans="1:5" ht="14.25" customHeight="1">
      <c r="A3" s="41" t="s">
        <v>4122</v>
      </c>
      <c r="B3" s="43" t="s">
        <v>4123</v>
      </c>
      <c r="C3" s="46"/>
      <c r="D3" s="46"/>
      <c r="E3" s="6" t="str">
        <f ca="1">IFERROR(__xludf.DUMMYFUNCTION("""COMPUTED_VALUE"""),"Wǒ tóuténg.")</f>
        <v>Wǒ tóuténg.</v>
      </c>
    </row>
    <row r="4" spans="1:5" ht="14.25" customHeight="1">
      <c r="A4" s="41" t="s">
        <v>4124</v>
      </c>
      <c r="B4" s="43" t="s">
        <v>4125</v>
      </c>
      <c r="C4" s="46"/>
      <c r="D4" s="46" t="s">
        <v>767</v>
      </c>
      <c r="E4" s="5" t="str">
        <f ca="1">IFERROR(__xludf.DUMMYFUNCTION("""COMPUTED_VALUE"""),"Wǒ dùzǐ téng.")</f>
        <v>Wǒ dùzǐ téng.</v>
      </c>
    </row>
    <row r="5" spans="1:5" ht="14.25" customHeight="1">
      <c r="A5" s="41" t="s">
        <v>4126</v>
      </c>
      <c r="B5" s="43" t="s">
        <v>4127</v>
      </c>
      <c r="C5" s="46"/>
      <c r="D5" s="46"/>
      <c r="E5" s="5" t="str">
        <f ca="1">IFERROR(__xludf.DUMMYFUNCTION("""COMPUTED_VALUE"""),"Wǒ fāshāole.")</f>
        <v>Wǒ fāshāole.</v>
      </c>
    </row>
    <row r="6" spans="1:5" ht="14.25" customHeight="1">
      <c r="A6" s="41" t="s">
        <v>4128</v>
      </c>
      <c r="B6" s="41" t="s">
        <v>4129</v>
      </c>
      <c r="C6" s="42"/>
      <c r="D6" s="42" t="s">
        <v>782</v>
      </c>
      <c r="E6" s="5" t="str">
        <f ca="1">IFERROR(__xludf.DUMMYFUNCTION("""COMPUTED_VALUE"""),"Wǒ késòu.")</f>
        <v>Wǒ késòu.</v>
      </c>
    </row>
    <row r="7" spans="1:5" ht="14.25" customHeight="1">
      <c r="A7" s="41" t="s">
        <v>4130</v>
      </c>
      <c r="B7" s="43" t="s">
        <v>4131</v>
      </c>
      <c r="C7" s="46"/>
      <c r="D7" s="46"/>
      <c r="E7" s="5" t="str">
        <f ca="1">IFERROR(__xludf.DUMMYFUNCTION("""COMPUTED_VALUE"""),"Wǒliú bítì. ")</f>
        <v xml:space="preserve">Wǒliú bítì. </v>
      </c>
    </row>
    <row r="8" spans="1:5" ht="14.25" customHeight="1">
      <c r="A8" s="41" t="s">
        <v>4132</v>
      </c>
      <c r="B8" s="41" t="s">
        <v>4133</v>
      </c>
      <c r="C8" s="42"/>
      <c r="D8" s="42" t="s">
        <v>796</v>
      </c>
      <c r="E8" s="5" t="str">
        <f ca="1">IFERROR(__xludf.DUMMYFUNCTION("""COMPUTED_VALUE"""),"Wǒ tóuyūn. ")</f>
        <v xml:space="preserve">Wǒ tóuyūn. </v>
      </c>
    </row>
    <row r="9" spans="1:5" ht="14.25" customHeight="1">
      <c r="A9" s="41" t="s">
        <v>4134</v>
      </c>
      <c r="B9" s="43" t="s">
        <v>4135</v>
      </c>
      <c r="C9" s="46"/>
      <c r="D9" s="46"/>
      <c r="E9" s="5" t="str">
        <f ca="1">IFERROR(__xludf.DUMMYFUNCTION("""COMPUTED_VALUE"""),"Wǒ xiǎng tǎng xià xiūxí. ")</f>
        <v xml:space="preserve">Wǒ xiǎng tǎng xià xiūxí. </v>
      </c>
    </row>
    <row r="10" spans="1:5" ht="14.25" customHeight="1">
      <c r="A10" s="41" t="s">
        <v>4136</v>
      </c>
      <c r="B10" s="43" t="s">
        <v>4137</v>
      </c>
      <c r="C10" s="46"/>
      <c r="D10" s="46" t="s">
        <v>4138</v>
      </c>
      <c r="E10" s="5" t="str">
        <f ca="1">IFERROR(__xludf.DUMMYFUNCTION("""COMPUTED_VALUE"""),"Wǒ xūyào qù kàn yīshēng.")</f>
        <v>Wǒ xūyào qù kàn yīshēng.</v>
      </c>
    </row>
    <row r="11" spans="1:5" ht="14.25" customHeight="1">
      <c r="A11" s="41" t="s">
        <v>4139</v>
      </c>
      <c r="B11" s="43" t="s">
        <v>856</v>
      </c>
      <c r="C11" s="46"/>
      <c r="D11" s="46" t="s">
        <v>4140</v>
      </c>
      <c r="E11" s="5" t="str">
        <f ca="1">IFERROR(__xludf.DUMMYFUNCTION("""COMPUTED_VALUE"""),"Zuìjìn de yīyuàn zài nǎlǐ?")</f>
        <v>Zuìjìn de yīyuàn zài nǎlǐ?</v>
      </c>
    </row>
    <row r="12" spans="1:5" ht="14.25" customHeight="1">
      <c r="A12" s="41" t="s">
        <v>4141</v>
      </c>
      <c r="B12" s="43" t="s">
        <v>4142</v>
      </c>
      <c r="C12" s="46"/>
      <c r="D12" s="46" t="s">
        <v>4143</v>
      </c>
      <c r="E12" s="6" t="str">
        <f ca="1">IFERROR(__xludf.DUMMYFUNCTION("""COMPUTED_VALUE"""),"Bié hàipà, yīshēng hěn hé'ǎi.")</f>
        <v>Bié hàipà, yīshēng hěn hé'ǎi.</v>
      </c>
    </row>
    <row r="13" spans="1:5" ht="14.25" customHeight="1">
      <c r="A13" s="41" t="s">
        <v>4144</v>
      </c>
      <c r="B13" s="41" t="s">
        <v>4145</v>
      </c>
      <c r="C13" s="42"/>
      <c r="D13" s="42" t="s">
        <v>4146</v>
      </c>
      <c r="E13" s="6" t="str">
        <f ca="1">IFERROR(__xludf.DUMMYFUNCTION("""COMPUTED_VALUE"""),"Wǒ zhèlǐ téng. ")</f>
        <v xml:space="preserve">Wǒ zhèlǐ téng. </v>
      </c>
    </row>
    <row r="14" spans="1:5" ht="14.25" customHeight="1">
      <c r="A14" s="41" t="s">
        <v>4147</v>
      </c>
      <c r="B14" s="43" t="s">
        <v>4148</v>
      </c>
      <c r="C14" s="46"/>
      <c r="D14" s="10" t="s">
        <v>4149</v>
      </c>
      <c r="E14" s="6" t="str">
        <f ca="1">IFERROR(__xludf.DUMMYFUNCTION("""COMPUTED_VALUE"""),"Wǒ yá téng. ")</f>
        <v xml:space="preserve">Wǒ yá téng. </v>
      </c>
    </row>
    <row r="15" spans="1:5" ht="14.25" customHeight="1">
      <c r="A15" s="41" t="s">
        <v>4150</v>
      </c>
      <c r="B15" s="43" t="s">
        <v>4151</v>
      </c>
      <c r="C15" s="46"/>
      <c r="D15" s="46" t="s">
        <v>918</v>
      </c>
      <c r="E15" s="6" t="str">
        <f ca="1">IFERROR(__xludf.DUMMYFUNCTION("""COMPUTED_VALUE"""),"Wǒ xūyào qù kàn yáyī.")</f>
        <v>Wǒ xūyào qù kàn yáyī.</v>
      </c>
    </row>
    <row r="16" spans="1:5" ht="14.25" customHeight="1">
      <c r="A16" s="41" t="s">
        <v>4152</v>
      </c>
      <c r="B16" s="43" t="s">
        <v>4153</v>
      </c>
      <c r="C16" s="46"/>
      <c r="D16" s="46" t="s">
        <v>4154</v>
      </c>
      <c r="E16" s="6" t="str">
        <f ca="1">IFERROR(__xludf.DUMMYFUNCTION("""COMPUTED_VALUE"""),"Wǒ shuāi dǎo le, tuǐ shòushāngle. ")</f>
        <v xml:space="preserve">Wǒ shuāi dǎo le, tuǐ shòushāngle. </v>
      </c>
    </row>
    <row r="17" spans="1:5" ht="14.25" customHeight="1">
      <c r="A17" s="41" t="s">
        <v>4155</v>
      </c>
      <c r="B17" s="43" t="s">
        <v>4156</v>
      </c>
      <c r="C17" s="46"/>
      <c r="D17" s="46" t="s">
        <v>4157</v>
      </c>
      <c r="E17" s="6" t="str">
        <f ca="1">IFERROR(__xludf.DUMMYFUNCTION("""COMPUTED_VALUE"""),"Wǒ xūyào chī yào ma?")</f>
        <v>Wǒ xūyào chī yào ma?</v>
      </c>
    </row>
    <row r="18" spans="1:5" ht="14.25" customHeight="1">
      <c r="A18" s="41" t="s">
        <v>4158</v>
      </c>
      <c r="B18" s="43" t="s">
        <v>4159</v>
      </c>
      <c r="C18" s="46"/>
      <c r="D18" s="46" t="s">
        <v>4160</v>
      </c>
      <c r="E18" s="5" t="str">
        <f ca="1">IFERROR(__xludf.DUMMYFUNCTION("""COMPUTED_VALUE"""),"Zhè yào tài kǔle!")</f>
        <v>Zhè yào tài kǔle!</v>
      </c>
    </row>
    <row r="19" spans="1:5" ht="14.25" customHeight="1">
      <c r="A19" s="41" t="s">
        <v>4161</v>
      </c>
      <c r="B19" s="43" t="s">
        <v>4162</v>
      </c>
      <c r="C19" s="46"/>
      <c r="D19" s="46" t="s">
        <v>973</v>
      </c>
      <c r="E19" s="4" t="str">
        <f ca="1">IFERROR(__xludf.DUMMYFUNCTION("""COMPUTED_VALUE"""),"Duō hē shuǐ.")</f>
        <v>Duō hē shuǐ.</v>
      </c>
    </row>
    <row r="20" spans="1:5" ht="14.25" customHeight="1">
      <c r="A20" s="41" t="s">
        <v>4163</v>
      </c>
      <c r="B20" s="43" t="s">
        <v>4164</v>
      </c>
      <c r="C20" s="46"/>
      <c r="D20" s="46" t="s">
        <v>4165</v>
      </c>
      <c r="E20" s="5" t="str">
        <f ca="1">IFERROR(__xludf.DUMMYFUNCTION("""COMPUTED_VALUE"""),"Wǒ xiànzài gǎnjué hǎoduōle.")</f>
        <v>Wǒ xiànzài gǎnjué hǎoduōle.</v>
      </c>
    </row>
    <row r="21" spans="1:5" ht="14.25" customHeight="1">
      <c r="A21" s="41" t="s">
        <v>4166</v>
      </c>
      <c r="B21" s="43" t="s">
        <v>4167</v>
      </c>
      <c r="C21" s="46"/>
      <c r="D21" s="46" t="s">
        <v>4168</v>
      </c>
      <c r="E21" s="6" t="str">
        <f ca="1">IFERROR(__xludf.DUMMYFUNCTION("""COMPUTED_VALUE"""),"Wǒ háishì téng.")</f>
        <v>Wǒ háishì téng.</v>
      </c>
    </row>
    <row r="22" spans="1:5" ht="14.25" customHeight="1">
      <c r="A22" s="41" t="s">
        <v>4169</v>
      </c>
      <c r="B22" s="43" t="s">
        <v>4170</v>
      </c>
      <c r="C22" s="46"/>
      <c r="D22" s="46" t="s">
        <v>4171</v>
      </c>
      <c r="E22" s="6" t="str">
        <f ca="1">IFERROR(__xludf.DUMMYFUNCTION("""COMPUTED_VALUE"""),"Wǒ duìxiā guòmǐn.")</f>
        <v>Wǒ duìxiā guòmǐn.</v>
      </c>
    </row>
    <row r="23" spans="1:5" ht="14.25" customHeight="1">
      <c r="A23" s="41" t="s">
        <v>4172</v>
      </c>
      <c r="B23" s="43" t="s">
        <v>4173</v>
      </c>
      <c r="C23" s="46"/>
      <c r="D23" s="46"/>
      <c r="E23" s="6" t="str">
        <f ca="1">IFERROR(__xludf.DUMMYFUNCTION("""COMPUTED_VALUE"""),"Qǐng bùyào gěi wǒ huāshēng.")</f>
        <v>Qǐng bùyào gěi wǒ huāshēng.</v>
      </c>
    </row>
    <row r="24" spans="1:5" ht="14.25" customHeight="1">
      <c r="A24" s="41" t="s">
        <v>4174</v>
      </c>
      <c r="B24" s="43" t="s">
        <v>4175</v>
      </c>
      <c r="C24" s="46"/>
      <c r="D24" s="46" t="s">
        <v>962</v>
      </c>
      <c r="E24" s="6" t="str">
        <f ca="1">IFERROR(__xludf.DUMMYFUNCTION("""COMPUTED_VALUE"""),"Wǒ xūyào bēngdài.")</f>
        <v>Wǒ xūyào bēngdài.</v>
      </c>
    </row>
    <row r="25" spans="1:5" ht="14.25" customHeight="1">
      <c r="A25" s="41" t="s">
        <v>4176</v>
      </c>
      <c r="B25" s="43" t="s">
        <v>4177</v>
      </c>
      <c r="C25" s="46"/>
      <c r="D25" s="46"/>
      <c r="E25" s="6" t="str">
        <f ca="1">IFERROR(__xludf.DUMMYFUNCTION("""COMPUTED_VALUE"""),"Shāngkǒu chūxiěle ma?")</f>
        <v>Shāngkǒu chūxiěle ma?</v>
      </c>
    </row>
    <row r="26" spans="1:5" ht="14.25" customHeight="1">
      <c r="A26" s="41" t="s">
        <v>4178</v>
      </c>
      <c r="B26" s="43" t="s">
        <v>4179</v>
      </c>
      <c r="C26" s="46"/>
      <c r="D26" s="51" t="s">
        <v>964</v>
      </c>
      <c r="E26" s="6" t="str">
        <f ca="1">IFERROR(__xludf.DUMMYFUNCTION("""COMPUTED_VALUE"""),"Wǒ hóulóng tòng.")</f>
        <v>Wǒ hóulóng tòng.</v>
      </c>
    </row>
    <row r="27" spans="1:5" ht="14.25" customHeight="1">
      <c r="A27" s="41" t="s">
        <v>4180</v>
      </c>
      <c r="B27" s="43" t="s">
        <v>4181</v>
      </c>
      <c r="C27" s="46"/>
      <c r="D27" s="46"/>
      <c r="E27" s="6" t="str">
        <f ca="1">IFERROR(__xludf.DUMMYFUNCTION("""COMPUTED_VALUE"""),"Wǒ gǎnjué ěxīn.")</f>
        <v>Wǒ gǎnjué ěxīn.</v>
      </c>
    </row>
    <row r="28" spans="1:5" ht="14.25" customHeight="1">
      <c r="A28" s="41" t="s">
        <v>4182</v>
      </c>
      <c r="B28" s="43" t="s">
        <v>4183</v>
      </c>
      <c r="C28" s="46"/>
      <c r="D28" s="46" t="s">
        <v>4184</v>
      </c>
      <c r="E28" s="6" t="str">
        <f ca="1">IFERROR(__xludf.DUMMYFUNCTION("""COMPUTED_VALUE""")," Bié wàngle ànshí chī yào.")</f>
        <v xml:space="preserve"> Bié wàngle ànshí chī yào.</v>
      </c>
    </row>
    <row r="29" spans="1:5" ht="14.25" customHeight="1">
      <c r="A29" s="41" t="s">
        <v>4185</v>
      </c>
      <c r="B29" s="43" t="s">
        <v>4186</v>
      </c>
      <c r="C29" s="46"/>
      <c r="D29" s="46"/>
      <c r="E29" s="37" t="str">
        <f ca="1">IFERROR(__xludf.DUMMYFUNCTION("""COMPUTED_VALUE""")," Wǒ xiǎng zǎodiǎn shuìjiào. ")</f>
        <v xml:space="preserve"> Wǒ xiǎng zǎodiǎn shuìjiào. </v>
      </c>
    </row>
    <row r="30" spans="1:5" ht="14.25" customHeight="1">
      <c r="A30" s="41" t="s">
        <v>4187</v>
      </c>
      <c r="B30" s="43" t="s">
        <v>4188</v>
      </c>
      <c r="C30" s="46"/>
      <c r="D30" s="46" t="s">
        <v>4189</v>
      </c>
      <c r="E30" s="6" t="str">
        <f ca="1">IFERROR(__xludf.DUMMYFUNCTION("""COMPUTED_VALUE"""),"Yīshēng shuō wǒ zěnmeliǎo?")</f>
        <v>Yīshēng shuō wǒ zěnmeliǎo?</v>
      </c>
    </row>
    <row r="31" spans="1:5" ht="14.25" customHeight="1">
      <c r="A31" s="41" t="s">
        <v>4190</v>
      </c>
      <c r="B31" s="43" t="s">
        <v>4191</v>
      </c>
      <c r="C31" s="46"/>
      <c r="D31" s="46"/>
      <c r="E31" s="4" t="str">
        <f ca="1">IFERROR(__xludf.DUMMYFUNCTION("""COMPUTED_VALUE"""),"Wǒ xūyào dǎzhēn ma?")</f>
        <v>Wǒ xūyào dǎzhēn ma?</v>
      </c>
    </row>
    <row r="32" spans="1:5" ht="14.25" customHeight="1">
      <c r="A32" s="41" t="s">
        <v>4192</v>
      </c>
      <c r="B32" s="43" t="s">
        <v>4193</v>
      </c>
      <c r="C32" s="46"/>
      <c r="D32" s="46" t="s">
        <v>4194</v>
      </c>
      <c r="E32" s="4" t="str">
        <f ca="1">IFERROR(__xludf.DUMMYFUNCTION("""COMPUTED_VALUE"""),"Wǒ hǎo pà dǎzhēn!")</f>
        <v>Wǒ hǎo pà dǎzhēn!</v>
      </c>
    </row>
    <row r="33" spans="1:5" ht="14.25" customHeight="1">
      <c r="A33" s="41" t="s">
        <v>4195</v>
      </c>
      <c r="B33" s="43" t="s">
        <v>4196</v>
      </c>
      <c r="C33" s="46"/>
      <c r="D33" s="46"/>
      <c r="E33" s="4" t="str">
        <f ca="1">IFERROR(__xludf.DUMMYFUNCTION("""COMPUTED_VALUE"""),"Yǒnggǎn diǎn!")</f>
        <v>Yǒnggǎn diǎn!</v>
      </c>
    </row>
    <row r="34" spans="1:5" ht="14.25" customHeight="1">
      <c r="A34" s="41" t="s">
        <v>4197</v>
      </c>
      <c r="B34" s="43" t="s">
        <v>4198</v>
      </c>
      <c r="C34" s="46"/>
      <c r="D34" s="46" t="s">
        <v>4199</v>
      </c>
      <c r="E34" s="4" t="str">
        <f ca="1">IFERROR(__xludf.DUMMYFUNCTION("""COMPUTED_VALUE"""),"Nǐ huì méishì de.")</f>
        <v>Nǐ huì méishì de.</v>
      </c>
    </row>
    <row r="35" spans="1:5" ht="14.25" customHeight="1">
      <c r="A35" s="41" t="s">
        <v>4200</v>
      </c>
      <c r="B35" s="43" t="s">
        <v>4201</v>
      </c>
      <c r="C35" s="46"/>
      <c r="D35" s="46"/>
      <c r="E35" s="8" t="str">
        <f ca="1">IFERROR(__xludf.DUMMYFUNCTION("""COMPUTED_VALUE"""),"Wǒ shēngbìng de shíhòu xǐhuān chī zhōu.")</f>
        <v>Wǒ shēngbìng de shíhòu xǐhuān chī zhōu.</v>
      </c>
    </row>
    <row r="36" spans="1:5" ht="14.25" customHeight="1">
      <c r="A36" s="41" t="s">
        <v>4202</v>
      </c>
      <c r="B36" s="43" t="s">
        <v>4203</v>
      </c>
      <c r="C36" s="46"/>
      <c r="D36" s="46" t="s">
        <v>4204</v>
      </c>
      <c r="E36" s="5" t="str">
        <f ca="1">IFERROR(__xludf.DUMMYFUNCTION("""COMPUTED_VALUE"""),"Rè zhōu duì wǒ de shēntǐ hěn hǎo. ")</f>
        <v xml:space="preserve">Rè zhōu duì wǒ de shēntǐ hěn hǎo. </v>
      </c>
    </row>
    <row r="37" spans="1:5" ht="14.25" customHeight="1">
      <c r="A37" s="41" t="s">
        <v>4205</v>
      </c>
      <c r="B37" s="43" t="s">
        <v>4206</v>
      </c>
      <c r="C37" s="46"/>
      <c r="D37" s="46"/>
      <c r="E37" s="8" t="str">
        <f ca="1">IFERROR(__xludf.DUMMYFUNCTION("""COMPUTED_VALUE"""),"Wǒ xiǎng hē chéngzhī.")</f>
        <v>Wǒ xiǎng hē chéngzhī.</v>
      </c>
    </row>
    <row r="38" spans="1:5" ht="14.25" customHeight="1">
      <c r="A38" s="41" t="s">
        <v>4207</v>
      </c>
      <c r="B38" s="43" t="s">
        <v>4208</v>
      </c>
      <c r="C38" s="46"/>
      <c r="D38" s="46" t="s">
        <v>811</v>
      </c>
      <c r="E38" s="5" t="str">
        <f ca="1">IFERROR(__xludf.DUMMYFUNCTION("""COMPUTED_VALUE"""),"Wéishēngsù C néng bāngzhù wǒ kuài diǎn hǎo qǐlái. ")</f>
        <v xml:space="preserve">Wéishēngsù C néng bāngzhù wǒ kuài diǎn hǎo qǐlái. </v>
      </c>
    </row>
    <row r="39" spans="1:5" ht="14.25" customHeight="1">
      <c r="A39" s="41" t="s">
        <v>4209</v>
      </c>
      <c r="B39" s="43" t="s">
        <v>4210</v>
      </c>
      <c r="C39" s="46"/>
      <c r="D39" s="46"/>
      <c r="E39" s="6" t="str">
        <f ca="1">IFERROR(__xludf.DUMMYFUNCTION("""COMPUTED_VALUE"""),"Wǒ jīntiān bùxiǎng qù shàngxué, yīnwèi wǒ lèile.")</f>
        <v>Wǒ jīntiān bùxiǎng qù shàngxué, yīnwèi wǒ lèile.</v>
      </c>
    </row>
    <row r="40" spans="1:5" ht="14.25" customHeight="1">
      <c r="A40" s="41" t="s">
        <v>4211</v>
      </c>
      <c r="B40" s="43" t="s">
        <v>4212</v>
      </c>
      <c r="C40" s="46"/>
      <c r="D40" s="46" t="s">
        <v>4213</v>
      </c>
      <c r="E40" s="6" t="str">
        <f ca="1">IFERROR(__xludf.DUMMYFUNCTION("""COMPUTED_VALUE""")," Zhù nǐ zǎorì kāngfù!")</f>
        <v xml:space="preserve"> Zhù nǐ zǎorì kāngfù!</v>
      </c>
    </row>
    <row r="41" spans="1:5" ht="14.25" customHeight="1">
      <c r="A41" s="41" t="s">
        <v>4214</v>
      </c>
      <c r="B41" s="43" t="s">
        <v>4215</v>
      </c>
      <c r="C41" s="46"/>
      <c r="D41" s="46" t="s">
        <v>4216</v>
      </c>
      <c r="E41" s="5" t="str">
        <f ca="1">IFERROR(__xludf.DUMMYFUNCTION("""COMPUTED_VALUE"""),"Wǒ xūyào liàng yīxià tǐwēn.")</f>
        <v>Wǒ xūyào liàng yīxià tǐwēn.</v>
      </c>
    </row>
    <row r="42" spans="1:5" ht="14.25" customHeight="1">
      <c r="A42" s="41" t="s">
        <v>4217</v>
      </c>
      <c r="B42" s="43" t="s">
        <v>4218</v>
      </c>
      <c r="C42" s="46"/>
      <c r="D42" s="10" t="s">
        <v>4219</v>
      </c>
      <c r="E42" s="4" t="str">
        <f ca="1">IFERROR(__xludf.DUMMYFUNCTION("""COMPUTED_VALUE"""),"Wǒ de tǐwēn shì duōshǎo?")</f>
        <v>Wǒ de tǐwēn shì duōshǎo?</v>
      </c>
    </row>
    <row r="43" spans="1:5" ht="14.25" customHeight="1">
      <c r="A43" s="41" t="s">
        <v>4220</v>
      </c>
      <c r="B43" s="43" t="s">
        <v>4221</v>
      </c>
      <c r="C43" s="46"/>
      <c r="D43" s="10" t="s">
        <v>4222</v>
      </c>
      <c r="E43" s="5" t="str">
        <f ca="1">IFERROR(__xludf.DUMMYFUNCTION("""COMPUTED_VALUE"""),"Wǒ bèi wénzǐ yǎole, hǎo téng a.")</f>
        <v>Wǒ bèi wénzǐ yǎole, hǎo téng a.</v>
      </c>
    </row>
    <row r="44" spans="1:5" ht="14.25" customHeight="1">
      <c r="A44" s="41" t="s">
        <v>4223</v>
      </c>
      <c r="B44" s="43" t="s">
        <v>4224</v>
      </c>
      <c r="C44" s="46"/>
      <c r="E44" s="4" t="str">
        <f ca="1">IFERROR(__xludf.DUMMYFUNCTION("""COMPUTED_VALUE"""),"Qǐng zài zhèlǐ tú diǎn yàogāo.")</f>
        <v>Qǐng zài zhèlǐ tú diǎn yàogāo.</v>
      </c>
    </row>
    <row r="45" spans="1:5" ht="14.25" customHeight="1">
      <c r="A45" s="41" t="s">
        <v>4225</v>
      </c>
      <c r="B45" s="43" t="s">
        <v>4226</v>
      </c>
      <c r="C45" s="46"/>
      <c r="E45" s="5" t="str">
        <f ca="1">IFERROR(__xludf.DUMMYFUNCTION("""COMPUTED_VALUE"""),"Wǒ yǒudiǎn lěng.")</f>
        <v>Wǒ yǒudiǎn lěng.</v>
      </c>
    </row>
    <row r="46" spans="1:5" ht="14.25" customHeight="1">
      <c r="A46" s="41" t="s">
        <v>4227</v>
      </c>
      <c r="B46" s="43" t="s">
        <v>4228</v>
      </c>
      <c r="C46" s="46"/>
      <c r="E46" s="4" t="str">
        <f ca="1">IFERROR(__xludf.DUMMYFUNCTION("""COMPUTED_VALUE"""),"Qǐng zài gěi wǒ gài yī céng tǎnzǐ.")</f>
        <v>Qǐng zài gěi wǒ gài yī céng tǎnzǐ.</v>
      </c>
    </row>
    <row r="47" spans="1:5" ht="14.25" customHeight="1">
      <c r="A47" s="41" t="s">
        <v>4229</v>
      </c>
      <c r="B47" s="43" t="s">
        <v>4230</v>
      </c>
      <c r="C47" s="46"/>
      <c r="E47" s="4" t="str">
        <f ca="1">IFERROR(__xludf.DUMMYFUNCTION("""COMPUTED_VALUE"""),"Wǒ xiǎng hūxī xīnxiān kōngqì.")</f>
        <v>Wǒ xiǎng hūxī xīnxiān kōngqì.</v>
      </c>
    </row>
    <row r="48" spans="1:5" ht="14.25" customHeight="1">
      <c r="A48" s="41" t="s">
        <v>4231</v>
      </c>
      <c r="B48" s="43" t="s">
        <v>4232</v>
      </c>
      <c r="C48" s="46"/>
      <c r="E48" s="4" t="str">
        <f ca="1">IFERROR(__xludf.DUMMYFUNCTION("""COMPUTED_VALUE"""),"Jiànkāng zuì bǎoguì.")</f>
        <v>Jiànkāng zuì bǎoguì.</v>
      </c>
    </row>
    <row r="49" spans="1:5" ht="14.25" customHeight="1">
      <c r="A49" s="41" t="s">
        <v>4233</v>
      </c>
      <c r="B49" s="43" t="s">
        <v>4234</v>
      </c>
      <c r="C49" s="46"/>
      <c r="D49" s="46" t="s">
        <v>4235</v>
      </c>
      <c r="E49" s="5" t="str">
        <f ca="1">IFERROR(__xludf.DUMMYFUNCTION("""COMPUTED_VALUE"""),"Wǒ huì jiānchí duànliàn.")</f>
        <v>Wǒ huì jiānchí duànliàn.</v>
      </c>
    </row>
    <row r="50" spans="1:5" ht="14.25" customHeight="1">
      <c r="A50" s="41" t="s">
        <v>4236</v>
      </c>
      <c r="B50" s="43" t="s">
        <v>4237</v>
      </c>
      <c r="C50" s="46"/>
      <c r="D50" s="46"/>
      <c r="E50" s="6" t="str">
        <f ca="1">IFERROR(__xludf.DUMMYFUNCTION("""COMPUTED_VALUE"""),"Wǒ huì duō chī shūcài.")</f>
        <v>Wǒ huì duō chī shūcài.</v>
      </c>
    </row>
    <row r="51" spans="1:5" ht="14.25" customHeight="1">
      <c r="A51" s="41" t="s">
        <v>4238</v>
      </c>
      <c r="B51" s="43" t="s">
        <v>4239</v>
      </c>
      <c r="C51" s="46"/>
      <c r="D51" s="46" t="s">
        <v>4240</v>
      </c>
      <c r="E51" s="6" t="str">
        <f ca="1">IFERROR(__xludf.DUMMYFUNCTION("""COMPUTED_VALUE"""),"Xièxiè nǐ zhàogù wǒ.")</f>
        <v>Xièxiè nǐ zhàogù wǒ.</v>
      </c>
    </row>
    <row r="52" spans="1:5" ht="14.25" customHeight="1">
      <c r="A52" s="42"/>
      <c r="B52" s="46"/>
      <c r="C52" s="46"/>
      <c r="D52" s="46"/>
    </row>
    <row r="53" spans="1:5" ht="14.25" customHeight="1">
      <c r="A53" s="42"/>
      <c r="B53" s="46"/>
      <c r="C53" s="46"/>
      <c r="D53" s="46" t="s">
        <v>4241</v>
      </c>
      <c r="E53" s="5"/>
    </row>
    <row r="54" spans="1:5" ht="14.25" customHeight="1">
      <c r="A54" s="42"/>
      <c r="B54" s="46"/>
      <c r="C54" s="46"/>
      <c r="D54" s="46"/>
      <c r="E54" s="5"/>
    </row>
    <row r="55" spans="1:5" ht="14.25" customHeight="1">
      <c r="A55" s="42"/>
      <c r="B55" s="46"/>
      <c r="C55" s="46"/>
      <c r="D55" s="46" t="s">
        <v>4242</v>
      </c>
      <c r="E55" s="5"/>
    </row>
    <row r="56" spans="1:5" ht="14.25" customHeight="1">
      <c r="A56" s="42"/>
      <c r="B56" s="46"/>
      <c r="C56" s="46"/>
      <c r="D56" s="46"/>
      <c r="E56" s="5"/>
    </row>
    <row r="57" spans="1:5" ht="14.25" customHeight="1">
      <c r="A57" s="42"/>
      <c r="B57" s="46"/>
      <c r="C57" s="46"/>
      <c r="D57" s="46" t="s">
        <v>4243</v>
      </c>
      <c r="E57" s="5"/>
    </row>
    <row r="58" spans="1:5" ht="14.25" customHeight="1">
      <c r="A58" s="42"/>
      <c r="B58" s="46"/>
      <c r="C58" s="46"/>
      <c r="D58" s="46"/>
      <c r="E58" s="5"/>
    </row>
    <row r="59" spans="1:5" ht="14.25" customHeight="1">
      <c r="A59" s="42"/>
      <c r="B59" s="46"/>
      <c r="C59" s="46"/>
      <c r="D59" s="46" t="s">
        <v>4244</v>
      </c>
    </row>
    <row r="60" spans="1:5" ht="14.25" customHeight="1">
      <c r="A60" s="42"/>
      <c r="B60" s="46"/>
      <c r="C60" s="46"/>
      <c r="D60" s="46" t="s">
        <v>4245</v>
      </c>
      <c r="E60" s="5"/>
    </row>
    <row r="61" spans="1:5" ht="14.25" customHeight="1">
      <c r="A61" s="42"/>
      <c r="B61" s="46"/>
      <c r="C61" s="46"/>
      <c r="D61" s="46" t="s">
        <v>4246</v>
      </c>
      <c r="E61" s="5"/>
    </row>
    <row r="62" spans="1:5" ht="14.25" customHeight="1">
      <c r="A62" s="42"/>
      <c r="B62" s="46"/>
      <c r="C62" s="46"/>
      <c r="D62" s="46" t="s">
        <v>4247</v>
      </c>
      <c r="E62" s="5"/>
    </row>
    <row r="63" spans="1:5" ht="14.25" customHeight="1">
      <c r="A63" s="42"/>
      <c r="B63" s="46"/>
      <c r="C63" s="46"/>
      <c r="D63" s="46" t="s">
        <v>4248</v>
      </c>
      <c r="E63" s="5"/>
    </row>
    <row r="64" spans="1:5" ht="14.25" customHeight="1">
      <c r="A64" s="42"/>
      <c r="B64" s="46"/>
      <c r="C64" s="46"/>
      <c r="D64" s="46"/>
      <c r="E64" s="5"/>
    </row>
    <row r="65" spans="1:5" ht="14.25" customHeight="1">
      <c r="A65" s="42"/>
      <c r="B65" s="46"/>
      <c r="C65" s="46"/>
      <c r="D65" s="46"/>
      <c r="E65" s="5"/>
    </row>
    <row r="66" spans="1:5" ht="14.25" customHeight="1">
      <c r="A66" s="42"/>
      <c r="B66" s="46"/>
      <c r="C66" s="46"/>
      <c r="D66" s="46" t="s">
        <v>4249</v>
      </c>
      <c r="E66" s="5"/>
    </row>
    <row r="67" spans="1:5" ht="14.25" customHeight="1">
      <c r="A67" s="42"/>
      <c r="B67" s="46"/>
      <c r="C67" s="46"/>
      <c r="D67" s="46"/>
      <c r="E67" s="5"/>
    </row>
    <row r="68" spans="1:5" ht="14.25" customHeight="1">
      <c r="A68" s="42"/>
      <c r="B68" s="46"/>
      <c r="C68" s="46"/>
      <c r="D68" s="46" t="s">
        <v>4250</v>
      </c>
      <c r="E68" s="5"/>
    </row>
    <row r="69" spans="1:5" ht="14.25" customHeight="1">
      <c r="A69" s="42"/>
      <c r="B69" s="46"/>
      <c r="C69" s="46"/>
      <c r="D69" s="46"/>
      <c r="E69" s="5"/>
    </row>
    <row r="70" spans="1:5" ht="14.25" customHeight="1">
      <c r="A70" s="42"/>
      <c r="B70" s="46"/>
      <c r="C70" s="46"/>
      <c r="D70" s="46" t="s">
        <v>4251</v>
      </c>
      <c r="E70" s="5"/>
    </row>
    <row r="71" spans="1:5" ht="14.25" customHeight="1">
      <c r="A71" s="42"/>
      <c r="B71" s="46"/>
      <c r="C71" s="46"/>
      <c r="D71" s="46"/>
      <c r="E71" s="5"/>
    </row>
    <row r="72" spans="1:5" ht="14.25" customHeight="1">
      <c r="A72" s="42"/>
      <c r="B72" s="46"/>
      <c r="C72" s="46"/>
      <c r="D72" s="46" t="s">
        <v>4252</v>
      </c>
      <c r="E72" s="5"/>
    </row>
    <row r="73" spans="1:5" ht="14.25" customHeight="1">
      <c r="A73" s="42"/>
      <c r="B73" s="46"/>
      <c r="C73" s="46"/>
      <c r="D73" s="46"/>
      <c r="E73" s="5"/>
    </row>
    <row r="74" spans="1:5" ht="14.25" customHeight="1">
      <c r="A74" s="42"/>
      <c r="B74" s="46"/>
      <c r="C74" s="46"/>
      <c r="D74" s="46" t="s">
        <v>4253</v>
      </c>
      <c r="E74" s="5"/>
    </row>
    <row r="75" spans="1:5" ht="14.25" customHeight="1">
      <c r="A75" s="42"/>
      <c r="B75" s="46"/>
      <c r="C75" s="46"/>
      <c r="D75" s="46"/>
      <c r="E75" s="5"/>
    </row>
    <row r="76" spans="1:5" ht="14.25" customHeight="1">
      <c r="A76" s="42"/>
      <c r="B76" s="46"/>
      <c r="C76" s="46"/>
      <c r="D76" s="46" t="s">
        <v>4254</v>
      </c>
      <c r="E76" s="5"/>
    </row>
    <row r="77" spans="1:5" ht="14.25" customHeight="1">
      <c r="A77" s="42"/>
      <c r="B77" s="46"/>
      <c r="C77" s="46"/>
      <c r="D77" s="46"/>
      <c r="E77" s="5"/>
    </row>
    <row r="78" spans="1:5" ht="14.25" customHeight="1">
      <c r="A78" s="42"/>
      <c r="B78" s="46"/>
      <c r="C78" s="46"/>
      <c r="D78" s="46" t="s">
        <v>4255</v>
      </c>
      <c r="E78" s="5"/>
    </row>
    <row r="79" spans="1:5" ht="14.25" customHeight="1">
      <c r="A79" s="42"/>
      <c r="B79" s="46"/>
      <c r="C79" s="46"/>
      <c r="D79" s="46"/>
      <c r="E79" s="5"/>
    </row>
    <row r="80" spans="1:5" ht="14.25" customHeight="1">
      <c r="A80" s="42"/>
      <c r="B80" s="46"/>
      <c r="C80" s="46"/>
      <c r="D80" s="46" t="s">
        <v>4256</v>
      </c>
      <c r="E80" s="5"/>
    </row>
    <row r="81" spans="1:5" ht="14.25" customHeight="1">
      <c r="A81" s="42"/>
      <c r="B81" s="46"/>
      <c r="C81" s="46"/>
      <c r="D81" s="46"/>
      <c r="E81" s="5"/>
    </row>
    <row r="82" spans="1:5" ht="14.25" customHeight="1">
      <c r="A82" s="42"/>
      <c r="B82" s="46"/>
      <c r="C82" s="46"/>
      <c r="D82" s="46" t="s">
        <v>4257</v>
      </c>
      <c r="E82" s="5"/>
    </row>
    <row r="83" spans="1:5" ht="14.25" customHeight="1">
      <c r="A83" s="42"/>
      <c r="B83" s="46"/>
      <c r="C83" s="46"/>
      <c r="D83" s="46"/>
      <c r="E83" s="5"/>
    </row>
    <row r="84" spans="1:5" ht="14.25" customHeight="1">
      <c r="A84" s="42"/>
      <c r="B84" s="46"/>
      <c r="C84" s="46"/>
      <c r="D84" s="46" t="s">
        <v>4258</v>
      </c>
      <c r="E84" s="5"/>
    </row>
    <row r="85" spans="1:5" ht="14.25" customHeight="1">
      <c r="A85" s="42"/>
      <c r="B85" s="46"/>
      <c r="C85" s="46"/>
      <c r="D85" s="46"/>
      <c r="E85" s="5"/>
    </row>
    <row r="86" spans="1:5" ht="14.25" customHeight="1">
      <c r="A86" s="42"/>
      <c r="B86" s="46"/>
      <c r="C86" s="46"/>
      <c r="D86" s="46" t="s">
        <v>1473</v>
      </c>
      <c r="E86" s="5"/>
    </row>
    <row r="87" spans="1:5" ht="14.25" customHeight="1">
      <c r="A87" s="42"/>
      <c r="B87" s="46"/>
      <c r="C87" s="46"/>
      <c r="D87" s="46"/>
      <c r="E87" s="5"/>
    </row>
    <row r="88" spans="1:5" ht="14.25" customHeight="1">
      <c r="A88" s="42"/>
      <c r="B88" s="46"/>
      <c r="C88" s="46"/>
      <c r="D88" s="46"/>
      <c r="E88" s="5"/>
    </row>
    <row r="89" spans="1:5" ht="14.25" customHeight="1">
      <c r="A89" s="42"/>
      <c r="B89" s="46"/>
      <c r="C89" s="46"/>
      <c r="D89" s="46"/>
      <c r="E89" s="5"/>
    </row>
    <row r="90" spans="1:5" ht="14.25" customHeight="1">
      <c r="A90" s="42"/>
      <c r="B90" s="46"/>
      <c r="C90" s="46"/>
      <c r="D90" s="46"/>
      <c r="E90" s="5"/>
    </row>
    <row r="91" spans="1:5" ht="14.25" customHeight="1">
      <c r="A91" s="42"/>
      <c r="B91" s="46"/>
      <c r="C91" s="46"/>
      <c r="D91" s="46"/>
      <c r="E91" s="5"/>
    </row>
    <row r="92" spans="1:5" ht="14.25" customHeight="1">
      <c r="A92" s="42"/>
      <c r="B92" s="46"/>
      <c r="C92" s="46"/>
      <c r="D92" s="46"/>
      <c r="E92" s="5"/>
    </row>
    <row r="93" spans="1:5" ht="14.25" customHeight="1">
      <c r="A93" s="42"/>
      <c r="B93" s="46"/>
      <c r="C93" s="46"/>
      <c r="D93" s="46"/>
      <c r="E93" s="5"/>
    </row>
    <row r="94" spans="1:5" ht="14.25" customHeight="1">
      <c r="A94" s="42"/>
      <c r="B94" s="46"/>
      <c r="C94" s="46"/>
      <c r="D94" s="46"/>
      <c r="E94" s="5"/>
    </row>
    <row r="95" spans="1:5" ht="14.25" customHeight="1">
      <c r="A95" s="42"/>
      <c r="B95" s="46"/>
      <c r="C95" s="46"/>
      <c r="D95" s="46"/>
      <c r="E95" s="5"/>
    </row>
    <row r="96" spans="1:5" ht="14.25" customHeight="1">
      <c r="A96" s="42"/>
      <c r="B96" s="46"/>
      <c r="C96" s="46"/>
      <c r="D96" s="46"/>
      <c r="E96" s="5"/>
    </row>
    <row r="97" spans="1:5" ht="14.25" customHeight="1">
      <c r="A97" s="42"/>
      <c r="B97" s="46"/>
      <c r="C97" s="46"/>
      <c r="D97" s="46"/>
      <c r="E97" s="5"/>
    </row>
    <row r="98" spans="1:5" ht="14.25" customHeight="1">
      <c r="A98" s="42"/>
      <c r="B98" s="46"/>
      <c r="C98" s="46"/>
      <c r="D98" s="46"/>
      <c r="E98" s="5"/>
    </row>
  </sheetData>
  <pageMargins left="0.75" right="0.75" top="1" bottom="1"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1" width="45.5546875" customWidth="1"/>
    <col min="2" max="2" width="58.6640625" customWidth="1"/>
    <col min="3" max="3" width="9.33203125" customWidth="1"/>
    <col min="4" max="4" width="58.6640625" customWidth="1"/>
    <col min="5" max="5" width="56.88671875" customWidth="1"/>
  </cols>
  <sheetData>
    <row r="1" spans="1:5" ht="14.25" customHeight="1">
      <c r="A1" s="12" t="s">
        <v>4259</v>
      </c>
      <c r="E1" s="2"/>
    </row>
    <row r="2" spans="1:5" ht="14.25" customHeight="1">
      <c r="A2" s="41" t="s">
        <v>4260</v>
      </c>
      <c r="B2" s="10" t="s">
        <v>4261</v>
      </c>
      <c r="C2" s="10"/>
      <c r="D2" s="10" t="s">
        <v>4262</v>
      </c>
      <c r="E2" s="5" t="str">
        <f ca="1">IFERROR(__xludf.DUMMYFUNCTION("FILTER(D1:D1002,D1:D1002&lt;&gt; """")"),"Nǐ zhǎng dà hòu xiǎng zuò shénme?")</f>
        <v>Nǐ zhǎng dà hòu xiǎng zuò shénme?</v>
      </c>
    </row>
    <row r="3" spans="1:5" ht="14.25" customHeight="1">
      <c r="A3" s="41" t="s">
        <v>4263</v>
      </c>
      <c r="B3" s="10" t="s">
        <v>4264</v>
      </c>
      <c r="C3" s="10"/>
      <c r="E3" s="6" t="str">
        <f ca="1">IFERROR(__xludf.DUMMYFUNCTION("""COMPUTED_VALUE"""),"Wǒ xiǎng dāng yīshēng.")</f>
        <v>Wǒ xiǎng dāng yīshēng.</v>
      </c>
    </row>
    <row r="4" spans="1:5" ht="14.25" customHeight="1">
      <c r="A4" s="41" t="s">
        <v>4265</v>
      </c>
      <c r="B4" s="10" t="s">
        <v>4266</v>
      </c>
      <c r="C4" s="10"/>
      <c r="D4" s="10" t="s">
        <v>4267</v>
      </c>
      <c r="E4" s="5" t="str">
        <f ca="1">IFERROR(__xludf.DUMMYFUNCTION("""COMPUTED_VALUE"""),"Wǒ xiǎng dāng lǎoshī.")</f>
        <v>Wǒ xiǎng dāng lǎoshī.</v>
      </c>
    </row>
    <row r="5" spans="1:5" ht="14.25" customHeight="1">
      <c r="A5" s="41" t="s">
        <v>4268</v>
      </c>
      <c r="B5" s="10" t="s">
        <v>4269</v>
      </c>
      <c r="C5" s="10"/>
      <c r="E5" s="5" t="str">
        <f ca="1">IFERROR(__xludf.DUMMYFUNCTION("""COMPUTED_VALUE"""),"Wǒ xǐhuān dāng jǐngchá.")</f>
        <v>Wǒ xǐhuān dāng jǐngchá.</v>
      </c>
    </row>
    <row r="6" spans="1:5" ht="14.25" customHeight="1">
      <c r="A6" s="41" t="s">
        <v>4270</v>
      </c>
      <c r="B6" s="10" t="s">
        <v>4271</v>
      </c>
      <c r="C6" s="10"/>
      <c r="D6" s="10" t="s">
        <v>4272</v>
      </c>
      <c r="E6" s="5" t="str">
        <f ca="1">IFERROR(__xludf.DUMMYFUNCTION("""COMPUTED_VALUE"""),"Wǒ xiǎng dāng xiāofáng yuán.")</f>
        <v>Wǒ xiǎng dāng xiāofáng yuán.</v>
      </c>
    </row>
    <row r="7" spans="1:5" ht="14.25" customHeight="1">
      <c r="A7" s="41" t="s">
        <v>4273</v>
      </c>
      <c r="B7" s="10" t="s">
        <v>4274</v>
      </c>
      <c r="C7" s="10"/>
      <c r="E7" s="5" t="str">
        <f ca="1">IFERROR(__xludf.DUMMYFUNCTION("""COMPUTED_VALUE"""),"Wǒ xiǎng dāng fēixíngyuán, áoxiáng lántiān.")</f>
        <v>Wǒ xiǎng dāng fēixíngyuán, áoxiáng lántiān.</v>
      </c>
    </row>
    <row r="8" spans="1:5" ht="14.25" customHeight="1">
      <c r="A8" s="41" t="s">
        <v>4275</v>
      </c>
      <c r="B8" s="10" t="s">
        <v>4276</v>
      </c>
      <c r="C8" s="10"/>
      <c r="D8" s="10" t="s">
        <v>4277</v>
      </c>
      <c r="E8" s="5" t="str">
        <f ca="1">IFERROR(__xludf.DUMMYFUNCTION("""COMPUTED_VALUE"""),"Wǒ xǐhuān pēngrèn, wǒ xiǎng dāng chúshī.")</f>
        <v>Wǒ xǐhuān pēngrèn, wǒ xiǎng dāng chúshī.</v>
      </c>
    </row>
    <row r="9" spans="1:5" ht="14.25" customHeight="1">
      <c r="A9" s="41" t="s">
        <v>4278</v>
      </c>
      <c r="B9" s="10" t="s">
        <v>4279</v>
      </c>
      <c r="C9" s="10"/>
      <c r="E9" s="5" t="str">
        <f ca="1">IFERROR(__xludf.DUMMYFUNCTION("""COMPUTED_VALUE"""),"Wǒ xiǎng dāng yìshùjiā, huà huà.")</f>
        <v>Wǒ xiǎng dāng yìshùjiā, huà huà.</v>
      </c>
    </row>
    <row r="10" spans="1:5" ht="14.25" customHeight="1">
      <c r="A10" s="41" t="s">
        <v>4280</v>
      </c>
      <c r="B10" s="10" t="s">
        <v>4281</v>
      </c>
      <c r="C10" s="10"/>
      <c r="D10" s="10" t="s">
        <v>4282</v>
      </c>
      <c r="E10" s="5" t="str">
        <f ca="1">IFERROR(__xludf.DUMMYFUNCTION("""COMPUTED_VALUE"""),"Wǒ xǐhuān chànggē, wǒ xiǎng dāng gēshǒu.")</f>
        <v>Wǒ xǐhuān chànggē, wǒ xiǎng dāng gēshǒu.</v>
      </c>
    </row>
    <row r="11" spans="1:5" ht="14.25" customHeight="1">
      <c r="A11" s="41" t="s">
        <v>4283</v>
      </c>
      <c r="B11" s="10" t="s">
        <v>4284</v>
      </c>
      <c r="C11" s="10"/>
      <c r="E11" s="5" t="str">
        <f ca="1">IFERROR(__xludf.DUMMYFUNCTION("""COMPUTED_VALUE"""),"Nǐ xiànzài zuò shénme gōngzuò?")</f>
        <v>Nǐ xiànzài zuò shénme gōngzuò?</v>
      </c>
    </row>
    <row r="12" spans="1:5" ht="14.25" customHeight="1">
      <c r="A12" s="41" t="s">
        <v>4285</v>
      </c>
      <c r="B12" s="10" t="s">
        <v>4286</v>
      </c>
      <c r="C12" s="10"/>
      <c r="D12" s="10" t="s">
        <v>4287</v>
      </c>
      <c r="E12" s="6" t="str">
        <f ca="1">IFERROR(__xludf.DUMMYFUNCTION("""COMPUTED_VALUE"""),"Wǒ hěn xīnshǎng nǐ de gōngzuò.")</f>
        <v>Wǒ hěn xīnshǎng nǐ de gōngzuò.</v>
      </c>
    </row>
    <row r="13" spans="1:5" ht="14.25" customHeight="1">
      <c r="A13" s="41" t="s">
        <v>4288</v>
      </c>
      <c r="B13" s="10" t="s">
        <v>4289</v>
      </c>
      <c r="C13" s="10"/>
      <c r="E13" s="6" t="str">
        <f ca="1">IFERROR(__xludf.DUMMYFUNCTION("""COMPUTED_VALUE"""),"Nà fèn gōngzuò nàn ma?")</f>
        <v>Nà fèn gōngzuò nàn ma?</v>
      </c>
    </row>
    <row r="14" spans="1:5" ht="14.25" customHeight="1">
      <c r="A14" s="41" t="s">
        <v>4290</v>
      </c>
      <c r="B14" s="10" t="s">
        <v>4291</v>
      </c>
      <c r="C14" s="10"/>
      <c r="D14" s="10" t="s">
        <v>4292</v>
      </c>
      <c r="E14" s="6" t="str">
        <f ca="1">IFERROR(__xludf.DUMMYFUNCTION("""COMPUTED_VALUE"""),"Wǒ xiǎng dāng tǔmù gōngchéngshī.")</f>
        <v>Wǒ xiǎng dāng tǔmù gōngchéngshī.</v>
      </c>
    </row>
    <row r="15" spans="1:5" ht="14.25" customHeight="1">
      <c r="A15" s="41" t="s">
        <v>4293</v>
      </c>
      <c r="B15" s="10" t="s">
        <v>4294</v>
      </c>
      <c r="C15" s="10"/>
      <c r="E15" s="6" t="str">
        <f ca="1">IFERROR(__xludf.DUMMYFUNCTION("""COMPUTED_VALUE"""),"Wǒ xǐhuān diànnǎo, wǒ xiǎng dāng chéngxù yuán.")</f>
        <v>Wǒ xǐhuān diànnǎo, wǒ xiǎng dāng chéngxù yuán.</v>
      </c>
    </row>
    <row r="16" spans="1:5" ht="14.25" customHeight="1">
      <c r="A16" s="41" t="s">
        <v>4295</v>
      </c>
      <c r="B16" s="10" t="s">
        <v>4296</v>
      </c>
      <c r="C16" s="10"/>
      <c r="D16" s="10" t="s">
        <v>4297</v>
      </c>
      <c r="E16" s="6" t="str">
        <f ca="1">IFERROR(__xludf.DUMMYFUNCTION("""COMPUTED_VALUE"""),"Wǒ xiǎng dāng shòuyī, jiùsǐfúshāng.")</f>
        <v>Wǒ xiǎng dāng shòuyī, jiùsǐfúshāng.</v>
      </c>
    </row>
    <row r="17" spans="1:5" ht="14.25" customHeight="1">
      <c r="A17" s="41" t="s">
        <v>4298</v>
      </c>
      <c r="B17" s="10" t="s">
        <v>4299</v>
      </c>
      <c r="C17" s="10"/>
      <c r="E17" s="6" t="str">
        <f ca="1">IFERROR(__xludf.DUMMYFUNCTION("""COMPUTED_VALUE"""),"Wǒ xiǎng dāng yǔháng yuán, áoyóu tàikōng.")</f>
        <v>Wǒ xiǎng dāng yǔháng yuán, áoyóu tàikōng.</v>
      </c>
    </row>
    <row r="18" spans="1:5" ht="14.25" customHeight="1">
      <c r="A18" s="41" t="s">
        <v>4300</v>
      </c>
      <c r="B18" s="10" t="s">
        <v>4301</v>
      </c>
      <c r="C18" s="10"/>
      <c r="D18" s="10" t="s">
        <v>4302</v>
      </c>
      <c r="E18" s="5" t="str">
        <f ca="1">IFERROR(__xludf.DUMMYFUNCTION("""COMPUTED_VALUE"""),"Wǒ xiǎng dāng zhíyè lánqiú yùndòngyuán.")</f>
        <v>Wǒ xiǎng dāng zhíyè lánqiú yùndòngyuán.</v>
      </c>
    </row>
    <row r="19" spans="1:5" ht="14.25" customHeight="1">
      <c r="A19" s="41" t="s">
        <v>4303</v>
      </c>
      <c r="B19" s="10" t="s">
        <v>4304</v>
      </c>
      <c r="C19" s="10"/>
      <c r="E19" s="4" t="str">
        <f ca="1">IFERROR(__xludf.DUMMYFUNCTION("""COMPUTED_VALUE"""),"Wǒ xǐhuān jiǎng gùshì, wǒ xiǎng dàng zuòjiā.")</f>
        <v>Wǒ xǐhuān jiǎng gùshì, wǒ xiǎng dàng zuòjiā.</v>
      </c>
    </row>
    <row r="20" spans="1:5" ht="14.25" customHeight="1">
      <c r="A20" s="41" t="s">
        <v>4305</v>
      </c>
      <c r="B20" s="10" t="s">
        <v>4306</v>
      </c>
      <c r="C20" s="10"/>
      <c r="D20" s="10" t="s">
        <v>4307</v>
      </c>
      <c r="E20" s="5" t="str">
        <f ca="1">IFERROR(__xludf.DUMMYFUNCTION("""COMPUTED_VALUE"""),"Wǒ xiǎng dāng mótè.")</f>
        <v>Wǒ xiǎng dāng mótè.</v>
      </c>
    </row>
    <row r="21" spans="1:5" ht="14.25" customHeight="1">
      <c r="A21" s="41" t="s">
        <v>4308</v>
      </c>
      <c r="B21" s="10" t="s">
        <v>4309</v>
      </c>
      <c r="C21" s="10"/>
      <c r="E21" s="6" t="str">
        <f ca="1">IFERROR(__xludf.DUMMYFUNCTION("""COMPUTED_VALUE"""),"Wǒ xiǎng chéngwéi yī míng zhùmíng de YouTuber")</f>
        <v>Wǒ xiǎng chéngwéi yī míng zhùmíng de YouTuber</v>
      </c>
    </row>
    <row r="22" spans="1:5" ht="14.25" customHeight="1">
      <c r="A22" s="41" t="s">
        <v>4310</v>
      </c>
      <c r="B22" s="10" t="s">
        <v>4311</v>
      </c>
      <c r="C22" s="10"/>
      <c r="D22" s="10" t="s">
        <v>4312</v>
      </c>
      <c r="E22" s="6" t="str">
        <f ca="1">IFERROR(__xludf.DUMMYFUNCTION("""COMPUTED_VALUE"""),"wèile chénggōng, wǒ bìxū nǔlì xuéxí")</f>
        <v>wèile chénggōng, wǒ bìxū nǔlì xuéxí</v>
      </c>
    </row>
    <row r="23" spans="1:5" ht="14.25" customHeight="1">
      <c r="A23" s="41" t="s">
        <v>4313</v>
      </c>
      <c r="B23" s="10" t="s">
        <v>4314</v>
      </c>
      <c r="C23" s="10"/>
      <c r="E23" s="6" t="str">
        <f ca="1">IFERROR(__xludf.DUMMYFUNCTION("""COMPUTED_VALUE"""),"wǒ měitiān dū zài nǔlì")</f>
        <v>wǒ měitiān dū zài nǔlì</v>
      </c>
    </row>
    <row r="24" spans="1:5" ht="14.25" customHeight="1">
      <c r="A24" s="41" t="s">
        <v>4315</v>
      </c>
      <c r="B24" s="10" t="s">
        <v>4316</v>
      </c>
      <c r="C24" s="10"/>
      <c r="D24" s="10" t="s">
        <v>4317</v>
      </c>
      <c r="E24" s="6" t="str">
        <f ca="1">IFERROR(__xludf.DUMMYFUNCTION("""COMPUTED_VALUE"""),"wǒ bàba hěn qínláo")</f>
        <v>wǒ bàba hěn qínláo</v>
      </c>
    </row>
    <row r="25" spans="1:5" ht="14.25" customHeight="1">
      <c r="A25" s="41" t="s">
        <v>4318</v>
      </c>
      <c r="B25" s="10" t="s">
        <v>4319</v>
      </c>
      <c r="C25" s="10"/>
      <c r="E25" s="6" t="str">
        <f ca="1">IFERROR(__xludf.DUMMYFUNCTION("""COMPUTED_VALUE"""),"wǒ māmā shì yī wèi jìnzhí jìnzé de hùshì")</f>
        <v>wǒ māmā shì yī wèi jìnzhí jìnzé de hùshì</v>
      </c>
    </row>
    <row r="26" spans="1:5" ht="14.25" customHeight="1">
      <c r="A26" s="41" t="s">
        <v>4320</v>
      </c>
      <c r="B26" s="10" t="s">
        <v>4321</v>
      </c>
      <c r="C26" s="10"/>
      <c r="D26" s="10" t="s">
        <v>4322</v>
      </c>
      <c r="E26" s="6" t="str">
        <f ca="1">IFERROR(__xludf.DUMMYFUNCTION("""COMPUTED_VALUE"""),"wǒ xiǎng bāngzhù biérén")</f>
        <v>wǒ xiǎng bāngzhù biérén</v>
      </c>
    </row>
    <row r="27" spans="1:5" ht="14.25" customHeight="1">
      <c r="A27" s="41" t="s">
        <v>4323</v>
      </c>
      <c r="B27" s="10" t="s">
        <v>4324</v>
      </c>
      <c r="C27" s="10"/>
      <c r="E27" s="6" t="str">
        <f ca="1">IFERROR(__xludf.DUMMYFUNCTION("""COMPUTED_VALUE"""),"gōngzuò zhuànqián fēicháng zhòngyào")</f>
        <v>gōngzuò zhuànqián fēicháng zhòngyào</v>
      </c>
    </row>
    <row r="28" spans="1:5" ht="14.25" customHeight="1">
      <c r="A28" s="41" t="s">
        <v>4325</v>
      </c>
      <c r="B28" s="10" t="s">
        <v>4326</v>
      </c>
      <c r="C28" s="10"/>
      <c r="D28" s="10" t="s">
        <v>4327</v>
      </c>
      <c r="E28" s="6" t="str">
        <f ca="1">IFERROR(__xludf.DUMMYFUNCTION("""COMPUTED_VALUE"""),"wǒ xiǎng wèi wǒ de fùmǔ mǎi yī tào fángzǐ")</f>
        <v>wǒ xiǎng wèi wǒ de fùmǔ mǎi yī tào fángzǐ</v>
      </c>
    </row>
    <row r="29" spans="1:5" ht="14.25" customHeight="1">
      <c r="A29" s="41" t="s">
        <v>4328</v>
      </c>
      <c r="B29" s="10" t="s">
        <v>4329</v>
      </c>
      <c r="C29" s="10"/>
      <c r="E29" s="37" t="str">
        <f ca="1">IFERROR(__xludf.DUMMYFUNCTION("""COMPUTED_VALUE"""),"zhǒng shuǐdào de nóngmín fēicháng xīnkǔ")</f>
        <v>zhǒng shuǐdào de nóngmín fēicháng xīnkǔ</v>
      </c>
    </row>
    <row r="30" spans="1:5" ht="14.25" customHeight="1">
      <c r="A30" s="41" t="s">
        <v>4330</v>
      </c>
      <c r="B30" s="10" t="s">
        <v>4331</v>
      </c>
      <c r="C30" s="10"/>
      <c r="D30" s="10" t="s">
        <v>4332</v>
      </c>
      <c r="E30" s="6" t="str">
        <f ca="1">IFERROR(__xludf.DUMMYFUNCTION("""COMPUTED_VALUE"""),"wǒmen zūnzhòng suǒyǒu zhíyè")</f>
        <v>wǒmen zūnzhòng suǒyǒu zhíyè</v>
      </c>
    </row>
    <row r="31" spans="1:5" ht="14.25" customHeight="1">
      <c r="A31" s="41" t="s">
        <v>4333</v>
      </c>
      <c r="B31" s="10" t="s">
        <v>4334</v>
      </c>
      <c r="C31" s="10"/>
      <c r="E31" s="4" t="str">
        <f ca="1">IFERROR(__xludf.DUMMYFUNCTION("""COMPUTED_VALUE"""),"wǒ xiǎng chéngwéi yī míng dǎoyóu")</f>
        <v>wǒ xiǎng chéngwéi yī míng dǎoyóu</v>
      </c>
    </row>
    <row r="32" spans="1:5" ht="14.25" customHeight="1">
      <c r="A32" s="41" t="s">
        <v>4335</v>
      </c>
      <c r="B32" s="10" t="s">
        <v>4336</v>
      </c>
      <c r="C32" s="10"/>
      <c r="D32" s="10" t="s">
        <v>4337</v>
      </c>
      <c r="E32" s="4" t="str">
        <f ca="1">IFERROR(__xludf.DUMMYFUNCTION("""COMPUTED_VALUE"""),"wǒ huì dài nǐ yóulǎn yuènán")</f>
        <v>wǒ huì dài nǐ yóulǎn yuènán</v>
      </c>
    </row>
    <row r="33" spans="1:5" ht="14.25" customHeight="1">
      <c r="A33" s="41" t="s">
        <v>4338</v>
      </c>
      <c r="B33" s="10" t="s">
        <v>4339</v>
      </c>
      <c r="C33" s="10"/>
      <c r="E33" s="4" t="str">
        <f ca="1">IFERROR(__xludf.DUMMYFUNCTION("""COMPUTED_VALUE"""),"wǒ xiǎng chéngwéi yī míng lǐfǎ shī")</f>
        <v>wǒ xiǎng chéngwéi yī míng lǐfǎ shī</v>
      </c>
    </row>
    <row r="34" spans="1:5" ht="14.25" customHeight="1">
      <c r="A34" s="41" t="s">
        <v>4340</v>
      </c>
      <c r="B34" s="10" t="s">
        <v>4341</v>
      </c>
      <c r="C34" s="10"/>
      <c r="D34" s="10" t="s">
        <v>4342</v>
      </c>
      <c r="E34" s="4" t="str">
        <f ca="1">IFERROR(__xludf.DUMMYFUNCTION("""COMPUTED_VALUE"""),"wǒ xiǎng chéngwéi yī míng cáiféng, zhìzuò piàoliang de yīfú")</f>
        <v>wǒ xiǎng chéngwéi yī míng cáiféng, zhìzuò piàoliang de yīfú</v>
      </c>
    </row>
    <row r="35" spans="1:5" ht="14.25" customHeight="1">
      <c r="A35" s="41" t="s">
        <v>4343</v>
      </c>
      <c r="B35" s="10" t="s">
        <v>4344</v>
      </c>
      <c r="C35" s="10"/>
      <c r="E35" s="8" t="str">
        <f ca="1">IFERROR(__xludf.DUMMYFUNCTION("""COMPUTED_VALUE"""),"wǒ xǐhuān chéngwéi yī míng kēxuéjiā")</f>
        <v>wǒ xǐhuān chéngwéi yī míng kēxuéjiā</v>
      </c>
    </row>
    <row r="36" spans="1:5" ht="14.25" customHeight="1">
      <c r="A36" s="41" t="s">
        <v>4345</v>
      </c>
      <c r="B36" s="10" t="s">
        <v>4346</v>
      </c>
      <c r="C36" s="10"/>
      <c r="D36" s="10" t="s">
        <v>4347</v>
      </c>
      <c r="E36" s="5" t="str">
        <f ca="1">IFERROR(__xludf.DUMMYFUNCTION("""COMPUTED_VALUE"""),"wǒ huì zhìzào yīgè jīqìrén")</f>
        <v>wǒ huì zhìzào yīgè jīqìrén</v>
      </c>
    </row>
    <row r="37" spans="1:5" ht="14.25" customHeight="1">
      <c r="A37" s="41" t="s">
        <v>4348</v>
      </c>
      <c r="B37" s="10" t="s">
        <v>4349</v>
      </c>
      <c r="C37" s="10"/>
      <c r="E37" s="8" t="str">
        <f ca="1">IFERROR(__xludf.DUMMYFUNCTION("""COMPUTED_VALUE"""),"jīqìrén huì bāng wǒ zuò jiāwù")</f>
        <v>jīqìrén huì bāng wǒ zuò jiāwù</v>
      </c>
    </row>
    <row r="38" spans="1:5" ht="14.25" customHeight="1">
      <c r="A38" s="41" t="s">
        <v>4350</v>
      </c>
      <c r="B38" s="10" t="s">
        <v>4351</v>
      </c>
      <c r="C38" s="10"/>
      <c r="D38" s="10" t="s">
        <v>4352</v>
      </c>
      <c r="E38" s="5" t="str">
        <f ca="1">IFERROR(__xludf.DUMMYFUNCTION("""COMPUTED_VALUE"""),"wǒ xiǎng chéngwéi yī míng gōngzhèng de fǎguān")</f>
        <v>wǒ xiǎng chéngwéi yī míng gōngzhèng de fǎguān</v>
      </c>
    </row>
    <row r="39" spans="1:5" ht="14.25" customHeight="1">
      <c r="A39" s="41" t="s">
        <v>4353</v>
      </c>
      <c r="B39" s="10" t="s">
        <v>4354</v>
      </c>
      <c r="C39" s="10"/>
      <c r="E39" s="6" t="str">
        <f ca="1">IFERROR(__xludf.DUMMYFUNCTION("""COMPUTED_VALUE"""),"wǒ xiǎng chéngwéi yī míng lǜshī")</f>
        <v>wǒ xiǎng chéngwéi yī míng lǜshī</v>
      </c>
    </row>
    <row r="40" spans="1:5" ht="14.25" customHeight="1">
      <c r="A40" s="41" t="s">
        <v>4355</v>
      </c>
      <c r="B40" s="10" t="s">
        <v>4356</v>
      </c>
      <c r="C40" s="10"/>
      <c r="D40" s="52" t="s">
        <v>4357</v>
      </c>
      <c r="E40" s="6" t="str">
        <f ca="1">IFERROR(__xludf.DUMMYFUNCTION("""COMPUTED_VALUE"""),"wǒ xiǎng chéngwéi yī míng cáihuáhéngyì de shèyǐng shī")</f>
        <v>wǒ xiǎng chéngwéi yī míng cáihuáhéngyì de shèyǐng shī</v>
      </c>
    </row>
    <row r="41" spans="1:5" ht="14.25" customHeight="1">
      <c r="A41" s="41" t="s">
        <v>4358</v>
      </c>
      <c r="B41" s="10" t="s">
        <v>4359</v>
      </c>
      <c r="C41" s="10"/>
      <c r="D41" s="53"/>
      <c r="E41" s="5" t="str">
        <f ca="1">IFERROR(__xludf.DUMMYFUNCTION("""COMPUTED_VALUE"""),"wǒ huì pāishè xǔduō fēilǜbīn dì měilì zhàopiàn")</f>
        <v>wǒ huì pāishè xǔduō fēilǜbīn dì měilì zhàopiàn</v>
      </c>
    </row>
    <row r="42" spans="1:5" ht="14.25" customHeight="1">
      <c r="A42" s="41" t="s">
        <v>4360</v>
      </c>
      <c r="B42" s="10" t="s">
        <v>4361</v>
      </c>
      <c r="C42" s="10"/>
      <c r="D42" s="52" t="s">
        <v>4362</v>
      </c>
      <c r="E42" s="4" t="str">
        <f ca="1">IFERROR(__xludf.DUMMYFUNCTION("""COMPUTED_VALUE"""),"wǒ de péngyǒu xiǎng chéngwéi yī míng diàngōng")</f>
        <v>wǒ de péngyǒu xiǎng chéngwéi yī míng diàngōng</v>
      </c>
    </row>
    <row r="43" spans="1:5" ht="14.25" customHeight="1">
      <c r="A43" s="41" t="s">
        <v>4363</v>
      </c>
      <c r="B43" s="10" t="s">
        <v>4364</v>
      </c>
      <c r="C43" s="10"/>
      <c r="D43" s="53"/>
      <c r="E43" s="5" t="str">
        <f ca="1">IFERROR(__xludf.DUMMYFUNCTION("""COMPUTED_VALUE"""),"jípǔ ní sījī hěn yōumò")</f>
        <v>jípǔ ní sījī hěn yōumò</v>
      </c>
    </row>
    <row r="44" spans="1:5" ht="14.25" customHeight="1">
      <c r="A44" s="41" t="s">
        <v>4365</v>
      </c>
      <c r="B44" s="10" t="s">
        <v>4366</v>
      </c>
      <c r="C44" s="10"/>
      <c r="D44" s="52" t="s">
        <v>4367</v>
      </c>
      <c r="E44" s="4" t="str">
        <f ca="1">IFERROR(__xludf.DUMMYFUNCTION("""COMPUTED_VALUE"""),"wǒ xiǎng yǒngyǒu yījiā tángguǒ diàn")</f>
        <v>wǒ xiǎng yǒngyǒu yījiā tángguǒ diàn</v>
      </c>
    </row>
    <row r="45" spans="1:5" ht="14.25" customHeight="1">
      <c r="A45" s="41" t="s">
        <v>4368</v>
      </c>
      <c r="B45" s="10" t="s">
        <v>4369</v>
      </c>
      <c r="C45" s="10"/>
      <c r="D45" s="53"/>
      <c r="E45" s="5" t="str">
        <f ca="1">IFERROR(__xludf.DUMMYFUNCTION("""COMPUTED_VALUE"""),"wǒ huì gěi wǒ de péngyǒumen miǎnfèi de shíwù")</f>
        <v>wǒ huì gěi wǒ de péngyǒumen miǎnfèi de shíwù</v>
      </c>
    </row>
    <row r="46" spans="1:5" ht="14.25" customHeight="1">
      <c r="A46" s="41" t="s">
        <v>4370</v>
      </c>
      <c r="B46" s="10" t="s">
        <v>4371</v>
      </c>
      <c r="C46" s="10"/>
      <c r="D46" s="52" t="s">
        <v>4372</v>
      </c>
      <c r="E46" s="4" t="str">
        <f ca="1">IFERROR(__xludf.DUMMYFUNCTION("""COMPUTED_VALUE"""),"měi gè zhíyè dōu yǒu qí zìshēn de yōushì")</f>
        <v>měi gè zhíyè dōu yǒu qí zìshēn de yōushì</v>
      </c>
    </row>
    <row r="47" spans="1:5" ht="14.25" customHeight="1">
      <c r="A47" s="41" t="s">
        <v>4373</v>
      </c>
      <c r="B47" s="10" t="s">
        <v>4374</v>
      </c>
      <c r="C47" s="10"/>
      <c r="D47" s="53"/>
      <c r="E47" s="4" t="str">
        <f ca="1">IFERROR(__xludf.DUMMYFUNCTION("""COMPUTED_VALUE"""),"wǒ yǒngyuǎn bù huì fàngqì wǒ de mèngxiǎng")</f>
        <v>wǒ yǒngyuǎn bù huì fàngqì wǒ de mèngxiǎng</v>
      </c>
    </row>
    <row r="48" spans="1:5" ht="14.25" customHeight="1">
      <c r="A48" s="41" t="s">
        <v>4375</v>
      </c>
      <c r="B48" s="10" t="s">
        <v>4376</v>
      </c>
      <c r="C48" s="10"/>
      <c r="D48" s="52" t="s">
        <v>4377</v>
      </c>
      <c r="E48" s="4" t="str">
        <f ca="1">IFERROR(__xludf.DUMMYFUNCTION("""COMPUTED_VALUE"""),"nǐ xiāngxìn wǒ ma? ")</f>
        <v xml:space="preserve">nǐ xiāngxìn wǒ ma? </v>
      </c>
    </row>
    <row r="49" spans="1:5" ht="14.25" customHeight="1">
      <c r="A49" s="41" t="s">
        <v>4378</v>
      </c>
      <c r="B49" s="10" t="s">
        <v>4379</v>
      </c>
      <c r="C49" s="10"/>
      <c r="D49" s="53"/>
      <c r="E49" s="5" t="str">
        <f ca="1">IFERROR(__xludf.DUMMYFUNCTION("""COMPUTED_VALUE"""),"Wǒ huì ràng nǐ gǎndào jiāo'ào de, shūshu.")</f>
        <v>Wǒ huì ràng nǐ gǎndào jiāo'ào de, shūshu.</v>
      </c>
    </row>
    <row r="50" spans="1:5" ht="14.25" customHeight="1">
      <c r="A50" s="41" t="s">
        <v>4380</v>
      </c>
      <c r="B50" s="10" t="s">
        <v>4381</v>
      </c>
      <c r="C50" s="10"/>
      <c r="D50" s="52" t="s">
        <v>4382</v>
      </c>
      <c r="E50" s="6" t="str">
        <f ca="1">IFERROR(__xludf.DUMMYFUNCTION("""COMPUTED_VALUE"""),"Wǒ de mèngxiǎng yīdìng huì shíxiàn. ")</f>
        <v xml:space="preserve">Wǒ de mèngxiǎng yīdìng huì shíxiàn. </v>
      </c>
    </row>
    <row r="51" spans="1:5" ht="14.25" customHeight="1">
      <c r="A51" s="41" t="s">
        <v>4383</v>
      </c>
      <c r="B51" s="10" t="s">
        <v>4384</v>
      </c>
      <c r="C51" s="10"/>
      <c r="D51" s="53"/>
      <c r="E51" s="6" t="str">
        <f ca="1">IFERROR(__xludf.DUMMYFUNCTION("""COMPUTED_VALUE"""),"Wǒ ài suǒyǒu rén.")</f>
        <v>Wǒ ài suǒyǒu rén.</v>
      </c>
    </row>
    <row r="52" spans="1:5" ht="14.25" customHeight="1">
      <c r="A52" s="42"/>
      <c r="B52" s="10"/>
      <c r="C52" s="10"/>
      <c r="D52" s="52" t="s">
        <v>4385</v>
      </c>
    </row>
    <row r="53" spans="1:5" ht="14.25" customHeight="1">
      <c r="A53" s="42"/>
      <c r="B53" s="10"/>
      <c r="C53" s="10"/>
      <c r="D53" s="53"/>
      <c r="E53" s="5"/>
    </row>
    <row r="54" spans="1:5" ht="14.25" customHeight="1">
      <c r="A54" s="42"/>
      <c r="B54" s="10"/>
      <c r="C54" s="10"/>
      <c r="D54" s="52" t="s">
        <v>4386</v>
      </c>
      <c r="E54" s="5"/>
    </row>
    <row r="55" spans="1:5" ht="14.25" customHeight="1">
      <c r="A55" s="42"/>
      <c r="B55" s="10"/>
      <c r="C55" s="10"/>
      <c r="D55" s="53"/>
      <c r="E55" s="5"/>
    </row>
    <row r="56" spans="1:5" ht="14.25" customHeight="1">
      <c r="A56" s="42"/>
      <c r="B56" s="10"/>
      <c r="C56" s="10"/>
      <c r="D56" s="52" t="s">
        <v>4387</v>
      </c>
      <c r="E56" s="5"/>
    </row>
    <row r="57" spans="1:5" ht="14.25" customHeight="1">
      <c r="A57" s="42"/>
      <c r="B57" s="10"/>
      <c r="C57" s="10"/>
      <c r="D57" s="53"/>
      <c r="E57" s="5"/>
    </row>
    <row r="58" spans="1:5" ht="14.25" customHeight="1">
      <c r="A58" s="42"/>
      <c r="B58" s="10"/>
      <c r="C58" s="10"/>
      <c r="D58" s="52" t="s">
        <v>4388</v>
      </c>
      <c r="E58" s="5"/>
    </row>
    <row r="59" spans="1:5" ht="14.25" customHeight="1">
      <c r="A59" s="42"/>
      <c r="B59" s="10"/>
      <c r="C59" s="10"/>
      <c r="D59" s="53"/>
    </row>
    <row r="60" spans="1:5" ht="14.25" customHeight="1">
      <c r="A60" s="42"/>
      <c r="B60" s="10"/>
      <c r="C60" s="10"/>
      <c r="D60" s="52" t="s">
        <v>4389</v>
      </c>
      <c r="E60" s="5"/>
    </row>
    <row r="61" spans="1:5" ht="14.25" customHeight="1">
      <c r="A61" s="42"/>
      <c r="B61" s="10"/>
      <c r="C61" s="10"/>
      <c r="D61" s="53"/>
      <c r="E61" s="5"/>
    </row>
    <row r="62" spans="1:5" ht="14.25" customHeight="1">
      <c r="A62" s="42"/>
      <c r="B62" s="10"/>
      <c r="C62" s="10"/>
      <c r="D62" s="52" t="s">
        <v>4390</v>
      </c>
      <c r="E62" s="5"/>
    </row>
    <row r="63" spans="1:5" ht="14.25" customHeight="1">
      <c r="A63" s="42"/>
      <c r="B63" s="10"/>
      <c r="C63" s="10"/>
      <c r="D63" s="53"/>
      <c r="E63" s="5"/>
    </row>
    <row r="64" spans="1:5" ht="14.25" customHeight="1">
      <c r="A64" s="42"/>
      <c r="B64" s="10"/>
      <c r="C64" s="10"/>
      <c r="D64" s="52" t="s">
        <v>4391</v>
      </c>
      <c r="E64" s="5"/>
    </row>
    <row r="65" spans="1:5" ht="14.25" customHeight="1">
      <c r="A65" s="42"/>
      <c r="B65" s="10"/>
      <c r="C65" s="10"/>
      <c r="D65" s="53"/>
      <c r="E65" s="5"/>
    </row>
    <row r="66" spans="1:5" ht="14.25" customHeight="1">
      <c r="A66" s="42"/>
      <c r="B66" s="10"/>
      <c r="C66" s="10"/>
      <c r="D66" s="52" t="s">
        <v>4392</v>
      </c>
      <c r="E66" s="5"/>
    </row>
    <row r="67" spans="1:5" ht="14.25" customHeight="1">
      <c r="A67" s="42"/>
      <c r="B67" s="10"/>
      <c r="C67" s="10"/>
      <c r="D67" s="53"/>
      <c r="E67" s="5"/>
    </row>
    <row r="68" spans="1:5" ht="14.25" customHeight="1">
      <c r="A68" s="42"/>
      <c r="B68" s="10"/>
      <c r="C68" s="10"/>
      <c r="D68" s="52" t="s">
        <v>4393</v>
      </c>
      <c r="E68" s="5"/>
    </row>
    <row r="69" spans="1:5" ht="14.25" customHeight="1">
      <c r="A69" s="42"/>
      <c r="B69" s="10"/>
      <c r="C69" s="10"/>
      <c r="D69" s="53"/>
      <c r="E69" s="5"/>
    </row>
    <row r="70" spans="1:5" ht="14.25" customHeight="1">
      <c r="A70" s="42"/>
      <c r="B70" s="10"/>
      <c r="C70" s="10"/>
      <c r="D70" s="52" t="s">
        <v>4394</v>
      </c>
      <c r="E70" s="5"/>
    </row>
    <row r="71" spans="1:5" ht="14.25" customHeight="1">
      <c r="A71" s="42"/>
      <c r="B71" s="10"/>
      <c r="C71" s="10"/>
      <c r="D71" s="53"/>
      <c r="E71" s="5"/>
    </row>
    <row r="72" spans="1:5" ht="14.25" customHeight="1">
      <c r="A72" s="42"/>
      <c r="B72" s="10"/>
      <c r="C72" s="10"/>
      <c r="D72" s="52" t="s">
        <v>4395</v>
      </c>
      <c r="E72" s="5"/>
    </row>
    <row r="73" spans="1:5" ht="14.25" customHeight="1">
      <c r="A73" s="42"/>
      <c r="B73" s="10"/>
      <c r="C73" s="10"/>
      <c r="D73" s="53"/>
      <c r="E73" s="5"/>
    </row>
    <row r="74" spans="1:5" ht="14.25" customHeight="1">
      <c r="A74" s="42"/>
      <c r="B74" s="10"/>
      <c r="C74" s="10"/>
      <c r="D74" s="52" t="s">
        <v>4396</v>
      </c>
      <c r="E74" s="5"/>
    </row>
    <row r="75" spans="1:5" ht="14.25" customHeight="1">
      <c r="A75" s="42"/>
      <c r="B75" s="10"/>
      <c r="C75" s="10"/>
      <c r="D75" s="53"/>
      <c r="E75" s="5"/>
    </row>
    <row r="76" spans="1:5" ht="14.25" customHeight="1">
      <c r="A76" s="42"/>
      <c r="B76" s="10"/>
      <c r="C76" s="10"/>
      <c r="D76" s="52" t="s">
        <v>4397</v>
      </c>
      <c r="E76" s="5"/>
    </row>
    <row r="77" spans="1:5" ht="14.25" customHeight="1">
      <c r="A77" s="42"/>
      <c r="B77" s="10"/>
      <c r="C77" s="10"/>
      <c r="D77" s="53"/>
      <c r="E77" s="5"/>
    </row>
    <row r="78" spans="1:5" ht="14.25" customHeight="1">
      <c r="A78" s="42"/>
      <c r="B78" s="10"/>
      <c r="C78" s="10"/>
      <c r="D78" s="52" t="s">
        <v>4398</v>
      </c>
      <c r="E78" s="5"/>
    </row>
    <row r="79" spans="1:5" ht="14.25" customHeight="1">
      <c r="A79" s="42"/>
      <c r="B79" s="10"/>
      <c r="C79" s="10"/>
      <c r="D79" s="53"/>
      <c r="E79" s="5"/>
    </row>
    <row r="80" spans="1:5" ht="14.25" customHeight="1">
      <c r="A80" s="42"/>
      <c r="B80" s="10"/>
      <c r="C80" s="10"/>
      <c r="D80" s="52" t="s">
        <v>4399</v>
      </c>
      <c r="E80" s="5"/>
    </row>
    <row r="81" spans="1:5" ht="14.25" customHeight="1">
      <c r="A81" s="42"/>
      <c r="B81" s="10"/>
      <c r="C81" s="10"/>
      <c r="D81" s="53"/>
      <c r="E81" s="5"/>
    </row>
    <row r="82" spans="1:5" ht="14.25" customHeight="1">
      <c r="A82" s="42"/>
      <c r="B82" s="10"/>
      <c r="C82" s="10"/>
      <c r="D82" s="52" t="s">
        <v>4400</v>
      </c>
      <c r="E82" s="5"/>
    </row>
    <row r="83" spans="1:5" ht="14.25" customHeight="1">
      <c r="A83" s="42"/>
      <c r="B83" s="10"/>
      <c r="C83" s="10"/>
      <c r="D83" s="53"/>
      <c r="E83" s="5"/>
    </row>
    <row r="84" spans="1:5" ht="14.25" customHeight="1">
      <c r="A84" s="42"/>
      <c r="B84" s="10"/>
      <c r="C84" s="10"/>
      <c r="D84" s="52" t="s">
        <v>4401</v>
      </c>
      <c r="E84" s="5"/>
    </row>
    <row r="85" spans="1:5" ht="14.25" customHeight="1">
      <c r="A85" s="42"/>
      <c r="B85" s="10"/>
      <c r="C85" s="10"/>
      <c r="D85" s="53"/>
      <c r="E85" s="5"/>
    </row>
    <row r="86" spans="1:5" ht="14.25" customHeight="1">
      <c r="A86" s="42"/>
      <c r="B86" s="10"/>
      <c r="C86" s="10"/>
      <c r="D86" s="52" t="s">
        <v>4402</v>
      </c>
      <c r="E86" s="5"/>
    </row>
    <row r="87" spans="1:5" ht="14.25" customHeight="1">
      <c r="A87" s="42"/>
      <c r="B87" s="10"/>
      <c r="C87" s="10"/>
      <c r="D87" s="53"/>
      <c r="E87" s="5"/>
    </row>
    <row r="88" spans="1:5" ht="14.25" customHeight="1">
      <c r="A88" s="42"/>
      <c r="B88" s="10"/>
      <c r="C88" s="10"/>
      <c r="D88" s="52" t="s">
        <v>4403</v>
      </c>
      <c r="E88" s="5"/>
    </row>
    <row r="89" spans="1:5" ht="14.25" customHeight="1">
      <c r="A89" s="42"/>
      <c r="B89" s="10"/>
      <c r="C89" s="10"/>
      <c r="D89" s="53"/>
      <c r="E89" s="5"/>
    </row>
    <row r="90" spans="1:5" ht="14.25" customHeight="1">
      <c r="A90" s="42"/>
      <c r="B90" s="10"/>
      <c r="C90" s="10"/>
      <c r="D90" s="52" t="s">
        <v>4404</v>
      </c>
      <c r="E90" s="5"/>
    </row>
    <row r="91" spans="1:5" ht="14.25" customHeight="1">
      <c r="A91" s="42"/>
      <c r="B91" s="10"/>
      <c r="C91" s="10"/>
      <c r="D91" s="53"/>
      <c r="E91" s="5"/>
    </row>
    <row r="92" spans="1:5" ht="14.25" customHeight="1">
      <c r="A92" s="42"/>
      <c r="B92" s="10"/>
      <c r="C92" s="10"/>
      <c r="D92" s="52" t="s">
        <v>4405</v>
      </c>
      <c r="E92" s="5"/>
    </row>
    <row r="93" spans="1:5" ht="14.25" customHeight="1">
      <c r="A93" s="42"/>
      <c r="B93" s="10"/>
      <c r="C93" s="10"/>
      <c r="D93" s="53"/>
      <c r="E93" s="5"/>
    </row>
    <row r="94" spans="1:5" ht="14.25" customHeight="1">
      <c r="A94" s="42"/>
      <c r="B94" s="10"/>
      <c r="C94" s="10"/>
      <c r="D94" s="52" t="s">
        <v>4406</v>
      </c>
      <c r="E94" s="5"/>
    </row>
    <row r="95" spans="1:5" ht="14.25" customHeight="1">
      <c r="A95" s="42"/>
      <c r="B95" s="10"/>
      <c r="C95" s="10"/>
      <c r="D95" s="52" t="s">
        <v>4407</v>
      </c>
      <c r="E95" s="5"/>
    </row>
    <row r="96" spans="1:5" ht="14.25" customHeight="1">
      <c r="A96" s="42"/>
      <c r="B96" s="10"/>
      <c r="C96" s="10"/>
      <c r="D96" s="52" t="s">
        <v>4408</v>
      </c>
      <c r="E96" s="5"/>
    </row>
    <row r="97" spans="1:5" ht="14.25" customHeight="1">
      <c r="A97" s="42"/>
      <c r="B97" s="10"/>
      <c r="C97" s="10"/>
      <c r="D97" s="10" t="s">
        <v>4409</v>
      </c>
      <c r="E97" s="5"/>
    </row>
    <row r="98" spans="1:5" ht="14.25" customHeight="1">
      <c r="A98" s="42"/>
      <c r="B98" s="10"/>
      <c r="C98" s="10"/>
      <c r="E98" s="5"/>
    </row>
  </sheetData>
  <pageMargins left="0.75" right="0.75" top="1" bottom="1"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2" width="55.88671875" customWidth="1"/>
    <col min="3" max="3" width="28" customWidth="1"/>
    <col min="4" max="4" width="55.88671875" customWidth="1"/>
    <col min="5" max="5" width="56.88671875" customWidth="1"/>
  </cols>
  <sheetData>
    <row r="1" spans="1:5" ht="14.25" customHeight="1">
      <c r="A1" s="12" t="s">
        <v>4410</v>
      </c>
      <c r="E1" s="2"/>
    </row>
    <row r="2" spans="1:5" ht="14.25" customHeight="1">
      <c r="A2" s="41" t="s">
        <v>4411</v>
      </c>
      <c r="B2" s="43" t="s">
        <v>223</v>
      </c>
      <c r="C2" s="46"/>
      <c r="D2" s="46" t="s">
        <v>4412</v>
      </c>
      <c r="E2" s="5" t="str">
        <f ca="1">IFERROR(__xludf.DUMMYFUNCTION("FILTER(D1:D1002,D1:D1002&lt;&gt; """")"),"Qǐngwèn, xǐshǒujiān zài nǎlǐ?")</f>
        <v>Qǐngwèn, xǐshǒujiān zài nǎlǐ?</v>
      </c>
    </row>
    <row r="3" spans="1:5" ht="14.25" customHeight="1">
      <c r="A3" s="41" t="s">
        <v>4413</v>
      </c>
      <c r="B3" s="43" t="s">
        <v>4414</v>
      </c>
      <c r="C3" s="46"/>
      <c r="D3" s="46"/>
      <c r="E3" s="6" t="str">
        <f ca="1">IFERROR(__xludf.DUMMYFUNCTION("""COMPUTED_VALUE"""),"Yánzhe zhè tiáo lù yīzhí zǒu jiùshì ma?")</f>
        <v>Yánzhe zhè tiáo lù yīzhí zǒu jiùshì ma?</v>
      </c>
    </row>
    <row r="4" spans="1:5" ht="14.25" customHeight="1">
      <c r="A4" s="41" t="s">
        <v>4415</v>
      </c>
      <c r="B4" s="43" t="s">
        <v>4416</v>
      </c>
      <c r="C4" s="46"/>
      <c r="D4" s="46" t="s">
        <v>4417</v>
      </c>
      <c r="E4" s="5" t="str">
        <f ca="1">IFERROR(__xludf.DUMMYFUNCTION("""COMPUTED_VALUE"""),"Zài guǎijiǎo chù zuǒ zhuǎn.")</f>
        <v>Zài guǎijiǎo chù zuǒ zhuǎn.</v>
      </c>
    </row>
    <row r="5" spans="1:5" ht="14.25" customHeight="1">
      <c r="A5" s="41" t="s">
        <v>4418</v>
      </c>
      <c r="B5" s="43" t="s">
        <v>4419</v>
      </c>
      <c r="C5" s="46"/>
      <c r="D5" s="46"/>
      <c r="E5" s="5" t="str">
        <f ca="1">IFERROR(__xludf.DUMMYFUNCTION("""COMPUTED_VALUE"""),"Zài hónglǜdēng chù yòu zhuǎn.")</f>
        <v>Zài hónglǜdēng chù yòu zhuǎn.</v>
      </c>
    </row>
    <row r="6" spans="1:5" ht="14.25" customHeight="1">
      <c r="A6" s="41" t="s">
        <v>4420</v>
      </c>
      <c r="B6" s="43" t="s">
        <v>4421</v>
      </c>
      <c r="C6" s="46"/>
      <c r="D6" s="46" t="s">
        <v>4422</v>
      </c>
      <c r="E6" s="5" t="str">
        <f ca="1">IFERROR(__xludf.DUMMYFUNCTION("""COMPUTED_VALUE"""),"Jiù zài nà biān.")</f>
        <v>Jiù zài nà biān.</v>
      </c>
    </row>
    <row r="7" spans="1:5" ht="14.25" customHeight="1">
      <c r="A7" s="41" t="s">
        <v>4423</v>
      </c>
      <c r="B7" s="43" t="s">
        <v>4424</v>
      </c>
      <c r="C7" s="46"/>
      <c r="D7" s="46"/>
      <c r="E7" s="5" t="str">
        <f ca="1">IFERROR(__xludf.DUMMYFUNCTION("""COMPUTED_VALUE"""),"Jiù zài fùjìn.")</f>
        <v>Jiù zài fùjìn.</v>
      </c>
    </row>
    <row r="8" spans="1:5" ht="14.25" customHeight="1">
      <c r="A8" s="41" t="s">
        <v>4425</v>
      </c>
      <c r="B8" s="41" t="s">
        <v>4426</v>
      </c>
      <c r="C8" s="42"/>
      <c r="D8" s="42" t="s">
        <v>4427</v>
      </c>
      <c r="E8" s="5" t="str">
        <f ca="1">IFERROR(__xludf.DUMMYFUNCTION("""COMPUTED_VALUE"""),"Hěn yuǎn.")</f>
        <v>Hěn yuǎn.</v>
      </c>
    </row>
    <row r="9" spans="1:5" ht="14.25" customHeight="1">
      <c r="A9" s="41" t="s">
        <v>4428</v>
      </c>
      <c r="B9" s="41" t="s">
        <v>4429</v>
      </c>
      <c r="C9" s="42"/>
      <c r="D9" s="42"/>
      <c r="E9" s="5" t="str">
        <f ca="1">IFERROR(__xludf.DUMMYFUNCTION("""COMPUTED_VALUE"""),"Shì zài fǎn fāngxiàng ma?")</f>
        <v>Shì zài fǎn fāngxiàng ma?</v>
      </c>
    </row>
    <row r="10" spans="1:5" ht="14.25" customHeight="1">
      <c r="A10" s="41" t="s">
        <v>4430</v>
      </c>
      <c r="B10" s="43" t="s">
        <v>4431</v>
      </c>
      <c r="C10" s="46"/>
      <c r="D10" s="46" t="s">
        <v>4432</v>
      </c>
      <c r="E10" s="5" t="str">
        <f ca="1">IFERROR(__xludf.DUMMYFUNCTION("""COMPUTED_VALUE"""),"Zhège zài zhuōzǐ shàng.")</f>
        <v>Zhège zài zhuōzǐ shàng.</v>
      </c>
    </row>
    <row r="11" spans="1:5" ht="14.25" customHeight="1">
      <c r="A11" s="41" t="s">
        <v>4433</v>
      </c>
      <c r="B11" s="43" t="s">
        <v>4434</v>
      </c>
      <c r="C11" s="46"/>
      <c r="D11" s="46"/>
      <c r="E11" s="5" t="str">
        <f ca="1">IFERROR(__xludf.DUMMYFUNCTION("""COMPUTED_VALUE"""),"Nàgè zài yǐzǐ xiàmiàn.")</f>
        <v>Nàgè zài yǐzǐ xiàmiàn.</v>
      </c>
    </row>
    <row r="12" spans="1:5" ht="14.25" customHeight="1">
      <c r="A12" s="41" t="s">
        <v>4435</v>
      </c>
      <c r="B12" s="43" t="s">
        <v>4436</v>
      </c>
      <c r="C12" s="46"/>
      <c r="D12" s="46" t="s">
        <v>344</v>
      </c>
      <c r="E12" s="6" t="str">
        <f ca="1">IFERROR(__xludf.DUMMYFUNCTION("""COMPUTED_VALUE"""),"Wǒ zhàn zài mén qián.")</f>
        <v>Wǒ zhàn zài mén qián.</v>
      </c>
    </row>
    <row r="13" spans="1:5" ht="14.25" customHeight="1">
      <c r="A13" s="41" t="s">
        <v>4437</v>
      </c>
      <c r="B13" s="43" t="s">
        <v>4438</v>
      </c>
      <c r="C13" s="46"/>
      <c r="D13" s="46"/>
      <c r="E13" s="6" t="str">
        <f ca="1">IFERROR(__xludf.DUMMYFUNCTION("""COMPUTED_VALUE"""),"Tā duǒ zài shù hòumiàn.")</f>
        <v>Tā duǒ zài shù hòumiàn.</v>
      </c>
    </row>
    <row r="14" spans="1:5" ht="14.25" customHeight="1">
      <c r="A14" s="41" t="s">
        <v>4439</v>
      </c>
      <c r="B14" s="43" t="s">
        <v>4440</v>
      </c>
      <c r="C14" s="46"/>
      <c r="D14" s="46" t="s">
        <v>4441</v>
      </c>
      <c r="E14" s="6" t="str">
        <f ca="1">IFERROR(__xludf.DUMMYFUNCTION("""COMPUTED_VALUE"""),"Bǎ tā fàng zài liǎng gè xiāngzǐ zhōngjiān.")</f>
        <v>Bǎ tā fàng zài liǎng gè xiāngzǐ zhōngjiān.</v>
      </c>
    </row>
    <row r="15" spans="1:5" ht="14.25" customHeight="1">
      <c r="A15" s="41" t="s">
        <v>4442</v>
      </c>
      <c r="B15" s="43" t="s">
        <v>4443</v>
      </c>
      <c r="C15" s="46"/>
      <c r="D15" s="46"/>
      <c r="E15" s="6" t="str">
        <f ca="1">IFERROR(__xludf.DUMMYFUNCTION("""COMPUTED_VALUE"""),"Yínháng zài chāoshì pángbiān.")</f>
        <v>Yínháng zài chāoshì pángbiān.</v>
      </c>
    </row>
    <row r="16" spans="1:5" ht="14.25" customHeight="1">
      <c r="A16" s="41" t="s">
        <v>4444</v>
      </c>
      <c r="B16" s="43" t="s">
        <v>4445</v>
      </c>
      <c r="C16" s="46"/>
      <c r="D16" s="46" t="s">
        <v>4446</v>
      </c>
      <c r="E16" s="6" t="str">
        <f ca="1">IFERROR(__xludf.DUMMYFUNCTION("""COMPUTED_VALUE"""),"Wǒ zài wū li.")</f>
        <v>Wǒ zài wū li.</v>
      </c>
    </row>
    <row r="17" spans="1:5" ht="14.25" customHeight="1">
      <c r="A17" s="41" t="s">
        <v>4447</v>
      </c>
      <c r="B17" s="43" t="s">
        <v>4448</v>
      </c>
      <c r="C17" s="46"/>
      <c r="D17" s="46"/>
      <c r="E17" s="6" t="str">
        <f ca="1">IFERROR(__xludf.DUMMYFUNCTION("""COMPUTED_VALUE"""),"Bié pǎo chūqù, xià yǔle.")</f>
        <v>Bié pǎo chūqù, xià yǔle.</v>
      </c>
    </row>
    <row r="18" spans="1:5" ht="14.25" customHeight="1">
      <c r="A18" s="41" t="s">
        <v>4449</v>
      </c>
      <c r="B18" s="43" t="s">
        <v>4450</v>
      </c>
      <c r="C18" s="46"/>
      <c r="D18" s="46" t="s">
        <v>4451</v>
      </c>
      <c r="E18" s="5" t="str">
        <f ca="1">IFERROR(__xludf.DUMMYFUNCTION("""COMPUTED_VALUE"""),"Shàng lóu qù.")</f>
        <v>Shàng lóu qù.</v>
      </c>
    </row>
    <row r="19" spans="1:5" ht="14.25" customHeight="1">
      <c r="A19" s="41" t="s">
        <v>4452</v>
      </c>
      <c r="B19" s="43" t="s">
        <v>4453</v>
      </c>
      <c r="C19" s="46"/>
      <c r="D19" s="46"/>
      <c r="E19" s="4" t="str">
        <f ca="1">IFERROR(__xludf.DUMMYFUNCTION("""COMPUTED_VALUE"""),"Xià lóu qù.")</f>
        <v>Xià lóu qù.</v>
      </c>
    </row>
    <row r="20" spans="1:5" ht="14.25" customHeight="1">
      <c r="A20" s="41" t="s">
        <v>4454</v>
      </c>
      <c r="B20" s="43" t="s">
        <v>4455</v>
      </c>
      <c r="C20" s="46"/>
      <c r="D20" s="46" t="s">
        <v>4456</v>
      </c>
      <c r="E20" s="5" t="str">
        <f ca="1">IFERROR(__xludf.DUMMYFUNCTION("""COMPUTED_VALUE"""),"Běi zài nǎlǐ?")</f>
        <v>Běi zài nǎlǐ?</v>
      </c>
    </row>
    <row r="21" spans="1:5" ht="14.25" customHeight="1">
      <c r="A21" s="41" t="s">
        <v>4457</v>
      </c>
      <c r="B21" s="43" t="s">
        <v>4458</v>
      </c>
      <c r="C21" s="46"/>
      <c r="D21" s="46"/>
      <c r="E21" s="6" t="str">
        <f ca="1">IFERROR(__xludf.DUMMYFUNCTION("""COMPUTED_VALUE"""),"Nán zài zhège fāngxiàng.")</f>
        <v>Nán zài zhège fāngxiàng.</v>
      </c>
    </row>
    <row r="22" spans="1:5" ht="14.25" customHeight="1">
      <c r="A22" s="41" t="s">
        <v>4459</v>
      </c>
      <c r="B22" s="43" t="s">
        <v>4460</v>
      </c>
      <c r="C22" s="46"/>
      <c r="D22" s="46" t="s">
        <v>4461</v>
      </c>
      <c r="E22" s="6" t="str">
        <f ca="1">IFERROR(__xludf.DUMMYFUNCTION("""COMPUTED_VALUE"""),"Tàiyáng cóng dōngbian shēng qǐ.")</f>
        <v>Tàiyáng cóng dōngbian shēng qǐ.</v>
      </c>
    </row>
    <row r="23" spans="1:5" ht="14.25" customHeight="1">
      <c r="A23" s="41" t="s">
        <v>4462</v>
      </c>
      <c r="B23" s="43" t="s">
        <v>4463</v>
      </c>
      <c r="C23" s="46"/>
      <c r="D23" s="46"/>
      <c r="E23" s="6" t="str">
        <f ca="1">IFERROR(__xludf.DUMMYFUNCTION("""COMPUTED_VALUE"""),"Tàiyáng cóng xībian luòxià.")</f>
        <v>Tàiyáng cóng xībian luòxià.</v>
      </c>
    </row>
    <row r="24" spans="1:5" ht="14.25" customHeight="1">
      <c r="A24" s="41" t="s">
        <v>4464</v>
      </c>
      <c r="B24" s="43" t="s">
        <v>4465</v>
      </c>
      <c r="C24" s="46"/>
      <c r="D24" s="46" t="s">
        <v>4466</v>
      </c>
      <c r="E24" s="6" t="str">
        <f ca="1">IFERROR(__xludf.DUMMYFUNCTION("""COMPUTED_VALUE"""),"Xuéxiào zài gōngyuán duìmiàn.")</f>
        <v>Xuéxiào zài gōngyuán duìmiàn.</v>
      </c>
    </row>
    <row r="25" spans="1:5" ht="14.25" customHeight="1">
      <c r="A25" s="41" t="s">
        <v>325</v>
      </c>
      <c r="B25" s="43" t="s">
        <v>326</v>
      </c>
      <c r="C25" s="46"/>
      <c r="D25" s="46"/>
      <c r="E25" s="6" t="str">
        <f ca="1">IFERROR(__xludf.DUMMYFUNCTION("""COMPUTED_VALUE"""),"Wǒ mílùle.")</f>
        <v>Wǒ mílùle.</v>
      </c>
    </row>
    <row r="26" spans="1:5" ht="14.25" customHeight="1">
      <c r="A26" s="41" t="s">
        <v>4467</v>
      </c>
      <c r="B26" s="43" t="s">
        <v>4468</v>
      </c>
      <c r="C26" s="46"/>
      <c r="D26" s="46" t="s">
        <v>4469</v>
      </c>
      <c r="E26" s="6" t="str">
        <f ca="1">IFERROR(__xludf.DUMMYFUNCTION("""COMPUTED_VALUE"""),"Nǐ yǒu dìtú ma?")</f>
        <v>Nǐ yǒu dìtú ma?</v>
      </c>
    </row>
    <row r="27" spans="1:5" ht="14.25" customHeight="1">
      <c r="A27" s="41" t="s">
        <v>4470</v>
      </c>
      <c r="B27" s="43" t="s">
        <v>4471</v>
      </c>
      <c r="C27" s="46"/>
      <c r="D27" s="46"/>
      <c r="E27" s="6" t="str">
        <f ca="1">IFERROR(__xludf.DUMMYFUNCTION("""COMPUTED_VALUE"""),"Qǐng zài zhè zhāng dìtú shàng zhǐ gěi wǒ kàn.")</f>
        <v>Qǐng zài zhè zhāng dìtú shàng zhǐ gěi wǒ kàn.</v>
      </c>
    </row>
    <row r="28" spans="1:5" ht="14.25" customHeight="1">
      <c r="A28" s="41" t="s">
        <v>4472</v>
      </c>
      <c r="B28" s="43" t="s">
        <v>4473</v>
      </c>
      <c r="C28" s="46"/>
      <c r="D28" s="46" t="s">
        <v>4474</v>
      </c>
      <c r="E28" s="6" t="str">
        <f ca="1">IFERROR(__xludf.DUMMYFUNCTION("""COMPUTED_VALUE"""),"Wǒ zài nǎ tiáo jiē shàng?")</f>
        <v>Wǒ zài nǎ tiáo jiē shàng?</v>
      </c>
    </row>
    <row r="29" spans="1:5" ht="14.25" customHeight="1">
      <c r="A29" s="41" t="s">
        <v>4475</v>
      </c>
      <c r="B29" s="43" t="s">
        <v>4476</v>
      </c>
      <c r="C29" s="46"/>
      <c r="D29" s="46"/>
      <c r="E29" s="37" t="str">
        <f ca="1">IFERROR(__xludf.DUMMYFUNCTION("""COMPUTED_VALUE"""),"Guò zhè zuò qiáo.")</f>
        <v>Guò zhè zuò qiáo.</v>
      </c>
    </row>
    <row r="30" spans="1:5" ht="14.25" customHeight="1">
      <c r="A30" s="41" t="s">
        <v>4477</v>
      </c>
      <c r="B30" s="43" t="s">
        <v>4478</v>
      </c>
      <c r="C30" s="46"/>
      <c r="D30" s="46" t="s">
        <v>4479</v>
      </c>
      <c r="E30" s="6" t="str">
        <f ca="1">IFERROR(__xludf.DUMMYFUNCTION("""COMPUTED_VALUE"""),"Guò mǎlù shí yào xiǎoxīn.")</f>
        <v>Guò mǎlù shí yào xiǎoxīn.</v>
      </c>
    </row>
    <row r="31" spans="1:5" ht="14.25" customHeight="1">
      <c r="A31" s="41" t="s">
        <v>4480</v>
      </c>
      <c r="B31" s="43" t="s">
        <v>4481</v>
      </c>
      <c r="C31" s="46"/>
      <c r="D31" s="46"/>
      <c r="E31" s="4" t="str">
        <f ca="1">IFERROR(__xludf.DUMMYFUNCTION("""COMPUTED_VALUE"""),"Shì zhè tiáo lù ma?")</f>
        <v>Shì zhè tiáo lù ma?</v>
      </c>
    </row>
    <row r="32" spans="1:5" ht="14.25" customHeight="1">
      <c r="A32" s="41" t="s">
        <v>4482</v>
      </c>
      <c r="B32" s="41" t="s">
        <v>4483</v>
      </c>
      <c r="C32" s="42"/>
      <c r="D32" s="42" t="s">
        <v>4484</v>
      </c>
      <c r="E32" s="4" t="str">
        <f ca="1">IFERROR(__xludf.DUMMYFUNCTION("""COMPUTED_VALUE"""),"Bù, bùshì zhè tiáo lù.")</f>
        <v>Bù, bùshì zhè tiáo lù.</v>
      </c>
    </row>
    <row r="33" spans="1:5" ht="14.25" customHeight="1">
      <c r="A33" s="41" t="s">
        <v>4485</v>
      </c>
      <c r="B33" s="43" t="s">
        <v>4486</v>
      </c>
      <c r="C33" s="46"/>
      <c r="D33" s="46"/>
      <c r="E33" s="4" t="str">
        <f ca="1">IFERROR(__xludf.DUMMYFUNCTION("""COMPUTED_VALUE"""),"Wǒ kàn dào lùbiāole.")</f>
        <v>Wǒ kàn dào lùbiāole.</v>
      </c>
    </row>
    <row r="34" spans="1:5" ht="14.25" customHeight="1">
      <c r="A34" s="41" t="s">
        <v>4487</v>
      </c>
      <c r="B34" s="43" t="s">
        <v>4488</v>
      </c>
      <c r="C34" s="46"/>
      <c r="D34" s="46" t="s">
        <v>4489</v>
      </c>
      <c r="E34" s="4" t="str">
        <f ca="1">IFERROR(__xludf.DUMMYFUNCTION("""COMPUTED_VALUE"""),"Wǒjiā zài èr lóu.")</f>
        <v>Wǒjiā zài èr lóu.</v>
      </c>
    </row>
    <row r="35" spans="1:5" ht="14.25" customHeight="1">
      <c r="A35" s="41" t="s">
        <v>4490</v>
      </c>
      <c r="B35" s="43" t="s">
        <v>4491</v>
      </c>
      <c r="C35" s="46"/>
      <c r="D35" s="46"/>
      <c r="E35" s="8" t="str">
        <f ca="1">IFERROR(__xludf.DUMMYFUNCTION("""COMPUTED_VALUE"""),"Wǒ zài dìxiàshì.")</f>
        <v>Wǒ zài dìxiàshì.</v>
      </c>
    </row>
    <row r="36" spans="1:5" ht="14.25" customHeight="1">
      <c r="A36" s="41" t="s">
        <v>4492</v>
      </c>
      <c r="B36" s="43" t="s">
        <v>4493</v>
      </c>
      <c r="C36" s="46"/>
      <c r="D36" s="46" t="s">
        <v>4494</v>
      </c>
      <c r="E36" s="5" t="str">
        <f ca="1">IFERROR(__xludf.DUMMYFUNCTION("""COMPUTED_VALUE"""),"Zhè shì rùkǒu.")</f>
        <v>Zhè shì rùkǒu.</v>
      </c>
    </row>
    <row r="37" spans="1:5" ht="14.25" customHeight="1">
      <c r="A37" s="41" t="s">
        <v>4495</v>
      </c>
      <c r="B37" s="43" t="s">
        <v>4496</v>
      </c>
      <c r="C37" s="46"/>
      <c r="D37" s="46"/>
      <c r="E37" s="8" t="str">
        <f ca="1">IFERROR(__xludf.DUMMYFUNCTION("""COMPUTED_VALUE"""),"Nà shì chūkǒu.")</f>
        <v>Nà shì chūkǒu.</v>
      </c>
    </row>
    <row r="38" spans="1:5" ht="14.25" customHeight="1">
      <c r="A38" s="41" t="s">
        <v>4497</v>
      </c>
      <c r="B38" s="41" t="s">
        <v>4498</v>
      </c>
      <c r="C38" s="42"/>
      <c r="D38" s="42" t="s">
        <v>4499</v>
      </c>
      <c r="E38" s="5" t="str">
        <f ca="1">IFERROR(__xludf.DUMMYFUNCTION("""COMPUTED_VALUE"""),"Qǐng zài zhèlǐ páiduì.")</f>
        <v>Qǐng zài zhèlǐ páiduì.</v>
      </c>
    </row>
    <row r="39" spans="1:5" ht="14.25" customHeight="1">
      <c r="A39" s="41" t="s">
        <v>4500</v>
      </c>
      <c r="B39" s="43" t="s">
        <v>4501</v>
      </c>
      <c r="C39" s="46"/>
      <c r="D39" s="46"/>
      <c r="E39" s="6" t="str">
        <f ca="1">IFERROR(__xludf.DUMMYFUNCTION("""COMPUTED_VALUE"""),"Nǐ zhàn zài wǒ qiánmiàn.")</f>
        <v>Nǐ zhàn zài wǒ qiánmiàn.</v>
      </c>
    </row>
    <row r="40" spans="1:5" ht="14.25" customHeight="1">
      <c r="A40" s="41" t="s">
        <v>4502</v>
      </c>
      <c r="B40" s="43" t="s">
        <v>4503</v>
      </c>
      <c r="C40" s="46"/>
      <c r="D40" s="46" t="s">
        <v>4504</v>
      </c>
      <c r="E40" s="6" t="str">
        <f ca="1">IFERROR(__xludf.DUMMYFUNCTION("""COMPUTED_VALUE"""),"Wǒ zài duìwǔ de mòwěi.")</f>
        <v>Wǒ zài duìwǔ de mòwěi.</v>
      </c>
    </row>
    <row r="41" spans="1:5" ht="14.25" customHeight="1">
      <c r="A41" s="41" t="s">
        <v>4505</v>
      </c>
      <c r="B41" s="43" t="s">
        <v>4506</v>
      </c>
      <c r="C41" s="46"/>
      <c r="D41" s="46"/>
      <c r="E41" s="5" t="str">
        <f ca="1">IFERROR(__xludf.DUMMYFUNCTION("""COMPUTED_VALUE"""),"Wǒ zhǎodàole!")</f>
        <v>Wǒ zhǎodàole!</v>
      </c>
    </row>
    <row r="42" spans="1:5" ht="14.25" customHeight="1">
      <c r="A42" s="41" t="s">
        <v>4507</v>
      </c>
      <c r="B42" s="43" t="s">
        <v>4508</v>
      </c>
      <c r="C42" s="46"/>
      <c r="D42" s="46" t="s">
        <v>4509</v>
      </c>
      <c r="E42" s="4" t="str">
        <f ca="1">IFERROR(__xludf.DUMMYFUNCTION("""COMPUTED_VALUE"""),"Jiù zài wǒ de bāo lǐ.")</f>
        <v>Jiù zài wǒ de bāo lǐ.</v>
      </c>
    </row>
    <row r="43" spans="1:5" ht="14.25" customHeight="1">
      <c r="A43" s="41" t="s">
        <v>4510</v>
      </c>
      <c r="B43" s="43" t="s">
        <v>4511</v>
      </c>
      <c r="C43" s="46"/>
      <c r="D43" s="46"/>
      <c r="E43" s="5" t="str">
        <f ca="1">IFERROR(__xludf.DUMMYFUNCTION("""COMPUTED_VALUE"""),"Bǎ tā wǎng zuǒbiān nuó yīdiǎn.")</f>
        <v>Bǎ tā wǎng zuǒbiān nuó yīdiǎn.</v>
      </c>
    </row>
    <row r="44" spans="1:5" ht="14.25" customHeight="1">
      <c r="A44" s="41" t="s">
        <v>4512</v>
      </c>
      <c r="B44" s="43" t="s">
        <v>4513</v>
      </c>
      <c r="C44" s="46"/>
      <c r="D44" s="46" t="s">
        <v>4514</v>
      </c>
      <c r="E44" s="4" t="str">
        <f ca="1">IFERROR(__xludf.DUMMYFUNCTION("""COMPUTED_VALUE"""),"Bǎ tā wǎng yòubiān nuó yīdiǎn.")</f>
        <v>Bǎ tā wǎng yòubiān nuó yīdiǎn.</v>
      </c>
    </row>
    <row r="45" spans="1:5" ht="14.25" customHeight="1">
      <c r="A45" s="41" t="s">
        <v>4515</v>
      </c>
      <c r="B45" s="43" t="s">
        <v>4516</v>
      </c>
      <c r="C45" s="46"/>
      <c r="D45" s="46"/>
      <c r="E45" s="5" t="str">
        <f ca="1">IFERROR(__xludf.DUMMYFUNCTION("""COMPUTED_VALUE"""),"Wǒ kěyǐ zuò zài nǐ pángbiān ma?")</f>
        <v>Wǒ kěyǐ zuò zài nǐ pángbiān ma?</v>
      </c>
    </row>
    <row r="46" spans="1:5" ht="14.25" customHeight="1">
      <c r="A46" s="41" t="s">
        <v>4517</v>
      </c>
      <c r="B46" s="43" t="s">
        <v>4518</v>
      </c>
      <c r="C46" s="46"/>
      <c r="D46" s="46" t="s">
        <v>4519</v>
      </c>
      <c r="E46" s="4" t="str">
        <f ca="1">IFERROR(__xludf.DUMMYFUNCTION("""COMPUTED_VALUE"""),"Wǒmen miànduìmiàn zuò ba.")</f>
        <v>Wǒmen miànduìmiàn zuò ba.</v>
      </c>
    </row>
    <row r="47" spans="1:5" ht="14.25" customHeight="1">
      <c r="A47" s="41" t="s">
        <v>4520</v>
      </c>
      <c r="B47" s="43" t="s">
        <v>4521</v>
      </c>
      <c r="C47" s="46"/>
      <c r="D47" s="46"/>
      <c r="E47" s="4" t="str">
        <f ca="1">IFERROR(__xludf.DUMMYFUNCTION("""COMPUTED_VALUE"""),"Wǒmen ràozhe hú zǒu zǒu.")</f>
        <v>Wǒmen ràozhe hú zǒu zǒu.</v>
      </c>
    </row>
    <row r="48" spans="1:5" ht="14.25" customHeight="1">
      <c r="A48" s="41" t="s">
        <v>4522</v>
      </c>
      <c r="B48" s="43" t="s">
        <v>4523</v>
      </c>
      <c r="C48" s="46"/>
      <c r="D48" s="46" t="s">
        <v>349</v>
      </c>
      <c r="E48" s="4" t="str">
        <f ca="1">IFERROR(__xludf.DUMMYFUNCTION("""COMPUTED_VALUE"""),"Táitóu kàn kàn tiānkōng!")</f>
        <v>Táitóu kàn kàn tiānkōng!</v>
      </c>
    </row>
    <row r="49" spans="1:5" ht="14.25" customHeight="1">
      <c r="A49" s="41" t="s">
        <v>4524</v>
      </c>
      <c r="B49" s="43" t="s">
        <v>4525</v>
      </c>
      <c r="C49" s="46"/>
      <c r="D49" s="46"/>
      <c r="E49" s="5" t="str">
        <f ca="1">IFERROR(__xludf.DUMMYFUNCTION("""COMPUTED_VALUE"""),"Dītóu kàn kàn dìmiàn.")</f>
        <v>Dītóu kàn kàn dìmiàn.</v>
      </c>
    </row>
    <row r="50" spans="1:5" ht="14.25" customHeight="1">
      <c r="A50" s="41" t="s">
        <v>4526</v>
      </c>
      <c r="B50" s="43" t="s">
        <v>4527</v>
      </c>
      <c r="C50" s="46"/>
      <c r="D50" s="46" t="s">
        <v>4528</v>
      </c>
      <c r="E50" s="6" t="str">
        <f ca="1">IFERROR(__xludf.DUMMYFUNCTION("""COMPUTED_VALUE"""),"Wǒ xiànzài zhīdào huí jiā de lùle.")</f>
        <v>Wǒ xiànzài zhīdào huí jiā de lùle.</v>
      </c>
    </row>
    <row r="51" spans="1:5" ht="14.25" customHeight="1">
      <c r="A51" s="41" t="s">
        <v>4529</v>
      </c>
      <c r="B51" s="43" t="s">
        <v>4530</v>
      </c>
      <c r="C51" s="46"/>
      <c r="D51" s="46"/>
      <c r="E51" s="6" t="str">
        <f ca="1">IFERROR(__xludf.DUMMYFUNCTION("""COMPUTED_VALUE"""),"Xièxiè nǐ gěi wǒ zhǐ lù.")</f>
        <v>Xièxiè nǐ gěi wǒ zhǐ lù.</v>
      </c>
    </row>
    <row r="52" spans="1:5" ht="14.25" customHeight="1">
      <c r="A52" s="42"/>
      <c r="B52" s="46"/>
      <c r="C52" s="46"/>
      <c r="D52" s="46" t="s">
        <v>4531</v>
      </c>
    </row>
    <row r="53" spans="1:5" ht="14.25" customHeight="1">
      <c r="A53" s="42"/>
      <c r="B53" s="46"/>
      <c r="C53" s="46"/>
      <c r="D53" s="46"/>
      <c r="E53" s="5"/>
    </row>
    <row r="54" spans="1:5" ht="14.25" customHeight="1">
      <c r="A54" s="42"/>
      <c r="B54" s="46"/>
      <c r="C54" s="46"/>
      <c r="D54" s="46" t="s">
        <v>4532</v>
      </c>
      <c r="E54" s="5"/>
    </row>
    <row r="55" spans="1:5" ht="14.25" customHeight="1">
      <c r="A55" s="42"/>
      <c r="B55" s="46"/>
      <c r="C55" s="46"/>
      <c r="D55" s="46" t="s">
        <v>4533</v>
      </c>
      <c r="E55" s="5"/>
    </row>
    <row r="56" spans="1:5" ht="14.25" customHeight="1">
      <c r="A56" s="42"/>
      <c r="B56" s="46"/>
      <c r="C56" s="46"/>
      <c r="D56" s="46" t="s">
        <v>4534</v>
      </c>
      <c r="E56" s="5"/>
    </row>
    <row r="57" spans="1:5" ht="14.25" customHeight="1">
      <c r="A57" s="42"/>
      <c r="B57" s="46"/>
      <c r="C57" s="46"/>
      <c r="D57" s="46"/>
      <c r="E57" s="5"/>
    </row>
    <row r="58" spans="1:5" ht="14.25" customHeight="1">
      <c r="A58" s="42"/>
      <c r="B58" s="46"/>
      <c r="C58" s="46"/>
      <c r="D58" s="46" t="s">
        <v>4535</v>
      </c>
      <c r="E58" s="5"/>
    </row>
    <row r="59" spans="1:5" ht="14.25" customHeight="1">
      <c r="A59" s="42"/>
      <c r="B59" s="46"/>
      <c r="C59" s="46"/>
      <c r="D59" s="46"/>
    </row>
    <row r="60" spans="1:5" ht="14.25" customHeight="1">
      <c r="A60" s="42"/>
      <c r="B60" s="46"/>
      <c r="C60" s="46"/>
      <c r="D60" s="46" t="s">
        <v>4536</v>
      </c>
      <c r="E60" s="5"/>
    </row>
    <row r="61" spans="1:5" ht="14.25" customHeight="1">
      <c r="A61" s="42"/>
      <c r="B61" s="46"/>
      <c r="C61" s="46"/>
      <c r="D61" s="46"/>
      <c r="E61" s="5"/>
    </row>
    <row r="62" spans="1:5" ht="14.25" customHeight="1">
      <c r="A62" s="42"/>
      <c r="B62" s="46"/>
      <c r="C62" s="46"/>
      <c r="D62" s="46" t="s">
        <v>4537</v>
      </c>
      <c r="E62" s="5"/>
    </row>
    <row r="63" spans="1:5" ht="14.25" customHeight="1">
      <c r="A63" s="42"/>
      <c r="B63" s="46"/>
      <c r="C63" s="46"/>
      <c r="D63" s="46"/>
      <c r="E63" s="5"/>
    </row>
    <row r="64" spans="1:5" ht="14.25" customHeight="1">
      <c r="A64" s="42"/>
      <c r="B64" s="46"/>
      <c r="C64" s="46"/>
      <c r="D64" s="46" t="s">
        <v>4538</v>
      </c>
      <c r="E64" s="5"/>
    </row>
    <row r="65" spans="1:5" ht="14.25" customHeight="1">
      <c r="A65" s="42"/>
      <c r="B65" s="46"/>
      <c r="C65" s="46"/>
      <c r="D65" s="46"/>
      <c r="E65" s="5"/>
    </row>
    <row r="66" spans="1:5" ht="14.25" customHeight="1">
      <c r="A66" s="42"/>
      <c r="B66" s="46"/>
      <c r="C66" s="46"/>
      <c r="D66" s="46" t="s">
        <v>4539</v>
      </c>
      <c r="E66" s="5"/>
    </row>
    <row r="67" spans="1:5" ht="14.25" customHeight="1">
      <c r="A67" s="42"/>
      <c r="B67" s="46"/>
      <c r="C67" s="46"/>
      <c r="D67" s="46"/>
      <c r="E67" s="5"/>
    </row>
    <row r="68" spans="1:5" ht="14.25" customHeight="1">
      <c r="A68" s="42"/>
      <c r="B68" s="46"/>
      <c r="C68" s="46"/>
      <c r="D68" s="46" t="s">
        <v>4540</v>
      </c>
      <c r="E68" s="5"/>
    </row>
    <row r="69" spans="1:5" ht="14.25" customHeight="1">
      <c r="A69" s="42"/>
      <c r="B69" s="46"/>
      <c r="C69" s="46"/>
      <c r="D69" s="46"/>
      <c r="E69" s="5"/>
    </row>
    <row r="70" spans="1:5" ht="14.25" customHeight="1">
      <c r="A70" s="42"/>
      <c r="B70" s="46"/>
      <c r="C70" s="46"/>
      <c r="D70" s="46" t="s">
        <v>4541</v>
      </c>
      <c r="E70" s="5"/>
    </row>
    <row r="71" spans="1:5" ht="14.25" customHeight="1">
      <c r="A71" s="42"/>
      <c r="B71" s="46"/>
      <c r="C71" s="46"/>
      <c r="D71" s="46"/>
      <c r="E71" s="5"/>
    </row>
    <row r="72" spans="1:5" ht="14.25" customHeight="1">
      <c r="A72" s="42"/>
      <c r="B72" s="46"/>
      <c r="C72" s="46"/>
      <c r="D72" s="46" t="s">
        <v>4542</v>
      </c>
      <c r="E72" s="5"/>
    </row>
    <row r="73" spans="1:5" ht="14.25" customHeight="1">
      <c r="A73" s="42"/>
      <c r="B73" s="46"/>
      <c r="C73" s="46"/>
      <c r="D73" s="46"/>
      <c r="E73" s="5"/>
    </row>
    <row r="74" spans="1:5" ht="14.25" customHeight="1">
      <c r="A74" s="42"/>
      <c r="B74" s="46"/>
      <c r="C74" s="46"/>
      <c r="D74" s="46" t="s">
        <v>4543</v>
      </c>
      <c r="E74" s="5"/>
    </row>
    <row r="75" spans="1:5" ht="14.25" customHeight="1">
      <c r="A75" s="42"/>
      <c r="B75" s="46"/>
      <c r="C75" s="46"/>
      <c r="D75" s="46"/>
      <c r="E75" s="5"/>
    </row>
    <row r="76" spans="1:5" ht="14.25" customHeight="1">
      <c r="A76" s="42"/>
      <c r="B76" s="46"/>
      <c r="C76" s="46"/>
      <c r="D76" s="46" t="s">
        <v>4544</v>
      </c>
      <c r="E76" s="5"/>
    </row>
    <row r="77" spans="1:5" ht="14.25" customHeight="1">
      <c r="A77" s="42"/>
      <c r="B77" s="46"/>
      <c r="C77" s="46"/>
      <c r="D77" s="46"/>
      <c r="E77" s="5"/>
    </row>
    <row r="78" spans="1:5" ht="14.25" customHeight="1">
      <c r="A78" s="42"/>
      <c r="B78" s="46"/>
      <c r="C78" s="46"/>
      <c r="D78" s="46" t="s">
        <v>4545</v>
      </c>
      <c r="E78" s="5"/>
    </row>
    <row r="79" spans="1:5" ht="14.25" customHeight="1">
      <c r="A79" s="42"/>
      <c r="B79" s="46"/>
      <c r="C79" s="46"/>
      <c r="D79" s="46"/>
      <c r="E79" s="5"/>
    </row>
    <row r="80" spans="1:5" ht="14.25" customHeight="1">
      <c r="A80" s="42"/>
      <c r="B80" s="46"/>
      <c r="C80" s="46"/>
      <c r="D80" s="46" t="s">
        <v>4546</v>
      </c>
      <c r="E80" s="5"/>
    </row>
    <row r="81" spans="1:5" ht="14.25" customHeight="1">
      <c r="A81" s="42"/>
      <c r="B81" s="46"/>
      <c r="C81" s="46"/>
      <c r="D81" s="46"/>
      <c r="E81" s="5"/>
    </row>
    <row r="82" spans="1:5" ht="14.25" customHeight="1">
      <c r="A82" s="42"/>
      <c r="B82" s="46"/>
      <c r="C82" s="46"/>
      <c r="D82" s="46" t="s">
        <v>4547</v>
      </c>
      <c r="E82" s="5"/>
    </row>
    <row r="83" spans="1:5" ht="14.25" customHeight="1">
      <c r="A83" s="42"/>
      <c r="B83" s="46"/>
      <c r="C83" s="46"/>
      <c r="D83" s="46"/>
      <c r="E83" s="5"/>
    </row>
    <row r="84" spans="1:5" ht="14.25" customHeight="1">
      <c r="A84" s="42"/>
      <c r="B84" s="46"/>
      <c r="C84" s="46"/>
      <c r="D84" s="46" t="s">
        <v>4548</v>
      </c>
      <c r="E84" s="5"/>
    </row>
    <row r="85" spans="1:5" ht="14.25" customHeight="1">
      <c r="A85" s="42"/>
      <c r="B85" s="46"/>
      <c r="C85" s="46"/>
      <c r="D85" s="46"/>
      <c r="E85" s="5"/>
    </row>
    <row r="86" spans="1:5" ht="14.25" customHeight="1">
      <c r="A86" s="42"/>
      <c r="B86" s="46"/>
      <c r="C86" s="46"/>
      <c r="D86" s="46" t="s">
        <v>4549</v>
      </c>
      <c r="E86" s="5"/>
    </row>
    <row r="87" spans="1:5" ht="14.25" customHeight="1">
      <c r="A87" s="42"/>
      <c r="B87" s="46"/>
      <c r="C87" s="46"/>
      <c r="D87" s="46"/>
      <c r="E87" s="5"/>
    </row>
    <row r="88" spans="1:5" ht="14.25" customHeight="1">
      <c r="A88" s="42"/>
      <c r="B88" s="46"/>
      <c r="C88" s="46"/>
      <c r="D88" s="46" t="s">
        <v>4550</v>
      </c>
      <c r="E88" s="5"/>
    </row>
    <row r="89" spans="1:5" ht="14.25" customHeight="1">
      <c r="A89" s="42"/>
      <c r="B89" s="46"/>
      <c r="C89" s="46"/>
      <c r="D89" s="46"/>
      <c r="E89" s="5"/>
    </row>
    <row r="90" spans="1:5" ht="14.25" customHeight="1">
      <c r="A90" s="42"/>
      <c r="B90" s="46"/>
      <c r="C90" s="46"/>
      <c r="D90" s="46" t="s">
        <v>4551</v>
      </c>
      <c r="E90" s="5"/>
    </row>
    <row r="91" spans="1:5" ht="14.25" customHeight="1">
      <c r="A91" s="42"/>
      <c r="B91" s="46"/>
      <c r="C91" s="46"/>
      <c r="D91" s="46"/>
      <c r="E91" s="5"/>
    </row>
    <row r="92" spans="1:5" ht="14.25" customHeight="1">
      <c r="A92" s="42"/>
      <c r="B92" s="46"/>
      <c r="C92" s="46"/>
      <c r="D92" s="46" t="s">
        <v>4552</v>
      </c>
      <c r="E92" s="5"/>
    </row>
    <row r="93" spans="1:5" ht="14.25" customHeight="1">
      <c r="A93" s="42"/>
      <c r="B93" s="46"/>
      <c r="C93" s="46"/>
      <c r="D93" s="46"/>
      <c r="E93" s="5"/>
    </row>
    <row r="94" spans="1:5" ht="14.25" customHeight="1">
      <c r="A94" s="42"/>
      <c r="B94" s="46"/>
      <c r="C94" s="46"/>
      <c r="D94" s="46" t="s">
        <v>4553</v>
      </c>
      <c r="E94" s="5"/>
    </row>
    <row r="95" spans="1:5" ht="14.25" customHeight="1">
      <c r="A95" s="42"/>
      <c r="B95" s="46"/>
      <c r="C95" s="46"/>
      <c r="D95" s="46"/>
      <c r="E95" s="5"/>
    </row>
    <row r="96" spans="1:5" ht="14.25" customHeight="1">
      <c r="A96" s="42"/>
      <c r="B96" s="46"/>
      <c r="C96" s="46"/>
      <c r="D96" s="46" t="s">
        <v>4554</v>
      </c>
      <c r="E96" s="5"/>
    </row>
    <row r="97" spans="1:5" ht="14.25" customHeight="1">
      <c r="A97" s="42"/>
      <c r="B97" s="46"/>
      <c r="C97" s="46"/>
      <c r="D97" s="46"/>
      <c r="E97" s="5"/>
    </row>
    <row r="98" spans="1:5" ht="14.25" customHeight="1">
      <c r="A98" s="42"/>
      <c r="B98" s="46"/>
      <c r="C98" s="46"/>
      <c r="D98" s="46" t="s">
        <v>4555</v>
      </c>
      <c r="E98" s="5"/>
    </row>
  </sheetData>
  <pageMargins left="0.75" right="0.75" top="1" bottom="1"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2" width="55.6640625" customWidth="1"/>
    <col min="3" max="3" width="14.88671875" customWidth="1"/>
    <col min="4" max="4" width="34.5546875" customWidth="1"/>
    <col min="5" max="5" width="56.88671875" customWidth="1"/>
  </cols>
  <sheetData>
    <row r="1" spans="1:5" ht="14.25" customHeight="1">
      <c r="A1" s="12" t="s">
        <v>4556</v>
      </c>
      <c r="D1" s="10" t="s">
        <v>4557</v>
      </c>
      <c r="E1" s="2"/>
    </row>
    <row r="2" spans="1:5" ht="14.25" customHeight="1">
      <c r="A2" s="41" t="s">
        <v>4558</v>
      </c>
      <c r="B2" s="43" t="s">
        <v>4559</v>
      </c>
      <c r="C2" s="46"/>
      <c r="D2" s="46" t="s">
        <v>4560</v>
      </c>
      <c r="E2" s="5" t="str">
        <f ca="1">IFERROR(__xludf.DUMMYFUNCTION("FILTER(D1:D1002,D1:D1002&lt;&gt; """")"),"Zhè tài dàle!")</f>
        <v>Zhè tài dàle!</v>
      </c>
    </row>
    <row r="3" spans="1:5" ht="14.25" customHeight="1">
      <c r="A3" s="41" t="s">
        <v>4561</v>
      </c>
      <c r="B3" s="43" t="s">
        <v>4562</v>
      </c>
      <c r="C3" s="46"/>
      <c r="D3" s="46"/>
      <c r="E3" s="6" t="str">
        <f ca="1">IFERROR(__xludf.DUMMYFUNCTION("""COMPUTED_VALUE"""),"Nàgè hěn xiǎo.")</f>
        <v>Nàgè hěn xiǎo.</v>
      </c>
    </row>
    <row r="4" spans="1:5" ht="14.25" customHeight="1">
      <c r="A4" s="41" t="s">
        <v>4563</v>
      </c>
      <c r="B4" s="43" t="s">
        <v>4564</v>
      </c>
      <c r="C4" s="46"/>
      <c r="D4" s="46" t="s">
        <v>4565</v>
      </c>
      <c r="E4" s="5" t="str">
        <f ca="1">IFERROR(__xludf.DUMMYFUNCTION("""COMPUTED_VALUE"""),"Tā shì yuán de.")</f>
        <v>Tā shì yuán de.</v>
      </c>
    </row>
    <row r="5" spans="1:5" ht="14.25" customHeight="1">
      <c r="A5" s="41" t="s">
        <v>4566</v>
      </c>
      <c r="B5" s="43" t="s">
        <v>4567</v>
      </c>
      <c r="C5" s="46"/>
      <c r="D5" s="46"/>
      <c r="E5" s="5" t="str">
        <f ca="1">IFERROR(__xludf.DUMMYFUNCTION("""COMPUTED_VALUE"""),"Zhège hézǐ shì zhèngfāngxíng de.")</f>
        <v>Zhège hézǐ shì zhèngfāngxíng de.</v>
      </c>
    </row>
    <row r="6" spans="1:5" ht="14.25" customHeight="1">
      <c r="A6" s="41" t="s">
        <v>4568</v>
      </c>
      <c r="B6" s="43" t="s">
        <v>4569</v>
      </c>
      <c r="C6" s="46"/>
      <c r="D6" s="46" t="s">
        <v>4570</v>
      </c>
      <c r="E6" s="5" t="str">
        <f ca="1">IFERROR(__xludf.DUMMYFUNCTION("""COMPUTED_VALUE"""),"Zhège bǐjìběn shì chángfāngxíng de.")</f>
        <v>Zhège bǐjìběn shì chángfāngxíng de.</v>
      </c>
    </row>
    <row r="7" spans="1:5" ht="14.25" customHeight="1">
      <c r="A7" s="41" t="s">
        <v>4571</v>
      </c>
      <c r="B7" s="43" t="s">
        <v>4572</v>
      </c>
      <c r="C7" s="46"/>
      <c r="D7" s="46"/>
      <c r="E7" s="5" t="str">
        <f ca="1">IFERROR(__xludf.DUMMYFUNCTION("""COMPUTED_VALUE"""),"Sānjiǎoxíng yǒu sāntiáo biān.")</f>
        <v>Sānjiǎoxíng yǒu sāntiáo biān.</v>
      </c>
    </row>
    <row r="8" spans="1:5" ht="14.25" customHeight="1">
      <c r="A8" s="41" t="s">
        <v>4573</v>
      </c>
      <c r="B8" s="43" t="s">
        <v>4574</v>
      </c>
      <c r="C8" s="46"/>
      <c r="D8" s="46" t="s">
        <v>4575</v>
      </c>
      <c r="E8" s="5" t="str">
        <f ca="1">IFERROR(__xludf.DUMMYFUNCTION("""COMPUTED_VALUE"""),"Zhège tài zhòngle, wǒ ná bù dòng.")</f>
        <v>Zhège tài zhòngle, wǒ ná bù dòng.</v>
      </c>
    </row>
    <row r="9" spans="1:5" ht="14.25" customHeight="1">
      <c r="A9" s="41" t="s">
        <v>4576</v>
      </c>
      <c r="B9" s="43" t="s">
        <v>4577</v>
      </c>
      <c r="C9" s="46"/>
      <c r="D9" s="46"/>
      <c r="E9" s="5" t="str">
        <f ca="1">IFERROR(__xludf.DUMMYFUNCTION("""COMPUTED_VALUE"""),"Zhège qīng rú hóngmáo.")</f>
        <v>Zhège qīng rú hóngmáo.</v>
      </c>
    </row>
    <row r="10" spans="1:5" ht="14.25" customHeight="1">
      <c r="A10" s="41" t="s">
        <v>4578</v>
      </c>
      <c r="B10" s="43" t="s">
        <v>4579</v>
      </c>
      <c r="C10" s="46"/>
      <c r="D10" s="46" t="s">
        <v>4580</v>
      </c>
      <c r="E10" s="5" t="str">
        <f ca="1">IFERROR(__xludf.DUMMYFUNCTION("""COMPUTED_VALUE"""),"Tā hěn zhǎng.")</f>
        <v>Tā hěn zhǎng.</v>
      </c>
    </row>
    <row r="11" spans="1:5" ht="14.25" customHeight="1">
      <c r="A11" s="41" t="s">
        <v>4581</v>
      </c>
      <c r="B11" s="41" t="s">
        <v>4582</v>
      </c>
      <c r="C11" s="42"/>
      <c r="D11" s="42"/>
      <c r="E11" s="5" t="str">
        <f ca="1">IFERROR(__xludf.DUMMYFUNCTION("""COMPUTED_VALUE"""),"Tā yǒudiǎn duǎn.")</f>
        <v>Tā yǒudiǎn duǎn.</v>
      </c>
    </row>
    <row r="12" spans="1:5" ht="14.25" customHeight="1">
      <c r="A12" s="41" t="s">
        <v>4583</v>
      </c>
      <c r="B12" s="43" t="s">
        <v>4584</v>
      </c>
      <c r="C12" s="46"/>
      <c r="D12" s="46" t="s">
        <v>4585</v>
      </c>
      <c r="E12" s="6" t="str">
        <f ca="1">IFERROR(__xludf.DUMMYFUNCTION("""COMPUTED_VALUE"""),"Zhè bǎ chǐzǐ shì zhí de.")</f>
        <v>Zhè bǎ chǐzǐ shì zhí de.</v>
      </c>
    </row>
    <row r="13" spans="1:5" ht="14.25" customHeight="1">
      <c r="A13" s="41" t="s">
        <v>4586</v>
      </c>
      <c r="B13" s="43" t="s">
        <v>4587</v>
      </c>
      <c r="C13" s="46"/>
      <c r="D13" s="46"/>
      <c r="E13" s="6" t="str">
        <f ca="1">IFERROR(__xludf.DUMMYFUNCTION("""COMPUTED_VALUE"""),"Zhè tiáo lù tài wānle.")</f>
        <v>Zhè tiáo lù tài wānle.</v>
      </c>
    </row>
    <row r="14" spans="1:5" ht="14.25" customHeight="1">
      <c r="A14" s="41" t="s">
        <v>4588</v>
      </c>
      <c r="B14" s="43" t="s">
        <v>4589</v>
      </c>
      <c r="C14" s="46"/>
      <c r="D14" s="46" t="s">
        <v>4590</v>
      </c>
      <c r="E14" s="6" t="str">
        <f ca="1">IFERROR(__xludf.DUMMYFUNCTION("""COMPUTED_VALUE"""),"Zhè gēn shéngzǐ hěn cū.")</f>
        <v>Zhè gēn shéngzǐ hěn cū.</v>
      </c>
    </row>
    <row r="15" spans="1:5" ht="14.25" customHeight="1">
      <c r="A15" s="41" t="s">
        <v>4591</v>
      </c>
      <c r="B15" s="43" t="s">
        <v>4592</v>
      </c>
      <c r="C15" s="46"/>
      <c r="D15" s="46"/>
      <c r="E15" s="6" t="str">
        <f ca="1">IFERROR(__xludf.DUMMYFUNCTION("""COMPUTED_VALUE"""),"Zhè zhāng zhǐ tài báole.")</f>
        <v>Zhè zhāng zhǐ tài báole.</v>
      </c>
    </row>
    <row r="16" spans="1:5" ht="14.25" customHeight="1">
      <c r="A16" s="41" t="s">
        <v>4593</v>
      </c>
      <c r="B16" s="43" t="s">
        <v>4594</v>
      </c>
      <c r="C16" s="46"/>
      <c r="D16" s="46" t="s">
        <v>4595</v>
      </c>
      <c r="E16" s="6" t="str">
        <f ca="1">IFERROR(__xludf.DUMMYFUNCTION("""COMPUTED_VALUE"""),"Zhège dòng shēn ma?")</f>
        <v>Zhège dòng shēn ma?</v>
      </c>
    </row>
    <row r="17" spans="1:5" ht="14.25" customHeight="1">
      <c r="A17" s="41" t="s">
        <v>4596</v>
      </c>
      <c r="B17" s="43" t="s">
        <v>4597</v>
      </c>
      <c r="C17" s="46"/>
      <c r="D17" s="46"/>
      <c r="E17" s="6" t="str">
        <f ca="1">IFERROR(__xludf.DUMMYFUNCTION("""COMPUTED_VALUE"""),"Hěn qiǎn, bùyòng dānxīn.")</f>
        <v>Hěn qiǎn, bùyòng dānxīn.</v>
      </c>
    </row>
    <row r="18" spans="1:5" ht="14.25" customHeight="1">
      <c r="A18" s="41" t="s">
        <v>4598</v>
      </c>
      <c r="B18" s="43" t="s">
        <v>4599</v>
      </c>
      <c r="C18" s="46"/>
      <c r="D18" s="46" t="s">
        <v>4600</v>
      </c>
      <c r="E18" s="5" t="str">
        <f ca="1">IFERROR(__xludf.DUMMYFUNCTION("""COMPUTED_VALUE"""),"Zhè kē shù hěn gāo.")</f>
        <v>Zhè kē shù hěn gāo.</v>
      </c>
    </row>
    <row r="19" spans="1:5" ht="14.25" customHeight="1">
      <c r="A19" s="41" t="s">
        <v>4601</v>
      </c>
      <c r="B19" s="43" t="s">
        <v>4602</v>
      </c>
      <c r="C19" s="46"/>
      <c r="D19" s="46"/>
      <c r="E19" s="4" t="str">
        <f ca="1">IFERROR(__xludf.DUMMYFUNCTION("""COMPUTED_VALUE"""),"Bǎobǎo hái hěn ǎi.")</f>
        <v>Bǎobǎo hái hěn ǎi.</v>
      </c>
    </row>
    <row r="20" spans="1:5" ht="14.25" customHeight="1">
      <c r="A20" s="41" t="s">
        <v>4603</v>
      </c>
      <c r="B20" s="43" t="s">
        <v>4604</v>
      </c>
      <c r="C20" s="46"/>
      <c r="D20" s="46" t="s">
        <v>4605</v>
      </c>
      <c r="E20" s="5" t="str">
        <f ca="1">IFERROR(__xludf.DUMMYFUNCTION("""COMPUTED_VALUE"""),"Zhè zhāng zhuōzǐ tài kuānle.")</f>
        <v>Zhè zhāng zhuōzǐ tài kuānle.</v>
      </c>
    </row>
    <row r="21" spans="1:5" ht="14.25" customHeight="1">
      <c r="A21" s="41" t="s">
        <v>4606</v>
      </c>
      <c r="B21" s="43" t="s">
        <v>4607</v>
      </c>
      <c r="C21" s="46"/>
      <c r="D21" s="46"/>
      <c r="E21" s="6" t="str">
        <f ca="1">IFERROR(__xludf.DUMMYFUNCTION("""COMPUTED_VALUE"""),"Zhè tiáo lù tài zhǎile. ")</f>
        <v xml:space="preserve">Zhè tiáo lù tài zhǎile. </v>
      </c>
    </row>
    <row r="22" spans="1:5" ht="14.25" customHeight="1">
      <c r="A22" s="41" t="s">
        <v>4608</v>
      </c>
      <c r="B22" s="43" t="s">
        <v>4609</v>
      </c>
      <c r="C22" s="46"/>
      <c r="D22" s="46" t="s">
        <v>4610</v>
      </c>
      <c r="E22" s="6" t="str">
        <f ca="1">IFERROR(__xludf.DUMMYFUNCTION("""COMPUTED_VALUE"""),"Xīngxīng yǒu jǐ gè jiǎo?")</f>
        <v>Xīngxīng yǒu jǐ gè jiǎo?</v>
      </c>
    </row>
    <row r="23" spans="1:5" ht="14.25" customHeight="1">
      <c r="A23" s="41" t="s">
        <v>4611</v>
      </c>
      <c r="B23" s="43" t="s">
        <v>4612</v>
      </c>
      <c r="C23" s="46"/>
      <c r="D23" s="46"/>
      <c r="E23" s="6" t="str">
        <f ca="1">IFERROR(__xludf.DUMMYFUNCTION("""COMPUTED_VALUE"""),"Tā shì yī kē hóngxīn.")</f>
        <v>Tā shì yī kē hóngxīn.</v>
      </c>
    </row>
    <row r="24" spans="1:5" ht="14.25" customHeight="1">
      <c r="A24" s="41" t="s">
        <v>4613</v>
      </c>
      <c r="B24" s="43" t="s">
        <v>4614</v>
      </c>
      <c r="C24" s="46"/>
      <c r="D24" s="46" t="s">
        <v>4615</v>
      </c>
      <c r="E24" s="6" t="str">
        <f ca="1">IFERROR(__xludf.DUMMYFUNCTION("""COMPUTED_VALUE"""),"Tā shì tuǒyuán xíng de.")</f>
        <v>Tā shì tuǒyuán xíng de.</v>
      </c>
    </row>
    <row r="25" spans="1:5" ht="14.25" customHeight="1">
      <c r="A25" s="41" t="s">
        <v>4616</v>
      </c>
      <c r="B25" s="43" t="s">
        <v>4617</v>
      </c>
      <c r="C25" s="46"/>
      <c r="D25" s="46"/>
      <c r="E25" s="6" t="str">
        <f ca="1">IFERROR(__xludf.DUMMYFUNCTION("""COMPUTED_VALUE"""),"Zhège zhěntou hěn ruǎn.")</f>
        <v>Zhège zhěntou hěn ruǎn.</v>
      </c>
    </row>
    <row r="26" spans="1:5" ht="14.25" customHeight="1">
      <c r="A26" s="41" t="s">
        <v>4618</v>
      </c>
      <c r="B26" s="43" t="s">
        <v>4619</v>
      </c>
      <c r="C26" s="46"/>
      <c r="D26" s="46" t="s">
        <v>4620</v>
      </c>
      <c r="E26" s="6" t="str">
        <f ca="1">IFERROR(__xludf.DUMMYFUNCTION("""COMPUTED_VALUE"""),"Zhè kuài shítou tài yìngle.")</f>
        <v>Zhè kuài shítou tài yìngle.</v>
      </c>
    </row>
    <row r="27" spans="1:5" ht="14.25" customHeight="1">
      <c r="A27" s="41" t="s">
        <v>4621</v>
      </c>
      <c r="B27" s="41" t="s">
        <v>4622</v>
      </c>
      <c r="C27" s="42"/>
      <c r="D27" s="42"/>
      <c r="E27" s="6" t="str">
        <f ca="1">IFERROR(__xludf.DUMMYFUNCTION("""COMPUTED_VALUE"""),"Zhège biǎomiàn hěn guānghuá.")</f>
        <v>Zhège biǎomiàn hěn guānghuá.</v>
      </c>
    </row>
    <row r="28" spans="1:5" ht="14.25" customHeight="1">
      <c r="A28" s="41" t="s">
        <v>4623</v>
      </c>
      <c r="B28" s="43" t="s">
        <v>4624</v>
      </c>
      <c r="C28" s="46"/>
      <c r="D28" s="46" t="s">
        <v>4625</v>
      </c>
      <c r="E28" s="6" t="str">
        <f ca="1">IFERROR(__xludf.DUMMYFUNCTION("""COMPUTED_VALUE"""),"Zhè li yǒudiǎn cūcāo. ")</f>
        <v xml:space="preserve">Zhè li yǒudiǎn cūcāo. </v>
      </c>
    </row>
    <row r="29" spans="1:5" ht="14.25" customHeight="1">
      <c r="A29" s="41" t="s">
        <v>4626</v>
      </c>
      <c r="B29" s="43" t="s">
        <v>4627</v>
      </c>
      <c r="C29" s="46"/>
      <c r="D29" s="46"/>
      <c r="E29" s="37" t="str">
        <f ca="1">IFERROR(__xludf.DUMMYFUNCTION("""COMPUTED_VALUE"""),"Nǐ yào dà de háishì xiǎo de?")</f>
        <v>Nǐ yào dà de háishì xiǎo de?</v>
      </c>
    </row>
    <row r="30" spans="1:5" ht="14.25" customHeight="1">
      <c r="A30" s="41" t="s">
        <v>4628</v>
      </c>
      <c r="B30" s="43" t="s">
        <v>4629</v>
      </c>
      <c r="C30" s="46"/>
      <c r="D30" s="46" t="s">
        <v>4630</v>
      </c>
      <c r="E30" s="6" t="str">
        <f ca="1">IFERROR(__xludf.DUMMYFUNCTION("""COMPUTED_VALUE"""),"Wǒ yào zhōngjiān de.")</f>
        <v>Wǒ yào zhōngjiān de.</v>
      </c>
    </row>
    <row r="31" spans="1:5" ht="14.25" customHeight="1">
      <c r="A31" s="41" t="s">
        <v>4631</v>
      </c>
      <c r="B31" s="43" t="s">
        <v>4632</v>
      </c>
      <c r="C31" s="46"/>
      <c r="D31" s="46"/>
      <c r="E31" s="4" t="str">
        <f ca="1">IFERROR(__xludf.DUMMYFUNCTION("""COMPUTED_VALUE"""),"Zhè shuāng xié duì wǒ lái shuō yǒudiǎn dàle.")</f>
        <v>Zhè shuāng xié duì wǒ lái shuō yǒudiǎn dàle.</v>
      </c>
    </row>
    <row r="32" spans="1:5" ht="14.25" customHeight="1">
      <c r="A32" s="41" t="s">
        <v>4633</v>
      </c>
      <c r="B32" s="43" t="s">
        <v>4634</v>
      </c>
      <c r="C32" s="46"/>
      <c r="D32" s="46" t="s">
        <v>4635</v>
      </c>
      <c r="E32" s="4" t="str">
        <f ca="1">IFERROR(__xludf.DUMMYFUNCTION("""COMPUTED_VALUE""")," Zhè shuāng wàzǐ tài jǐnle.")</f>
        <v xml:space="preserve"> Zhè shuāng wàzǐ tài jǐnle.</v>
      </c>
    </row>
    <row r="33" spans="1:5" ht="14.25" customHeight="1">
      <c r="A33" s="41" t="s">
        <v>4636</v>
      </c>
      <c r="B33" s="43" t="s">
        <v>4637</v>
      </c>
      <c r="C33" s="46"/>
      <c r="D33" s="46"/>
      <c r="E33" s="4" t="str">
        <f ca="1">IFERROR(__xludf.DUMMYFUNCTION("""COMPUTED_VALUE"""),"Tā de xíngzhuàng hěn qíguài.")</f>
        <v>Tā de xíngzhuàng hěn qíguài.</v>
      </c>
    </row>
    <row r="34" spans="1:5" ht="14.25" customHeight="1">
      <c r="A34" s="41" t="s">
        <v>4638</v>
      </c>
      <c r="B34" s="43" t="s">
        <v>4639</v>
      </c>
      <c r="C34" s="46"/>
      <c r="D34" s="46" t="s">
        <v>4640</v>
      </c>
      <c r="E34" s="4" t="str">
        <f ca="1">IFERROR(__xludf.DUMMYFUNCTION("""COMPUTED_VALUE""")," Zhè shì língxíng ma?")</f>
        <v xml:space="preserve"> Zhè shì língxíng ma?</v>
      </c>
    </row>
    <row r="35" spans="1:5" ht="14.25" customHeight="1">
      <c r="A35" s="41" t="s">
        <v>4641</v>
      </c>
      <c r="B35" s="43" t="s">
        <v>4642</v>
      </c>
      <c r="C35" s="46"/>
      <c r="D35" s="46"/>
      <c r="E35" s="8" t="str">
        <f ca="1">IFERROR(__xludf.DUMMYFUNCTION("""COMPUTED_VALUE""")," Wǒ xǐhuān xiǎoqiǎo jīngzhì de dōngxī.")</f>
        <v xml:space="preserve"> Wǒ xǐhuān xiǎoqiǎo jīngzhì de dōngxī.</v>
      </c>
    </row>
    <row r="36" spans="1:5" ht="14.25" customHeight="1">
      <c r="A36" s="41" t="s">
        <v>4643</v>
      </c>
      <c r="B36" s="43" t="s">
        <v>4644</v>
      </c>
      <c r="C36" s="46"/>
      <c r="D36" s="46" t="s">
        <v>4645</v>
      </c>
      <c r="E36" s="5" t="str">
        <f ca="1">IFERROR(__xludf.DUMMYFUNCTION("""COMPUTED_VALUE"""),"Zhè kuài dàngāoxiàng yuèliàng yīyàng yuán.")</f>
        <v>Zhè kuài dàngāoxiàng yuèliàng yīyàng yuán.</v>
      </c>
    </row>
    <row r="37" spans="1:5" ht="14.25" customHeight="1">
      <c r="A37" s="41" t="s">
        <v>4646</v>
      </c>
      <c r="B37" s="43" t="s">
        <v>4647</v>
      </c>
      <c r="C37" s="46"/>
      <c r="D37" s="46"/>
      <c r="E37" s="8" t="str">
        <f ca="1">IFERROR(__xludf.DUMMYFUNCTION("""COMPUTED_VALUE"""),"Wǒ de qiānbǐ tài duǎnle.")</f>
        <v>Wǒ de qiānbǐ tài duǎnle.</v>
      </c>
    </row>
    <row r="38" spans="1:5" ht="14.25" customHeight="1">
      <c r="A38" s="41" t="s">
        <v>4648</v>
      </c>
      <c r="B38" s="43" t="s">
        <v>4649</v>
      </c>
      <c r="C38" s="46"/>
      <c r="D38" s="46" t="s">
        <v>4650</v>
      </c>
      <c r="E38" s="5" t="str">
        <f ca="1">IFERROR(__xludf.DUMMYFUNCTION("""COMPUTED_VALUE"""),"Wǒ xūyào yī gēn gèng zhǎng de shéngzǐ.")</f>
        <v>Wǒ xūyào yī gēn gèng zhǎng de shéngzǐ.</v>
      </c>
    </row>
    <row r="39" spans="1:5" ht="14.25" customHeight="1">
      <c r="A39" s="41" t="s">
        <v>4651</v>
      </c>
      <c r="B39" s="43" t="s">
        <v>4652</v>
      </c>
      <c r="C39" s="46"/>
      <c r="D39" s="46" t="s">
        <v>4653</v>
      </c>
      <c r="E39" s="6" t="str">
        <f ca="1">IFERROR(__xludf.DUMMYFUNCTION("""COMPUTED_VALUE"""),"Zhège dàizǐ néng zhuāng hěnduō dōngxī.")</f>
        <v>Zhège dàizǐ néng zhuāng hěnduō dōngxī.</v>
      </c>
    </row>
    <row r="40" spans="1:5" ht="14.25" customHeight="1">
      <c r="A40" s="41" t="s">
        <v>4654</v>
      </c>
      <c r="B40" s="43" t="s">
        <v>4655</v>
      </c>
      <c r="C40" s="46"/>
      <c r="D40" s="46" t="s">
        <v>4656</v>
      </c>
      <c r="E40" s="6" t="str">
        <f ca="1">IFERROR(__xludf.DUMMYFUNCTION("""COMPUTED_VALUE"""),"Tā shì kōng de, lǐmiàn shénme dōu méiyǒu.")</f>
        <v>Tā shì kōng de, lǐmiàn shénme dōu méiyǒu.</v>
      </c>
    </row>
    <row r="41" spans="1:5" ht="14.25" customHeight="1">
      <c r="A41" s="41" t="s">
        <v>4657</v>
      </c>
      <c r="B41" s="41" t="s">
        <v>4658</v>
      </c>
      <c r="C41" s="42"/>
      <c r="D41" s="42"/>
      <c r="E41" s="5" t="str">
        <f ca="1">IFERROR(__xludf.DUMMYFUNCTION("""COMPUTED_VALUE"""),"Tā zhuāng mǎnle!")</f>
        <v>Tā zhuāng mǎnle!</v>
      </c>
    </row>
    <row r="42" spans="1:5" ht="14.25" customHeight="1">
      <c r="A42" s="41" t="s">
        <v>4659</v>
      </c>
      <c r="B42" s="43" t="s">
        <v>4660</v>
      </c>
      <c r="C42" s="46"/>
      <c r="D42" s="46" t="s">
        <v>4661</v>
      </c>
      <c r="E42" s="4" t="str">
        <f ca="1">IFERROR(__xludf.DUMMYFUNCTION("""COMPUTED_VALUE"""),"Wǒ xiǎng bǎ zhǐ jiǎn chéng yuán xíng.")</f>
        <v>Wǒ xiǎng bǎ zhǐ jiǎn chéng yuán xíng.</v>
      </c>
    </row>
    <row r="43" spans="1:5" ht="14.25" customHeight="1">
      <c r="A43" s="41" t="s">
        <v>4662</v>
      </c>
      <c r="B43" s="43" t="s">
        <v>4663</v>
      </c>
      <c r="C43" s="46"/>
      <c r="D43" s="46"/>
      <c r="E43" s="5" t="str">
        <f ca="1">IFERROR(__xludf.DUMMYFUNCTION("""COMPUTED_VALUE"""),"Wǒmen lái huà gè zhèngfāngxíng ba.")</f>
        <v>Wǒmen lái huà gè zhèngfāngxíng ba.</v>
      </c>
    </row>
    <row r="44" spans="1:5" ht="14.25" customHeight="1">
      <c r="A44" s="41" t="s">
        <v>4664</v>
      </c>
      <c r="B44" s="43" t="s">
        <v>4665</v>
      </c>
      <c r="C44" s="46"/>
      <c r="D44" s="46" t="s">
        <v>4666</v>
      </c>
      <c r="E44" s="4" t="str">
        <f ca="1">IFERROR(__xludf.DUMMYFUNCTION("""COMPUTED_VALUE"""),"Zhè zuò tǎ hěn gāo.")</f>
        <v>Zhè zuò tǎ hěn gāo.</v>
      </c>
    </row>
    <row r="45" spans="1:5" ht="14.25" customHeight="1">
      <c r="A45" s="41" t="s">
        <v>4667</v>
      </c>
      <c r="B45" s="43" t="s">
        <v>4668</v>
      </c>
      <c r="C45" s="46"/>
      <c r="D45" s="46"/>
      <c r="E45" s="5" t="str">
        <f ca="1">IFERROR(__xludf.DUMMYFUNCTION("""COMPUTED_VALUE"""),"Zhè tiáo hé hěn kuān.")</f>
        <v>Zhè tiáo hé hěn kuān.</v>
      </c>
    </row>
    <row r="46" spans="1:5" ht="14.25" customHeight="1">
      <c r="A46" s="41" t="s">
        <v>4669</v>
      </c>
      <c r="B46" s="43" t="s">
        <v>4670</v>
      </c>
      <c r="C46" s="46"/>
      <c r="D46" s="46" t="s">
        <v>4671</v>
      </c>
      <c r="E46" s="4" t="str">
        <f ca="1">IFERROR(__xludf.DUMMYFUNCTION("""COMPUTED_VALUE"""),"Zhè tiáo xiǎo xī yòu xiǎo yòu piàoliang.")</f>
        <v>Zhè tiáo xiǎo xī yòu xiǎo yòu piàoliang.</v>
      </c>
    </row>
    <row r="47" spans="1:5" ht="14.25" customHeight="1">
      <c r="A47" s="41" t="s">
        <v>4672</v>
      </c>
      <c r="B47" s="43" t="s">
        <v>4673</v>
      </c>
      <c r="C47" s="46"/>
      <c r="D47" s="46"/>
      <c r="E47" s="4" t="str">
        <f ca="1">IFERROR(__xludf.DUMMYFUNCTION("""COMPUTED_VALUE"""),"Zhège qiú shì wánměi de yuán xíng.")</f>
        <v>Zhège qiú shì wánměi de yuán xíng.</v>
      </c>
    </row>
    <row r="48" spans="1:5" ht="14.25" customHeight="1">
      <c r="A48" s="41" t="s">
        <v>4674</v>
      </c>
      <c r="B48" s="43" t="s">
        <v>4675</v>
      </c>
      <c r="C48" s="46"/>
      <c r="D48" s="46" t="s">
        <v>4676</v>
      </c>
      <c r="E48" s="4" t="str">
        <f ca="1">IFERROR(__xludf.DUMMYFUNCTION("""COMPUTED_VALUE"""),"Tā yǒudiǎn āo xiàn.")</f>
        <v>Tā yǒudiǎn āo xiàn.</v>
      </c>
    </row>
    <row r="49" spans="1:5" ht="14.25" customHeight="1">
      <c r="A49" s="41" t="s">
        <v>4677</v>
      </c>
      <c r="B49" s="43" t="s">
        <v>4678</v>
      </c>
      <c r="C49" s="46"/>
      <c r="D49" s="46"/>
      <c r="E49" s="5" t="str">
        <f ca="1">IFERROR(__xludf.DUMMYFUNCTION("""COMPUTED_VALUE"""),"Wǒ xǐhuān zhège xíngzhuàng.")</f>
        <v>Wǒ xǐhuān zhège xíngzhuàng.</v>
      </c>
    </row>
    <row r="50" spans="1:5" ht="14.25" customHeight="1">
      <c r="A50" s="41" t="s">
        <v>4679</v>
      </c>
      <c r="B50" s="43" t="s">
        <v>4680</v>
      </c>
      <c r="C50" s="46"/>
      <c r="D50" s="46" t="s">
        <v>4681</v>
      </c>
      <c r="E50" s="6" t="str">
        <f ca="1">IFERROR(__xludf.DUMMYFUNCTION("""COMPUTED_VALUE"""),"Zhège chǐcùn hěn shìhé wǒ.")</f>
        <v>Zhège chǐcùn hěn shìhé wǒ.</v>
      </c>
    </row>
    <row r="51" spans="1:5" ht="14.25" customHeight="1">
      <c r="A51" s="41" t="s">
        <v>4682</v>
      </c>
      <c r="B51" s="43" t="s">
        <v>4683</v>
      </c>
      <c r="C51" s="46"/>
      <c r="D51" s="46" t="s">
        <v>4684</v>
      </c>
      <c r="E51" s="6" t="str">
        <f ca="1">IFERROR(__xludf.DUMMYFUNCTION("""COMPUTED_VALUE"""),"Měi zhǒng xíngzhuàng dōu yǒu tā dútè dì měi.")</f>
        <v>Měi zhǒng xíngzhuàng dōu yǒu tā dútè dì měi.</v>
      </c>
    </row>
    <row r="52" spans="1:5" ht="14.25" customHeight="1">
      <c r="A52" s="42"/>
      <c r="B52" s="46"/>
      <c r="C52" s="46"/>
      <c r="D52" s="46" t="s">
        <v>4685</v>
      </c>
    </row>
    <row r="53" spans="1:5" ht="14.25" customHeight="1">
      <c r="A53" s="42"/>
      <c r="B53" s="46"/>
      <c r="C53" s="46"/>
      <c r="D53" s="46"/>
      <c r="E53" s="5"/>
    </row>
    <row r="54" spans="1:5" ht="14.25" customHeight="1">
      <c r="A54" s="42"/>
      <c r="B54" s="46"/>
      <c r="C54" s="46"/>
      <c r="D54" s="46" t="s">
        <v>4686</v>
      </c>
      <c r="E54" s="5"/>
    </row>
    <row r="55" spans="1:5" ht="14.25" customHeight="1">
      <c r="A55" s="42"/>
      <c r="B55" s="46"/>
      <c r="C55" s="46"/>
      <c r="D55" s="46" t="s">
        <v>4687</v>
      </c>
      <c r="E55" s="5"/>
    </row>
    <row r="56" spans="1:5" ht="14.25" customHeight="1">
      <c r="A56" s="42"/>
      <c r="B56" s="46"/>
      <c r="C56" s="46"/>
      <c r="D56" s="46" t="s">
        <v>4688</v>
      </c>
      <c r="E56" s="5"/>
    </row>
    <row r="57" spans="1:5" ht="14.25" customHeight="1">
      <c r="A57" s="42"/>
      <c r="B57" s="46"/>
      <c r="C57" s="46"/>
      <c r="D57" s="46" t="s">
        <v>4689</v>
      </c>
      <c r="E57" s="5"/>
    </row>
    <row r="58" spans="1:5" ht="14.25" customHeight="1">
      <c r="A58" s="42"/>
      <c r="B58" s="46"/>
      <c r="C58" s="46"/>
      <c r="D58" s="10" t="s">
        <v>4690</v>
      </c>
      <c r="E58" s="5"/>
    </row>
    <row r="59" spans="1:5" ht="14.25" customHeight="1">
      <c r="A59" s="42"/>
      <c r="B59" s="46"/>
      <c r="C59" s="46"/>
      <c r="D59" s="46" t="s">
        <v>4691</v>
      </c>
    </row>
    <row r="60" spans="1:5" ht="14.25" customHeight="1">
      <c r="A60" s="42"/>
      <c r="B60" s="46"/>
      <c r="C60" s="46"/>
      <c r="D60" s="46" t="s">
        <v>4692</v>
      </c>
      <c r="E60" s="5"/>
    </row>
    <row r="61" spans="1:5" ht="14.25" customHeight="1">
      <c r="A61" s="42"/>
      <c r="B61" s="46"/>
      <c r="C61" s="46"/>
      <c r="D61" s="46"/>
      <c r="E61" s="5"/>
    </row>
    <row r="62" spans="1:5" ht="14.25" customHeight="1">
      <c r="A62" s="42"/>
      <c r="B62" s="46"/>
      <c r="C62" s="46"/>
      <c r="D62" s="46" t="s">
        <v>4693</v>
      </c>
      <c r="E62" s="5"/>
    </row>
    <row r="63" spans="1:5" ht="14.25" customHeight="1">
      <c r="A63" s="42"/>
      <c r="B63" s="46"/>
      <c r="C63" s="46"/>
      <c r="D63" s="46"/>
      <c r="E63" s="5"/>
    </row>
    <row r="64" spans="1:5" ht="14.25" customHeight="1">
      <c r="A64" s="42"/>
      <c r="B64" s="46"/>
      <c r="C64" s="46"/>
      <c r="D64" s="46" t="s">
        <v>4694</v>
      </c>
      <c r="E64" s="5"/>
    </row>
    <row r="65" spans="1:5" ht="14.25" customHeight="1">
      <c r="A65" s="42"/>
      <c r="B65" s="46"/>
      <c r="C65" s="46"/>
      <c r="D65" s="46"/>
      <c r="E65" s="5"/>
    </row>
    <row r="66" spans="1:5" ht="14.25" customHeight="1">
      <c r="A66" s="42"/>
      <c r="B66" s="46"/>
      <c r="C66" s="46"/>
      <c r="D66" s="46" t="s">
        <v>4695</v>
      </c>
      <c r="E66" s="5"/>
    </row>
    <row r="67" spans="1:5" ht="14.25" customHeight="1">
      <c r="A67" s="42"/>
      <c r="B67" s="46"/>
      <c r="C67" s="46"/>
      <c r="D67" s="46"/>
      <c r="E67" s="5"/>
    </row>
    <row r="68" spans="1:5" ht="14.25" customHeight="1">
      <c r="A68" s="42"/>
      <c r="B68" s="46"/>
      <c r="C68" s="46"/>
      <c r="D68" s="46" t="s">
        <v>4696</v>
      </c>
      <c r="E68" s="5"/>
    </row>
    <row r="69" spans="1:5" ht="14.25" customHeight="1">
      <c r="A69" s="42"/>
      <c r="B69" s="46"/>
      <c r="C69" s="46"/>
      <c r="D69" s="46"/>
      <c r="E69" s="5"/>
    </row>
    <row r="70" spans="1:5" ht="14.25" customHeight="1">
      <c r="A70" s="42"/>
      <c r="B70" s="46"/>
      <c r="C70" s="46"/>
      <c r="D70" s="46" t="s">
        <v>4697</v>
      </c>
      <c r="E70" s="5"/>
    </row>
    <row r="71" spans="1:5" ht="14.25" customHeight="1">
      <c r="A71" s="42"/>
      <c r="B71" s="46"/>
      <c r="C71" s="46"/>
      <c r="D71" s="46"/>
      <c r="E71" s="5"/>
    </row>
    <row r="72" spans="1:5" ht="14.25" customHeight="1">
      <c r="A72" s="42"/>
      <c r="B72" s="46"/>
      <c r="C72" s="46"/>
      <c r="D72" s="46" t="s">
        <v>4698</v>
      </c>
      <c r="E72" s="5"/>
    </row>
    <row r="73" spans="1:5" ht="14.25" customHeight="1">
      <c r="A73" s="42"/>
      <c r="B73" s="46"/>
      <c r="C73" s="46"/>
      <c r="D73" s="46"/>
      <c r="E73" s="5"/>
    </row>
    <row r="74" spans="1:5" ht="14.25" customHeight="1">
      <c r="A74" s="42"/>
      <c r="B74" s="46"/>
      <c r="C74" s="46"/>
      <c r="D74" s="46" t="s">
        <v>4699</v>
      </c>
      <c r="E74" s="5"/>
    </row>
    <row r="75" spans="1:5" ht="14.25" customHeight="1">
      <c r="A75" s="42"/>
      <c r="B75" s="46"/>
      <c r="C75" s="46"/>
      <c r="D75" s="46"/>
      <c r="E75" s="5"/>
    </row>
    <row r="76" spans="1:5" ht="14.25" customHeight="1">
      <c r="A76" s="42"/>
      <c r="B76" s="46"/>
      <c r="C76" s="46"/>
      <c r="D76" s="46" t="s">
        <v>4700</v>
      </c>
      <c r="E76" s="5"/>
    </row>
    <row r="77" spans="1:5" ht="14.25" customHeight="1">
      <c r="A77" s="42"/>
      <c r="B77" s="46"/>
      <c r="C77" s="46"/>
      <c r="D77" s="46"/>
      <c r="E77" s="5"/>
    </row>
    <row r="78" spans="1:5" ht="14.25" customHeight="1">
      <c r="A78" s="42"/>
      <c r="B78" s="46"/>
      <c r="C78" s="46"/>
      <c r="D78" s="46" t="s">
        <v>4701</v>
      </c>
      <c r="E78" s="5"/>
    </row>
    <row r="79" spans="1:5" ht="14.25" customHeight="1">
      <c r="A79" s="42"/>
      <c r="B79" s="46"/>
      <c r="C79" s="46"/>
      <c r="D79" s="46"/>
      <c r="E79" s="5"/>
    </row>
    <row r="80" spans="1:5" ht="14.25" customHeight="1">
      <c r="A80" s="42"/>
      <c r="B80" s="46"/>
      <c r="C80" s="46"/>
      <c r="D80" s="46" t="s">
        <v>4702</v>
      </c>
      <c r="E80" s="5"/>
    </row>
    <row r="81" spans="1:5" ht="14.25" customHeight="1">
      <c r="A81" s="42"/>
      <c r="B81" s="46"/>
      <c r="C81" s="46"/>
      <c r="D81" s="46"/>
      <c r="E81" s="5"/>
    </row>
    <row r="82" spans="1:5" ht="14.25" customHeight="1">
      <c r="A82" s="42"/>
      <c r="B82" s="46"/>
      <c r="C82" s="46"/>
      <c r="D82" s="46" t="s">
        <v>4703</v>
      </c>
      <c r="E82" s="5"/>
    </row>
    <row r="83" spans="1:5" ht="14.25" customHeight="1">
      <c r="A83" s="42"/>
      <c r="B83" s="46"/>
      <c r="C83" s="46"/>
      <c r="D83" s="46"/>
      <c r="E83" s="5"/>
    </row>
    <row r="84" spans="1:5" ht="14.25" customHeight="1">
      <c r="A84" s="42"/>
      <c r="B84" s="46"/>
      <c r="C84" s="46"/>
      <c r="D84" s="46" t="s">
        <v>4704</v>
      </c>
      <c r="E84" s="5"/>
    </row>
    <row r="85" spans="1:5" ht="14.25" customHeight="1">
      <c r="A85" s="42"/>
      <c r="B85" s="46"/>
      <c r="C85" s="46"/>
      <c r="D85" s="46"/>
      <c r="E85" s="5"/>
    </row>
    <row r="86" spans="1:5" ht="14.25" customHeight="1">
      <c r="A86" s="42"/>
      <c r="B86" s="46"/>
      <c r="C86" s="46"/>
      <c r="D86" s="46" t="s">
        <v>4705</v>
      </c>
      <c r="E86" s="5"/>
    </row>
    <row r="87" spans="1:5" ht="14.25" customHeight="1">
      <c r="A87" s="42"/>
      <c r="B87" s="46"/>
      <c r="C87" s="46"/>
      <c r="D87" s="46"/>
      <c r="E87" s="5"/>
    </row>
    <row r="88" spans="1:5" ht="14.25" customHeight="1">
      <c r="A88" s="42"/>
      <c r="B88" s="46"/>
      <c r="C88" s="46"/>
      <c r="D88" s="46" t="s">
        <v>4706</v>
      </c>
      <c r="E88" s="5"/>
    </row>
    <row r="89" spans="1:5" ht="14.25" customHeight="1">
      <c r="A89" s="42"/>
      <c r="B89" s="46"/>
      <c r="C89" s="46"/>
      <c r="D89" s="46"/>
      <c r="E89" s="5"/>
    </row>
    <row r="90" spans="1:5" ht="14.25" customHeight="1">
      <c r="A90" s="42"/>
      <c r="B90" s="46"/>
      <c r="C90" s="46"/>
      <c r="D90" s="46"/>
      <c r="E90" s="5"/>
    </row>
    <row r="91" spans="1:5" ht="14.25" customHeight="1">
      <c r="A91" s="42"/>
      <c r="B91" s="46"/>
      <c r="C91" s="46"/>
      <c r="D91" s="46"/>
      <c r="E91" s="5"/>
    </row>
    <row r="92" spans="1:5" ht="14.25" customHeight="1">
      <c r="A92" s="42"/>
      <c r="B92" s="46"/>
      <c r="C92" s="46"/>
      <c r="D92" s="46"/>
      <c r="E92" s="5"/>
    </row>
    <row r="93" spans="1:5" ht="14.25" customHeight="1">
      <c r="A93" s="42"/>
      <c r="B93" s="46"/>
      <c r="C93" s="46"/>
      <c r="D93" s="46"/>
      <c r="E93" s="5"/>
    </row>
    <row r="94" spans="1:5" ht="14.25" customHeight="1">
      <c r="A94" s="42"/>
      <c r="B94" s="46"/>
      <c r="C94" s="46"/>
      <c r="D94" s="46"/>
      <c r="E94" s="5"/>
    </row>
    <row r="95" spans="1:5" ht="14.25" customHeight="1">
      <c r="A95" s="42"/>
      <c r="B95" s="46"/>
      <c r="C95" s="46"/>
      <c r="D95" s="46"/>
      <c r="E95" s="5"/>
    </row>
    <row r="96" spans="1:5" ht="14.25" customHeight="1">
      <c r="A96" s="42"/>
      <c r="B96" s="46"/>
      <c r="C96" s="46"/>
      <c r="D96" s="46"/>
      <c r="E96" s="5"/>
    </row>
    <row r="97" spans="1:5" ht="14.25" customHeight="1">
      <c r="A97" s="42"/>
      <c r="B97" s="46"/>
      <c r="C97" s="46"/>
      <c r="D97" s="46"/>
      <c r="E97" s="5"/>
    </row>
    <row r="98" spans="1:5" ht="14.25" customHeight="1">
      <c r="A98" s="42"/>
      <c r="B98" s="46"/>
      <c r="C98" s="46"/>
      <c r="D98" s="46"/>
      <c r="E98" s="5"/>
    </row>
  </sheetData>
  <pageMargins left="0.75" right="0.75" top="1" bottom="1"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pane ySplit="1" topLeftCell="A2" activePane="bottomLeft" state="frozen"/>
      <selection pane="bottomLeft" activeCell="B3" sqref="B3"/>
    </sheetView>
  </sheetViews>
  <sheetFormatPr defaultColWidth="14.44140625" defaultRowHeight="15" customHeight="1"/>
  <cols>
    <col min="1" max="1" width="50.6640625" customWidth="1"/>
    <col min="2" max="2" width="55.88671875" customWidth="1"/>
    <col min="3" max="3" width="21.6640625" customWidth="1"/>
    <col min="4" max="4" width="55.88671875" customWidth="1"/>
    <col min="5" max="5" width="56.88671875" customWidth="1"/>
  </cols>
  <sheetData>
    <row r="1" spans="1:5" ht="14.25" customHeight="1">
      <c r="A1" s="54" t="s">
        <v>4707</v>
      </c>
      <c r="E1" s="2"/>
    </row>
    <row r="2" spans="1:5" ht="14.25" customHeight="1">
      <c r="A2" s="41" t="s">
        <v>4708</v>
      </c>
      <c r="B2" s="10" t="s">
        <v>4709</v>
      </c>
      <c r="C2" s="10"/>
      <c r="D2" s="10" t="s">
        <v>4710</v>
      </c>
      <c r="E2" s="5" t="str">
        <f ca="1">IFERROR(__xludf.DUMMYFUNCTION("FILTER(D1:D1004,D1:D1004&lt;&gt; """")"),"Zhè zhāng zhuōzǐ zhēn jiēshi.")</f>
        <v>Zhè zhāng zhuōzǐ zhēn jiēshi.</v>
      </c>
    </row>
    <row r="3" spans="1:5" ht="14.25" customHeight="1">
      <c r="A3" s="41" t="s">
        <v>4711</v>
      </c>
      <c r="B3" s="10" t="s">
        <v>4712</v>
      </c>
      <c r="C3" s="10"/>
      <c r="D3" s="10"/>
      <c r="E3" s="6" t="str">
        <f ca="1">IFERROR(__xludf.DUMMYFUNCTION("""COMPUTED_VALUE"""),"Wǒ zhèng zuò zài yǐzǐ shàng.")</f>
        <v>Wǒ zhèng zuò zài yǐzǐ shàng.</v>
      </c>
    </row>
    <row r="4" spans="1:5" ht="14.25" customHeight="1">
      <c r="A4" s="41" t="s">
        <v>4713</v>
      </c>
      <c r="B4" s="10" t="s">
        <v>4714</v>
      </c>
      <c r="C4" s="10"/>
      <c r="D4" s="10" t="s">
        <v>4715</v>
      </c>
      <c r="E4" s="5" t="str">
        <f ca="1">IFERROR(__xludf.DUMMYFUNCTION("""COMPUTED_VALUE"""),"Wǒ xiǎng tǎng zài shāfā shàng.")</f>
        <v>Wǒ xiǎng tǎng zài shāfā shàng.</v>
      </c>
    </row>
    <row r="5" spans="1:5" ht="14.25" customHeight="1">
      <c r="A5" s="41" t="s">
        <v>4716</v>
      </c>
      <c r="B5" s="10" t="s">
        <v>4717</v>
      </c>
      <c r="C5" s="10"/>
      <c r="D5" s="10"/>
      <c r="E5" s="5" t="str">
        <f ca="1">IFERROR(__xludf.DUMMYFUNCTION("""COMPUTED_VALUE"""),"Qǐng dǎkāi diànshì.")</f>
        <v>Qǐng dǎkāi diànshì.</v>
      </c>
    </row>
    <row r="6" spans="1:5" ht="14.25" customHeight="1">
      <c r="A6" s="41" t="s">
        <v>4718</v>
      </c>
      <c r="B6" s="10" t="s">
        <v>4719</v>
      </c>
      <c r="C6" s="10"/>
      <c r="D6" s="10" t="s">
        <v>4720</v>
      </c>
      <c r="E6" s="5" t="str">
        <f ca="1">IFERROR(__xludf.DUMMYFUNCTION("""COMPUTED_VALUE"""),"Wǒ zài zhǎo yáokòng qì.")</f>
        <v>Wǒ zài zhǎo yáokòng qì.</v>
      </c>
    </row>
    <row r="7" spans="1:5" ht="14.25" customHeight="1">
      <c r="A7" s="41" t="s">
        <v>4721</v>
      </c>
      <c r="B7" s="10" t="s">
        <v>4722</v>
      </c>
      <c r="C7" s="10"/>
      <c r="D7" s="10"/>
      <c r="E7" s="5" t="str">
        <f ca="1">IFERROR(__xludf.DUMMYFUNCTION("""COMPUTED_VALUE"""),"Chuānghù kāizhe.")</f>
        <v>Chuānghù kāizhe.</v>
      </c>
    </row>
    <row r="8" spans="1:5" ht="14.25" customHeight="1">
      <c r="A8" s="41" t="s">
        <v>4723</v>
      </c>
      <c r="B8" s="10" t="s">
        <v>4724</v>
      </c>
      <c r="C8" s="10"/>
      <c r="D8" s="10" t="s">
        <v>4725</v>
      </c>
      <c r="E8" s="5" t="str">
        <f ca="1">IFERROR(__xludf.DUMMYFUNCTION("""COMPUTED_VALUE"""),"Qǐng bāng wǒ guānshàng qiánmén.")</f>
        <v>Qǐng bāng wǒ guānshàng qiánmén.</v>
      </c>
    </row>
    <row r="9" spans="1:5" ht="14.25" customHeight="1">
      <c r="A9" s="41" t="s">
        <v>4726</v>
      </c>
      <c r="B9" s="10" t="s">
        <v>4727</v>
      </c>
      <c r="C9" s="10"/>
      <c r="D9" s="10"/>
      <c r="E9" s="5" t="str">
        <f ca="1">IFERROR(__xludf.DUMMYFUNCTION("""COMPUTED_VALUE"""),"Zhèxiē chuānglián zhēn piàoliang.")</f>
        <v>Zhèxiē chuānglián zhēn piàoliang.</v>
      </c>
    </row>
    <row r="10" spans="1:5" ht="14.25" customHeight="1">
      <c r="A10" s="41" t="s">
        <v>4728</v>
      </c>
      <c r="B10" s="10" t="s">
        <v>4729</v>
      </c>
      <c r="C10" s="10"/>
      <c r="D10" s="10" t="s">
        <v>4730</v>
      </c>
      <c r="E10" s="5" t="str">
        <f ca="1">IFERROR(__xludf.DUMMYFUNCTION("""COMPUTED_VALUE"""),"Wǒ xūyào yīgè zhěntou.")</f>
        <v>Wǒ xūyào yīgè zhěntou.</v>
      </c>
    </row>
    <row r="11" spans="1:5" ht="14.25" customHeight="1">
      <c r="A11" s="41" t="s">
        <v>4731</v>
      </c>
      <c r="B11" s="10" t="s">
        <v>4732</v>
      </c>
      <c r="C11" s="10"/>
      <c r="D11" s="10"/>
      <c r="E11" s="5" t="str">
        <f ca="1">IFERROR(__xludf.DUMMYFUNCTION("""COMPUTED_VALUE"""),"Gài shàng tǎnzǐ bǎonuǎn.")</f>
        <v>Gài shàng tǎnzǐ bǎonuǎn.</v>
      </c>
    </row>
    <row r="12" spans="1:5" ht="14.25" customHeight="1">
      <c r="A12" s="41" t="s">
        <v>4733</v>
      </c>
      <c r="B12" s="10" t="s">
        <v>4734</v>
      </c>
      <c r="C12" s="10"/>
      <c r="D12" s="10" t="s">
        <v>4735</v>
      </c>
      <c r="E12" s="6" t="str">
        <f ca="1">IFERROR(__xludf.DUMMYFUNCTION("""COMPUTED_VALUE"""),"Wǒ zài zhào jìngzǐ.")</f>
        <v>Wǒ zài zhào jìngzǐ.</v>
      </c>
    </row>
    <row r="13" spans="1:5" ht="14.25" customHeight="1">
      <c r="A13" s="41" t="s">
        <v>4736</v>
      </c>
      <c r="B13" s="10" t="s">
        <v>4737</v>
      </c>
      <c r="C13" s="10"/>
      <c r="D13" s="10"/>
      <c r="E13" s="6" t="str">
        <f ca="1">IFERROR(__xludf.DUMMYFUNCTION("""COMPUTED_VALUE"""),"Wǒ de yīguì zài zhèlǐ.")</f>
        <v>Wǒ de yīguì zài zhèlǐ.</v>
      </c>
    </row>
    <row r="14" spans="1:5" ht="14.25" customHeight="1">
      <c r="A14" s="41" t="s">
        <v>4738</v>
      </c>
      <c r="B14" s="10" t="s">
        <v>4739</v>
      </c>
      <c r="C14" s="10"/>
      <c r="D14" s="10" t="s">
        <v>4740</v>
      </c>
      <c r="E14" s="6" t="str">
        <f ca="1">IFERROR(__xludf.DUMMYFUNCTION("""COMPUTED_VALUE"""),"Bǎ yīfú guà zài yījià shàng.")</f>
        <v>Bǎ yīfú guà zài yījià shàng.</v>
      </c>
    </row>
    <row r="15" spans="1:5" ht="14.25" customHeight="1">
      <c r="A15" s="41" t="s">
        <v>4741</v>
      </c>
      <c r="B15" s="10" t="s">
        <v>4742</v>
      </c>
      <c r="C15" s="10"/>
      <c r="D15" s="10"/>
      <c r="E15" s="6" t="str">
        <f ca="1">IFERROR(__xludf.DUMMYFUNCTION("""COMPUTED_VALUE"""),"Wǒ xūyào yī zhǎn táidēng lái xuéxí.")</f>
        <v>Wǒ xūyào yī zhǎn táidēng lái xuéxí.</v>
      </c>
    </row>
    <row r="16" spans="1:5" ht="14.25" customHeight="1">
      <c r="A16" s="41" t="s">
        <v>4743</v>
      </c>
      <c r="B16" s="10" t="s">
        <v>4744</v>
      </c>
      <c r="C16" s="10"/>
      <c r="D16" s="10" t="s">
        <v>4745</v>
      </c>
      <c r="E16" s="6" t="str">
        <f ca="1">IFERROR(__xludf.DUMMYFUNCTION("""COMPUTED_VALUE"""),"Diàn fēngshàn zhuǎn dé zhēn hǎo.")</f>
        <v>Diàn fēngshàn zhuǎn dé zhēn hǎo.</v>
      </c>
    </row>
    <row r="17" spans="1:5" ht="14.25" customHeight="1">
      <c r="A17" s="41" t="s">
        <v>4746</v>
      </c>
      <c r="B17" s="10" t="s">
        <v>4747</v>
      </c>
      <c r="C17" s="10"/>
      <c r="D17" s="10"/>
      <c r="E17" s="6" t="str">
        <f ca="1">IFERROR(__xludf.DUMMYFUNCTION("""COMPUTED_VALUE"""),"Wǒ kěyǐ dǎkāi kòngtiáo ma?")</f>
        <v>Wǒ kěyǐ dǎkāi kòngtiáo ma?</v>
      </c>
    </row>
    <row r="18" spans="1:5" ht="14.25" customHeight="1">
      <c r="A18" s="41" t="s">
        <v>4748</v>
      </c>
      <c r="B18" s="10" t="s">
        <v>4749</v>
      </c>
      <c r="C18" s="10"/>
      <c r="D18" s="10" t="s">
        <v>4750</v>
      </c>
      <c r="E18" s="5" t="str">
        <f ca="1">IFERROR(__xludf.DUMMYFUNCTION("""COMPUTED_VALUE"""),"Wǒ zài sǎodì.")</f>
        <v>Wǒ zài sǎodì.</v>
      </c>
    </row>
    <row r="19" spans="1:5" ht="14.25" customHeight="1">
      <c r="A19" s="41" t="s">
        <v>4751</v>
      </c>
      <c r="B19" s="10" t="s">
        <v>4752</v>
      </c>
      <c r="C19" s="10"/>
      <c r="D19" s="10"/>
      <c r="E19" s="4" t="str">
        <f ca="1">IFERROR(__xludf.DUMMYFUNCTION("""COMPUTED_VALUE"""),"Sàozhǒu zài nǎ'er?")</f>
        <v>Sàozhǒu zài nǎ'er?</v>
      </c>
    </row>
    <row r="20" spans="1:5" ht="14.25" customHeight="1">
      <c r="A20" s="41" t="s">
        <v>4753</v>
      </c>
      <c r="B20" s="10" t="s">
        <v>4754</v>
      </c>
      <c r="C20" s="10"/>
      <c r="D20" s="10" t="s">
        <v>4755</v>
      </c>
      <c r="E20" s="5" t="str">
        <f ca="1">IFERROR(__xludf.DUMMYFUNCTION("""COMPUTED_VALUE"""),"Wǒ yào tuō dì.")</f>
        <v>Wǒ yào tuō dì.</v>
      </c>
    </row>
    <row r="21" spans="1:5" ht="14.25" customHeight="1">
      <c r="A21" s="41" t="s">
        <v>4756</v>
      </c>
      <c r="B21" s="10" t="s">
        <v>4757</v>
      </c>
      <c r="C21" s="10"/>
      <c r="D21" s="10"/>
      <c r="E21" s="6" t="str">
        <f ca="1">IFERROR(__xludf.DUMMYFUNCTION("""COMPUTED_VALUE"""),"Lèsè tǒng mǎnle.")</f>
        <v>Lèsè tǒng mǎnle.</v>
      </c>
    </row>
    <row r="22" spans="1:5" ht="14.25" customHeight="1">
      <c r="A22" s="41" t="s">
        <v>4758</v>
      </c>
      <c r="B22" s="10" t="s">
        <v>4759</v>
      </c>
      <c r="C22" s="10"/>
      <c r="D22" s="10" t="s">
        <v>4760</v>
      </c>
      <c r="E22" s="6" t="str">
        <f ca="1">IFERROR(__xludf.DUMMYFUNCTION("""COMPUTED_VALUE"""),"Wǒ xūyào jiǎndāo.")</f>
        <v>Wǒ xūyào jiǎndāo.</v>
      </c>
    </row>
    <row r="23" spans="1:5" ht="14.25" customHeight="1">
      <c r="A23" s="41" t="s">
        <v>4761</v>
      </c>
      <c r="B23" s="10" t="s">
        <v>4762</v>
      </c>
      <c r="C23" s="10"/>
      <c r="D23" s="10"/>
      <c r="E23" s="6" t="str">
        <f ca="1">IFERROR(__xludf.DUMMYFUNCTION("""COMPUTED_VALUE"""),"Jiāodài zài chōutì lǐ.")</f>
        <v>Jiāodài zài chōutì lǐ.</v>
      </c>
    </row>
    <row r="24" spans="1:5" ht="14.25" customHeight="1">
      <c r="A24" s="41" t="s">
        <v>4763</v>
      </c>
      <c r="B24" s="10" t="s">
        <v>4764</v>
      </c>
      <c r="C24" s="10"/>
      <c r="D24" s="10" t="s">
        <v>4765</v>
      </c>
      <c r="E24" s="6" t="str">
        <f ca="1">IFERROR(__xludf.DUMMYFUNCTION("""COMPUTED_VALUE"""),"Guàzhōng zǒushí hěn zhǔn.")</f>
        <v>Guàzhōng zǒushí hěn zhǔn.</v>
      </c>
    </row>
    <row r="25" spans="1:5" ht="14.25" customHeight="1">
      <c r="A25" s="41" t="s">
        <v>4766</v>
      </c>
      <c r="B25" s="10" t="s">
        <v>4767</v>
      </c>
      <c r="C25" s="10"/>
      <c r="D25" s="10"/>
      <c r="E25" s="6" t="str">
        <f ca="1">IFERROR(__xludf.DUMMYFUNCTION("""COMPUTED_VALUE"""),"Gēnghuàn guàzhōng diànchí.")</f>
        <v>Gēnghuàn guàzhōng diànchí.</v>
      </c>
    </row>
    <row r="26" spans="1:5" ht="14.25" customHeight="1">
      <c r="A26" s="41" t="s">
        <v>4768</v>
      </c>
      <c r="B26" s="10" t="s">
        <v>4769</v>
      </c>
      <c r="C26" s="10"/>
      <c r="D26" s="10" t="s">
        <v>4770</v>
      </c>
      <c r="E26" s="6" t="str">
        <f ca="1">IFERROR(__xludf.DUMMYFUNCTION("""COMPUTED_VALUE"""),"Wǒ xǐhuān zhè zhāng dìtǎn.")</f>
        <v>Wǒ xǐhuān zhè zhāng dìtǎn.</v>
      </c>
    </row>
    <row r="27" spans="1:5" ht="14.25" customHeight="1">
      <c r="A27" s="41" t="s">
        <v>4771</v>
      </c>
      <c r="B27" s="10" t="s">
        <v>4772</v>
      </c>
      <c r="C27" s="10"/>
      <c r="D27" s="10"/>
      <c r="E27" s="6" t="str">
        <f ca="1">IFERROR(__xludf.DUMMYFUNCTION("""COMPUTED_VALUE"""),"Bǎ xiézǐ fàng zài jiàzǐ shàng.")</f>
        <v>Bǎ xiézǐ fàng zài jiàzǐ shàng.</v>
      </c>
    </row>
    <row r="28" spans="1:5" ht="14.25" customHeight="1">
      <c r="A28" s="41" t="s">
        <v>4773</v>
      </c>
      <c r="B28" s="10" t="s">
        <v>4774</v>
      </c>
      <c r="C28" s="10"/>
      <c r="D28" s="10" t="s">
        <v>4775</v>
      </c>
      <c r="E28" s="6" t="str">
        <f ca="1">IFERROR(__xludf.DUMMYFUNCTION("""COMPUTED_VALUE"""),"Wǒ zài gěi shǒujī chōngdiàn.")</f>
        <v>Wǒ zài gěi shǒujī chōngdiàn.</v>
      </c>
    </row>
    <row r="29" spans="1:5" ht="14.25" customHeight="1">
      <c r="A29" s="41" t="s">
        <v>2097</v>
      </c>
      <c r="B29" s="10" t="s">
        <v>4776</v>
      </c>
      <c r="C29" s="10"/>
      <c r="D29" s="10"/>
      <c r="E29" s="37" t="str">
        <f ca="1">IFERROR(__xludf.DUMMYFUNCTION("""COMPUTED_VALUE"""),"Diànyuán chāzuò zài nǎlǐ?")</f>
        <v>Diànyuán chāzuò zài nǎlǐ?</v>
      </c>
    </row>
    <row r="30" spans="1:5" ht="14.25" customHeight="1">
      <c r="A30" s="41" t="s">
        <v>4777</v>
      </c>
      <c r="B30" s="10" t="s">
        <v>4778</v>
      </c>
      <c r="C30" s="10"/>
      <c r="D30" s="10" t="s">
        <v>4779</v>
      </c>
      <c r="E30" s="6" t="str">
        <f ca="1">IFERROR(__xludf.DUMMYFUNCTION("""COMPUTED_VALUE"""),"Xiǎoxīn bié chùdiàn.")</f>
        <v>Xiǎoxīn bié chùdiàn.</v>
      </c>
    </row>
    <row r="31" spans="1:5" ht="14.25" customHeight="1">
      <c r="A31" s="41" t="s">
        <v>4780</v>
      </c>
      <c r="B31" s="10" t="s">
        <v>4781</v>
      </c>
      <c r="C31" s="10"/>
      <c r="D31" s="10"/>
      <c r="E31" s="4" t="str">
        <f ca="1">IFERROR(__xludf.DUMMYFUNCTION("""COMPUTED_VALUE"""),"Wǒ zài chuángshàng kànshū.")</f>
        <v>Wǒ zài chuángshàng kànshū.</v>
      </c>
    </row>
    <row r="32" spans="1:5" ht="14.25" customHeight="1">
      <c r="A32" s="41" t="s">
        <v>4782</v>
      </c>
      <c r="B32" s="10" t="s">
        <v>4783</v>
      </c>
      <c r="C32" s="10"/>
      <c r="D32" s="10" t="s">
        <v>4784</v>
      </c>
      <c r="E32" s="4" t="str">
        <f ca="1">IFERROR(__xludf.DUMMYFUNCTION("""COMPUTED_VALUE"""),"Chuángdān zhēn gānjìng.")</f>
        <v>Chuángdān zhēn gānjìng.</v>
      </c>
    </row>
    <row r="33" spans="1:5" ht="14.25" customHeight="1">
      <c r="A33" s="41" t="s">
        <v>4785</v>
      </c>
      <c r="B33" s="10" t="s">
        <v>4786</v>
      </c>
      <c r="C33" s="10"/>
      <c r="D33" s="10"/>
      <c r="E33" s="4" t="str">
        <f ca="1">IFERROR(__xludf.DUMMYFUNCTION("""COMPUTED_VALUE"""),"Wǒ xūyào yītiáo máojīn.")</f>
        <v>Wǒ xūyào yītiáo máojīn.</v>
      </c>
    </row>
    <row r="34" spans="1:5" ht="14.25" customHeight="1">
      <c r="A34" s="41" t="s">
        <v>4787</v>
      </c>
      <c r="B34" s="10" t="s">
        <v>4788</v>
      </c>
      <c r="C34" s="10"/>
      <c r="D34" s="10" t="s">
        <v>4789</v>
      </c>
      <c r="E34" s="4" t="str">
        <f ca="1">IFERROR(__xludf.DUMMYFUNCTION("""COMPUTED_VALUE"""),"Wǒ de yáshuā shì lán sè de.")</f>
        <v>Wǒ de yáshuā shì lán sè de.</v>
      </c>
    </row>
    <row r="35" spans="1:5" ht="14.25" customHeight="1">
      <c r="A35" s="41" t="s">
        <v>4790</v>
      </c>
      <c r="B35" s="10" t="s">
        <v>4791</v>
      </c>
      <c r="C35" s="10"/>
      <c r="D35" s="10"/>
      <c r="E35" s="8" t="str">
        <f ca="1">IFERROR(__xludf.DUMMYFUNCTION("""COMPUTED_VALUE"""),"Wǒ de yágāo yòng wánliǎo.")</f>
        <v>Wǒ de yágāo yòng wánliǎo.</v>
      </c>
    </row>
    <row r="36" spans="1:5" ht="14.25" customHeight="1">
      <c r="A36" s="41" t="s">
        <v>4792</v>
      </c>
      <c r="B36" s="10" t="s">
        <v>4793</v>
      </c>
      <c r="C36" s="10"/>
      <c r="D36" s="10" t="s">
        <v>4794</v>
      </c>
      <c r="E36" s="5" t="str">
        <f ca="1">IFERROR(__xludf.DUMMYFUNCTION("""COMPUTED_VALUE"""),"Wǒ zài shuǐcáo lǐ xǐliǎn.")</f>
        <v>Wǒ zài shuǐcáo lǐ xǐliǎn.</v>
      </c>
    </row>
    <row r="37" spans="1:5" ht="14.25" customHeight="1">
      <c r="A37" s="41" t="s">
        <v>4795</v>
      </c>
      <c r="B37" s="10" t="s">
        <v>4796</v>
      </c>
      <c r="C37" s="10"/>
      <c r="D37" s="10"/>
      <c r="E37" s="8" t="str">
        <f ca="1">IFERROR(__xludf.DUMMYFUNCTION("""COMPUTED_VALUE"""),"Shuǐlóngtóu lòushuǐle.")</f>
        <v>Shuǐlóngtóu lòushuǐle.</v>
      </c>
    </row>
    <row r="38" spans="1:5" ht="14.25" customHeight="1">
      <c r="A38" s="41" t="s">
        <v>4797</v>
      </c>
      <c r="B38" s="10" t="s">
        <v>4798</v>
      </c>
      <c r="C38" s="10"/>
      <c r="D38" s="10" t="s">
        <v>4799</v>
      </c>
      <c r="E38" s="5" t="str">
        <f ca="1">IFERROR(__xludf.DUMMYFUNCTION("""COMPUTED_VALUE"""),"Wǒ yào qù xǐzǎo.")</f>
        <v>Wǒ yào qù xǐzǎo.</v>
      </c>
    </row>
    <row r="39" spans="1:5" ht="14.25" customHeight="1">
      <c r="A39" s="41" t="s">
        <v>4800</v>
      </c>
      <c r="B39" s="10" t="s">
        <v>4801</v>
      </c>
      <c r="C39" s="10"/>
      <c r="D39" s="10"/>
      <c r="E39" s="6" t="str">
        <f ca="1">IFERROR(__xludf.DUMMYFUNCTION("""COMPUTED_VALUE"""),"Féizào zhēnxiāng!")</f>
        <v>Féizào zhēnxiāng!</v>
      </c>
    </row>
    <row r="40" spans="1:5" ht="14.25" customHeight="1">
      <c r="A40" s="41" t="s">
        <v>4802</v>
      </c>
      <c r="B40" s="10" t="s">
        <v>4803</v>
      </c>
      <c r="C40" s="10"/>
      <c r="D40" s="10" t="s">
        <v>4804</v>
      </c>
      <c r="E40" s="6" t="str">
        <f ca="1">IFERROR(__xludf.DUMMYFUNCTION("""COMPUTED_VALUE"""),"Wǒ zài yòng chuīfēngjī.")</f>
        <v>Wǒ zài yòng chuīfēngjī.</v>
      </c>
    </row>
    <row r="41" spans="1:5" ht="14.25" customHeight="1">
      <c r="A41" s="41" t="s">
        <v>4805</v>
      </c>
      <c r="B41" s="10" t="s">
        <v>4806</v>
      </c>
      <c r="C41" s="10"/>
      <c r="D41" s="10"/>
      <c r="E41" s="5" t="str">
        <f ca="1">IFERROR(__xludf.DUMMYFUNCTION("""COMPUTED_VALUE"""),"Zhè bǎ shūzǐ huàile.")</f>
        <v>Zhè bǎ shūzǐ huàile.</v>
      </c>
    </row>
    <row r="42" spans="1:5" ht="14.25" customHeight="1">
      <c r="A42" s="41" t="s">
        <v>4807</v>
      </c>
      <c r="B42" s="10" t="s">
        <v>4808</v>
      </c>
      <c r="C42" s="10"/>
      <c r="D42" s="10" t="s">
        <v>4809</v>
      </c>
      <c r="E42" s="4" t="str">
        <f ca="1">IFERROR(__xludf.DUMMYFUNCTION("""COMPUTED_VALUE"""),"Wǒ xūyào yīgè shǒutí bāo.")</f>
        <v>Wǒ xūyào yīgè shǒutí bāo.</v>
      </c>
    </row>
    <row r="43" spans="1:5" ht="14.25" customHeight="1">
      <c r="A43" s="41" t="s">
        <v>4810</v>
      </c>
      <c r="B43" s="10" t="s">
        <v>4811</v>
      </c>
      <c r="C43" s="10"/>
      <c r="D43" s="10"/>
      <c r="E43" s="5" t="str">
        <f ca="1">IFERROR(__xludf.DUMMYFUNCTION("""COMPUTED_VALUE"""),"Bǎ yàoshi fàng zài jiàzǐ shàng.")</f>
        <v>Bǎ yàoshi fàng zài jiàzǐ shàng.</v>
      </c>
    </row>
    <row r="44" spans="1:5" ht="14.25" customHeight="1">
      <c r="A44" s="41" t="s">
        <v>4812</v>
      </c>
      <c r="B44" s="10" t="s">
        <v>4813</v>
      </c>
      <c r="C44" s="10"/>
      <c r="D44" s="10" t="s">
        <v>4814</v>
      </c>
      <c r="E44" s="4" t="str">
        <f ca="1">IFERROR(__xludf.DUMMYFUNCTION("""COMPUTED_VALUE"""),"Wǒ zài dǎkāi bīngxiāng.")</f>
        <v>Wǒ zài dǎkāi bīngxiāng.</v>
      </c>
    </row>
    <row r="45" spans="1:5" ht="14.25" customHeight="1">
      <c r="A45" s="41" t="s">
        <v>4815</v>
      </c>
      <c r="B45" s="10" t="s">
        <v>4816</v>
      </c>
      <c r="C45" s="10"/>
      <c r="D45" s="10"/>
      <c r="E45" s="5" t="str">
        <f ca="1">IFERROR(__xludf.DUMMYFUNCTION("""COMPUTED_VALUE"""),"Bīngxiāng li yǒu lěngshuǐ ma?")</f>
        <v>Bīngxiāng li yǒu lěngshuǐ ma?</v>
      </c>
    </row>
    <row r="46" spans="1:5" ht="14.25" customHeight="1">
      <c r="A46" s="41" t="s">
        <v>4817</v>
      </c>
      <c r="B46" s="10" t="s">
        <v>4818</v>
      </c>
      <c r="C46" s="10"/>
      <c r="D46" s="10" t="s">
        <v>4819</v>
      </c>
      <c r="E46" s="4" t="str">
        <f ca="1">IFERROR(__xludf.DUMMYFUNCTION("""COMPUTED_VALUE"""),"Wǒ xǐhuān zhège bēizǐ.")</f>
        <v>Wǒ xǐhuān zhège bēizǐ.</v>
      </c>
    </row>
    <row r="47" spans="1:5" ht="14.25" customHeight="1">
      <c r="A47" s="41" t="s">
        <v>4820</v>
      </c>
      <c r="B47" s="10" t="s">
        <v>4821</v>
      </c>
      <c r="C47" s="10"/>
      <c r="D47" s="10"/>
      <c r="E47" s="4" t="str">
        <f ca="1">IFERROR(__xludf.DUMMYFUNCTION("""COMPUTED_VALUE"""),"Bǎ wǎn dié fàng dào shuǐcáo lǐ.")</f>
        <v>Bǎ wǎn dié fàng dào shuǐcáo lǐ.</v>
      </c>
    </row>
    <row r="48" spans="1:5" ht="14.25" customHeight="1">
      <c r="A48" s="41" t="s">
        <v>4822</v>
      </c>
      <c r="B48" s="10" t="s">
        <v>4823</v>
      </c>
      <c r="C48" s="10"/>
      <c r="D48" s="10" t="s">
        <v>4824</v>
      </c>
      <c r="E48" s="4" t="str">
        <f ca="1">IFERROR(__xludf.DUMMYFUNCTION("""COMPUTED_VALUE"""),"Wǒ zài cā cānzhuō.")</f>
        <v>Wǒ zài cā cānzhuō.</v>
      </c>
    </row>
    <row r="49" spans="1:5" ht="14.25" customHeight="1">
      <c r="A49" s="41" t="s">
        <v>4825</v>
      </c>
      <c r="B49" s="10" t="s">
        <v>4826</v>
      </c>
      <c r="C49" s="10"/>
      <c r="D49" s="10"/>
      <c r="E49" s="5" t="str">
        <f ca="1">IFERROR(__xludf.DUMMYFUNCTION("""COMPUTED_VALUE"""),"Wǒmen de fángzǐ zhēn gānjìng piàoliang!")</f>
        <v>Wǒmen de fángzǐ zhēn gānjìng piàoliang!</v>
      </c>
    </row>
    <row r="50" spans="1:5" ht="14.25" customHeight="1">
      <c r="A50" s="41" t="s">
        <v>4827</v>
      </c>
      <c r="B50" s="10" t="s">
        <v>4828</v>
      </c>
      <c r="C50" s="10"/>
      <c r="D50" s="10" t="s">
        <v>4829</v>
      </c>
      <c r="E50" s="6" t="str">
        <f ca="1">IFERROR(__xludf.DUMMYFUNCTION("""COMPUTED_VALUE"""),"Wǒ ài wǒ de fángzǐ.")</f>
        <v>Wǒ ài wǒ de fángzǐ.</v>
      </c>
    </row>
    <row r="51" spans="1:5" ht="14.25" customHeight="1">
      <c r="A51" s="41" t="s">
        <v>1457</v>
      </c>
      <c r="B51" s="10" t="s">
        <v>4830</v>
      </c>
      <c r="C51" s="10"/>
      <c r="D51" s="10"/>
      <c r="E51" s="6" t="str">
        <f ca="1">IFERROR(__xludf.DUMMYFUNCTION("""COMPUTED_VALUE"""),"Dàjiā wǎn'ān.")</f>
        <v>Dàjiā wǎn'ān.</v>
      </c>
    </row>
    <row r="52" spans="1:5" ht="14.25" customHeight="1">
      <c r="A52" s="42"/>
      <c r="B52" s="10"/>
      <c r="C52" s="10"/>
      <c r="D52" s="10" t="s">
        <v>4831</v>
      </c>
    </row>
    <row r="53" spans="1:5" ht="14.25" customHeight="1">
      <c r="A53" s="42"/>
      <c r="B53" s="10"/>
      <c r="C53" s="10"/>
      <c r="D53" s="10"/>
      <c r="E53" s="5"/>
    </row>
    <row r="54" spans="1:5" ht="14.25" customHeight="1">
      <c r="A54" s="42"/>
      <c r="B54" s="10"/>
      <c r="C54" s="10"/>
      <c r="D54" s="10" t="s">
        <v>4832</v>
      </c>
      <c r="E54" s="5"/>
    </row>
    <row r="55" spans="1:5" ht="14.25" customHeight="1">
      <c r="A55" s="42"/>
      <c r="B55" s="10"/>
      <c r="C55" s="10"/>
      <c r="D55" s="10"/>
      <c r="E55" s="5"/>
    </row>
    <row r="56" spans="1:5" ht="14.25" customHeight="1">
      <c r="A56" s="42"/>
      <c r="B56" s="10"/>
      <c r="C56" s="10"/>
      <c r="D56" s="10" t="s">
        <v>2105</v>
      </c>
      <c r="E56" s="5"/>
    </row>
    <row r="57" spans="1:5" ht="14.25" customHeight="1">
      <c r="A57" s="42"/>
      <c r="B57" s="10"/>
      <c r="C57" s="10"/>
      <c r="D57" s="10"/>
      <c r="E57" s="5"/>
    </row>
    <row r="58" spans="1:5" ht="14.25" customHeight="1">
      <c r="A58" s="42"/>
      <c r="B58" s="10"/>
      <c r="C58" s="10"/>
      <c r="D58" s="10" t="s">
        <v>4833</v>
      </c>
      <c r="E58" s="5"/>
    </row>
    <row r="59" spans="1:5" ht="14.25" customHeight="1">
      <c r="A59" s="42"/>
      <c r="B59" s="10"/>
      <c r="C59" s="10"/>
      <c r="D59" s="10"/>
    </row>
    <row r="60" spans="1:5" ht="14.25" customHeight="1">
      <c r="A60" s="42"/>
      <c r="B60" s="10"/>
      <c r="C60" s="10"/>
      <c r="D60" s="10" t="s">
        <v>4834</v>
      </c>
      <c r="E60" s="5"/>
    </row>
    <row r="61" spans="1:5" ht="14.25" customHeight="1">
      <c r="A61" s="42"/>
      <c r="B61" s="10"/>
      <c r="C61" s="10"/>
      <c r="D61" s="10"/>
      <c r="E61" s="5"/>
    </row>
    <row r="62" spans="1:5" ht="14.25" customHeight="1">
      <c r="A62" s="42"/>
      <c r="B62" s="10"/>
      <c r="C62" s="10"/>
      <c r="D62" s="10" t="s">
        <v>4835</v>
      </c>
      <c r="E62" s="5"/>
    </row>
    <row r="63" spans="1:5" ht="14.25" customHeight="1">
      <c r="A63" s="42"/>
      <c r="B63" s="10"/>
      <c r="C63" s="10"/>
      <c r="D63" s="10"/>
      <c r="E63" s="5"/>
    </row>
    <row r="64" spans="1:5" ht="14.25" customHeight="1">
      <c r="A64" s="42"/>
      <c r="B64" s="10"/>
      <c r="C64" s="10"/>
      <c r="D64" s="10" t="s">
        <v>4836</v>
      </c>
      <c r="E64" s="5"/>
    </row>
    <row r="65" spans="1:5" ht="14.25" customHeight="1">
      <c r="A65" s="42"/>
      <c r="B65" s="10"/>
      <c r="C65" s="10"/>
      <c r="D65" s="10"/>
      <c r="E65" s="5"/>
    </row>
    <row r="66" spans="1:5" ht="14.25" customHeight="1">
      <c r="A66" s="42"/>
      <c r="B66" s="10"/>
      <c r="C66" s="10"/>
      <c r="D66" s="10" t="s">
        <v>4837</v>
      </c>
      <c r="E66" s="5"/>
    </row>
    <row r="67" spans="1:5" ht="14.25" customHeight="1">
      <c r="A67" s="42"/>
      <c r="B67" s="10"/>
      <c r="C67" s="10"/>
      <c r="D67" s="10"/>
      <c r="E67" s="5"/>
    </row>
    <row r="68" spans="1:5" ht="14.25" customHeight="1">
      <c r="A68" s="42"/>
      <c r="B68" s="10"/>
      <c r="C68" s="10"/>
      <c r="D68" s="10" t="s">
        <v>4838</v>
      </c>
      <c r="E68" s="5"/>
    </row>
    <row r="69" spans="1:5" ht="14.25" customHeight="1">
      <c r="A69" s="42"/>
      <c r="B69" s="10"/>
      <c r="C69" s="10"/>
      <c r="D69" s="10"/>
      <c r="E69" s="5"/>
    </row>
    <row r="70" spans="1:5" ht="14.25" customHeight="1">
      <c r="A70" s="42"/>
      <c r="B70" s="10"/>
      <c r="C70" s="10"/>
      <c r="D70" s="10" t="s">
        <v>4839</v>
      </c>
      <c r="E70" s="5"/>
    </row>
    <row r="71" spans="1:5" ht="14.25" customHeight="1">
      <c r="A71" s="42"/>
      <c r="B71" s="10"/>
      <c r="C71" s="10"/>
      <c r="D71" s="10"/>
      <c r="E71" s="5"/>
    </row>
    <row r="72" spans="1:5" ht="14.25" customHeight="1">
      <c r="A72" s="42"/>
      <c r="B72" s="10"/>
      <c r="C72" s="10"/>
      <c r="D72" s="10" t="s">
        <v>4840</v>
      </c>
      <c r="E72" s="5"/>
    </row>
    <row r="73" spans="1:5" ht="14.25" customHeight="1">
      <c r="A73" s="42"/>
      <c r="B73" s="10"/>
      <c r="C73" s="10"/>
      <c r="D73" s="10"/>
      <c r="E73" s="5"/>
    </row>
    <row r="74" spans="1:5" ht="14.25" customHeight="1">
      <c r="A74" s="42"/>
      <c r="B74" s="10"/>
      <c r="C74" s="10"/>
      <c r="D74" s="10" t="s">
        <v>4841</v>
      </c>
      <c r="E74" s="5"/>
    </row>
    <row r="75" spans="1:5" ht="14.25" customHeight="1">
      <c r="A75" s="42"/>
      <c r="B75" s="10"/>
      <c r="C75" s="10"/>
      <c r="D75" s="10"/>
      <c r="E75" s="5"/>
    </row>
    <row r="76" spans="1:5" ht="14.25" customHeight="1">
      <c r="A76" s="42"/>
      <c r="B76" s="10"/>
      <c r="C76" s="10"/>
      <c r="D76" s="10" t="s">
        <v>4842</v>
      </c>
      <c r="E76" s="5"/>
    </row>
    <row r="77" spans="1:5" ht="14.25" customHeight="1">
      <c r="A77" s="42"/>
      <c r="B77" s="10"/>
      <c r="C77" s="10"/>
      <c r="D77" s="10"/>
      <c r="E77" s="5"/>
    </row>
    <row r="78" spans="1:5" ht="14.25" customHeight="1">
      <c r="A78" s="42"/>
      <c r="B78" s="10"/>
      <c r="C78" s="10"/>
      <c r="D78" s="10" t="s">
        <v>4843</v>
      </c>
      <c r="E78" s="5"/>
    </row>
    <row r="79" spans="1:5" ht="14.25" customHeight="1">
      <c r="A79" s="42"/>
      <c r="B79" s="10"/>
      <c r="C79" s="10"/>
      <c r="D79" s="10"/>
      <c r="E79" s="5"/>
    </row>
    <row r="80" spans="1:5" ht="14.25" customHeight="1">
      <c r="A80" s="42"/>
      <c r="B80" s="10"/>
      <c r="C80" s="10"/>
      <c r="D80" s="10" t="s">
        <v>4844</v>
      </c>
      <c r="E80" s="5"/>
    </row>
    <row r="81" spans="1:5" ht="14.25" customHeight="1">
      <c r="A81" s="42"/>
      <c r="B81" s="10"/>
      <c r="C81" s="10"/>
      <c r="D81" s="10"/>
      <c r="E81" s="5"/>
    </row>
    <row r="82" spans="1:5" ht="14.25" customHeight="1">
      <c r="A82" s="42"/>
      <c r="B82" s="10"/>
      <c r="C82" s="10"/>
      <c r="D82" s="10" t="s">
        <v>4845</v>
      </c>
      <c r="E82" s="5"/>
    </row>
    <row r="83" spans="1:5" ht="14.25" customHeight="1">
      <c r="A83" s="42"/>
      <c r="B83" s="10"/>
      <c r="C83" s="10"/>
      <c r="D83" s="10"/>
      <c r="E83" s="5"/>
    </row>
    <row r="84" spans="1:5" ht="14.25" customHeight="1">
      <c r="A84" s="42"/>
      <c r="B84" s="10"/>
      <c r="C84" s="10"/>
      <c r="D84" s="10" t="s">
        <v>4846</v>
      </c>
      <c r="E84" s="5"/>
    </row>
    <row r="85" spans="1:5" ht="14.25" customHeight="1">
      <c r="A85" s="42"/>
      <c r="B85" s="10"/>
      <c r="C85" s="10"/>
      <c r="D85" s="10"/>
      <c r="E85" s="5"/>
    </row>
    <row r="86" spans="1:5" ht="14.25" customHeight="1">
      <c r="A86" s="42"/>
      <c r="B86" s="10"/>
      <c r="C86" s="10"/>
      <c r="D86" s="10" t="s">
        <v>4847</v>
      </c>
      <c r="E86" s="5"/>
    </row>
    <row r="87" spans="1:5" ht="14.25" customHeight="1">
      <c r="A87" s="42"/>
      <c r="B87" s="10"/>
      <c r="C87" s="10"/>
      <c r="D87" s="10"/>
      <c r="E87" s="5"/>
    </row>
    <row r="88" spans="1:5" ht="14.25" customHeight="1">
      <c r="A88" s="42"/>
      <c r="B88" s="10"/>
      <c r="C88" s="10"/>
      <c r="D88" s="10" t="s">
        <v>4848</v>
      </c>
      <c r="E88" s="5"/>
    </row>
    <row r="89" spans="1:5" ht="14.25" customHeight="1">
      <c r="A89" s="42"/>
      <c r="B89" s="10"/>
      <c r="C89" s="10"/>
      <c r="D89" s="10"/>
      <c r="E89" s="5"/>
    </row>
    <row r="90" spans="1:5" ht="14.25" customHeight="1">
      <c r="A90" s="42"/>
      <c r="B90" s="10"/>
      <c r="C90" s="10"/>
      <c r="D90" s="10" t="s">
        <v>4849</v>
      </c>
      <c r="E90" s="5"/>
    </row>
    <row r="91" spans="1:5" ht="14.25" customHeight="1">
      <c r="A91" s="42"/>
      <c r="B91" s="10"/>
      <c r="C91" s="10"/>
      <c r="D91" s="10"/>
      <c r="E91" s="5"/>
    </row>
    <row r="92" spans="1:5" ht="14.25" customHeight="1">
      <c r="A92" s="42"/>
      <c r="B92" s="10"/>
      <c r="C92" s="10"/>
      <c r="D92" s="10" t="s">
        <v>4850</v>
      </c>
      <c r="E92" s="5"/>
    </row>
    <row r="93" spans="1:5" ht="14.25" customHeight="1">
      <c r="A93" s="42"/>
      <c r="B93" s="10"/>
      <c r="C93" s="10"/>
      <c r="D93" s="10"/>
      <c r="E93" s="5"/>
    </row>
    <row r="94" spans="1:5" ht="14.25" customHeight="1">
      <c r="A94" s="42"/>
      <c r="B94" s="10"/>
      <c r="C94" s="10"/>
      <c r="D94" s="10" t="s">
        <v>4851</v>
      </c>
      <c r="E94" s="5"/>
    </row>
    <row r="95" spans="1:5" ht="14.25" customHeight="1">
      <c r="A95" s="42"/>
      <c r="B95" s="10"/>
      <c r="C95" s="10"/>
      <c r="D95" s="10"/>
      <c r="E95" s="5"/>
    </row>
    <row r="96" spans="1:5" ht="14.25" customHeight="1">
      <c r="A96" s="42"/>
      <c r="B96" s="10"/>
      <c r="C96" s="10"/>
      <c r="D96" s="10" t="s">
        <v>4852</v>
      </c>
      <c r="E96" s="5"/>
    </row>
    <row r="97" spans="1:5" ht="14.25" customHeight="1">
      <c r="A97" s="42"/>
      <c r="B97" s="10"/>
      <c r="C97" s="10"/>
      <c r="D97" s="10"/>
      <c r="E97" s="5"/>
    </row>
    <row r="98" spans="1:5" ht="14.25" customHeight="1">
      <c r="A98" s="42"/>
      <c r="B98" s="10"/>
      <c r="C98" s="10"/>
      <c r="D98" s="10" t="s">
        <v>4853</v>
      </c>
      <c r="E98" s="5"/>
    </row>
    <row r="99" spans="1:5" ht="14.25" customHeight="1">
      <c r="A99" s="42"/>
      <c r="B99" s="10"/>
      <c r="C99" s="10"/>
      <c r="D99" s="10"/>
      <c r="E99" s="5"/>
    </row>
    <row r="100" spans="1:5" ht="14.25" customHeight="1">
      <c r="A100" s="42"/>
      <c r="B100" s="10"/>
      <c r="C100" s="10"/>
      <c r="D100" s="10" t="s">
        <v>4854</v>
      </c>
      <c r="E100" s="5"/>
    </row>
  </sheetData>
  <pageMargins left="0.75" right="0.75" top="1" bottom="1"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1" width="66" customWidth="1"/>
    <col min="2" max="2" width="60.44140625" customWidth="1"/>
    <col min="3" max="3" width="14.5546875" customWidth="1"/>
    <col min="4" max="4" width="60.44140625" customWidth="1"/>
    <col min="5" max="5" width="56.88671875" customWidth="1"/>
  </cols>
  <sheetData>
    <row r="1" spans="1:5" ht="14.25" customHeight="1">
      <c r="A1" s="12" t="s">
        <v>4855</v>
      </c>
      <c r="E1" s="2"/>
    </row>
    <row r="2" spans="1:5" ht="14.25" customHeight="1">
      <c r="A2" s="41" t="s">
        <v>4856</v>
      </c>
      <c r="B2" s="10" t="s">
        <v>234</v>
      </c>
      <c r="C2" s="10"/>
      <c r="D2" s="10" t="s">
        <v>4857</v>
      </c>
      <c r="E2" s="5" t="str">
        <f ca="1">IFERROR(__xludf.DUMMYFUNCTION("FILTER(D1:D1004,D1:D1004&lt;&gt; """")"),"Wǒ xǐhuān chī shuǐguǒ.")</f>
        <v>Wǒ xǐhuān chī shuǐguǒ.</v>
      </c>
    </row>
    <row r="3" spans="1:5" ht="14.25" customHeight="1">
      <c r="A3" s="41" t="s">
        <v>4858</v>
      </c>
      <c r="B3" s="10" t="s">
        <v>4859</v>
      </c>
      <c r="C3" s="10"/>
      <c r="D3" s="10"/>
      <c r="E3" s="6" t="str">
        <f ca="1">IFERROR(__xludf.DUMMYFUNCTION("""COMPUTED_VALUE"""),"Zhège mángguǒ tài tiánle!")</f>
        <v>Zhège mángguǒ tài tiánle!</v>
      </c>
    </row>
    <row r="4" spans="1:5" ht="14.25" customHeight="1">
      <c r="A4" s="41" t="s">
        <v>4860</v>
      </c>
      <c r="B4" s="10" t="s">
        <v>4861</v>
      </c>
      <c r="C4" s="10"/>
      <c r="D4" s="10" t="s">
        <v>4862</v>
      </c>
      <c r="E4" s="5" t="str">
        <f ca="1">IFERROR(__xludf.DUMMYFUNCTION("""COMPUTED_VALUE"""),"Wǒ xǐhuān chī zhàn xiā jiàng de qīng mángguǒ.")</f>
        <v>Wǒ xǐhuān chī zhàn xiā jiàng de qīng mángguǒ.</v>
      </c>
    </row>
    <row r="5" spans="1:5" ht="14.25" customHeight="1">
      <c r="A5" s="41" t="s">
        <v>4863</v>
      </c>
      <c r="B5" s="10" t="s">
        <v>4864</v>
      </c>
      <c r="C5" s="10"/>
      <c r="D5" s="10"/>
      <c r="E5" s="5" t="str">
        <f ca="1">IFERROR(__xludf.DUMMYFUNCTION("""COMPUTED_VALUE"""),"Zhè gēn xiāngjiāo shúle.")</f>
        <v>Zhè gēn xiāngjiāo shúle.</v>
      </c>
    </row>
    <row r="6" spans="1:5" ht="14.25" customHeight="1">
      <c r="A6" s="41" t="s">
        <v>4865</v>
      </c>
      <c r="B6" s="10" t="s">
        <v>4866</v>
      </c>
      <c r="C6" s="10"/>
      <c r="D6" s="10" t="s">
        <v>4867</v>
      </c>
      <c r="E6" s="5" t="str">
        <f ca="1">IFERROR(__xludf.DUMMYFUNCTION("""COMPUTED_VALUE"""),"Wǒ xiǎng chī mùguā.")</f>
        <v>Wǒ xiǎng chī mùguā.</v>
      </c>
    </row>
    <row r="7" spans="1:5" ht="14.25" customHeight="1">
      <c r="A7" s="41" t="s">
        <v>4868</v>
      </c>
      <c r="B7" s="10" t="s">
        <v>4869</v>
      </c>
      <c r="C7" s="10"/>
      <c r="D7" s="10"/>
      <c r="E7" s="5" t="str">
        <f ca="1">IFERROR(__xludf.DUMMYFUNCTION("""COMPUTED_VALUE"""),"Zhège bōluó tài suānle.")</f>
        <v>Zhège bōluó tài suānle.</v>
      </c>
    </row>
    <row r="8" spans="1:5" ht="14.25" customHeight="1">
      <c r="A8" s="41" t="s">
        <v>4870</v>
      </c>
      <c r="B8" s="10" t="s">
        <v>4871</v>
      </c>
      <c r="C8" s="10"/>
      <c r="D8" s="10" t="s">
        <v>4872</v>
      </c>
      <c r="E8" s="5" t="str">
        <f ca="1">IFERROR(__xludf.DUMMYFUNCTION("""COMPUTED_VALUE"""),"Wǒ xǐhuān hē yēzǐ shuǐ.")</f>
        <v>Wǒ xǐhuān hē yēzǐ shuǐ.</v>
      </c>
    </row>
    <row r="9" spans="1:5" ht="14.25" customHeight="1">
      <c r="A9" s="41" t="s">
        <v>4873</v>
      </c>
      <c r="B9" s="10" t="s">
        <v>4874</v>
      </c>
      <c r="C9" s="10"/>
      <c r="D9" s="10"/>
      <c r="E9" s="5" t="str">
        <f ca="1">IFERROR(__xludf.DUMMYFUNCTION("""COMPUTED_VALUE"""),"Zhège xīguā hào dà!")</f>
        <v>Zhège xīguā hào dà!</v>
      </c>
    </row>
    <row r="10" spans="1:5" ht="14.25" customHeight="1">
      <c r="A10" s="41" t="s">
        <v>4875</v>
      </c>
      <c r="B10" s="10" t="s">
        <v>4876</v>
      </c>
      <c r="C10" s="10"/>
      <c r="D10" s="10" t="s">
        <v>4877</v>
      </c>
      <c r="E10" s="5" t="str">
        <f ca="1">IFERROR(__xludf.DUMMYFUNCTION("""COMPUTED_VALUE"""),"Wǒ xǐhuān chī chéngzǐ.")</f>
        <v>Wǒ xǐhuān chī chéngzǐ.</v>
      </c>
    </row>
    <row r="11" spans="1:5" ht="14.25" customHeight="1">
      <c r="A11" s="41" t="s">
        <v>4878</v>
      </c>
      <c r="B11" s="10" t="s">
        <v>4879</v>
      </c>
      <c r="C11" s="10"/>
      <c r="D11" s="10"/>
      <c r="E11" s="5" t="str">
        <f ca="1">IFERROR(__xludf.DUMMYFUNCTION("""COMPUTED_VALUE"""),"Zhège píngguǒ tài cuìle.")</f>
        <v>Zhège píngguǒ tài cuìle.</v>
      </c>
    </row>
    <row r="12" spans="1:5" ht="14.25" customHeight="1">
      <c r="A12" s="41" t="s">
        <v>4880</v>
      </c>
      <c r="B12" s="10" t="s">
        <v>4881</v>
      </c>
      <c r="C12" s="10"/>
      <c r="D12" s="10" t="s">
        <v>4882</v>
      </c>
      <c r="E12" s="6" t="str">
        <f ca="1">IFERROR(__xludf.DUMMYFUNCTION("""COMPUTED_VALUE"""),"Wǒ xǐhuān wú zǐ pútáo.")</f>
        <v>Wǒ xǐhuān wú zǐ pútáo.</v>
      </c>
    </row>
    <row r="13" spans="1:5" ht="14.25" customHeight="1">
      <c r="A13" s="41" t="s">
        <v>4883</v>
      </c>
      <c r="B13" s="10" t="s">
        <v>4884</v>
      </c>
      <c r="C13" s="10"/>
      <c r="D13" s="10"/>
      <c r="E13" s="6" t="str">
        <f ca="1">IFERROR(__xludf.DUMMYFUNCTION("""COMPUTED_VALUE"""),"Zhège niúyóuguǒ hěn miánruǎn.")</f>
        <v>Zhège niúyóuguǒ hěn miánruǎn.</v>
      </c>
    </row>
    <row r="14" spans="1:5" ht="14.25" customHeight="1">
      <c r="A14" s="41" t="s">
        <v>4885</v>
      </c>
      <c r="B14" s="10" t="s">
        <v>4886</v>
      </c>
      <c r="C14" s="10"/>
      <c r="D14" s="10" t="s">
        <v>4887</v>
      </c>
      <c r="E14" s="6" t="str">
        <f ca="1">IFERROR(__xludf.DUMMYFUNCTION("""COMPUTED_VALUE"""),"Wǒ xǐhuān chī cǎoméi.")</f>
        <v>Wǒ xǐhuān chī cǎoméi.</v>
      </c>
    </row>
    <row r="15" spans="1:5" ht="14.25" customHeight="1">
      <c r="A15" s="41" t="s">
        <v>4888</v>
      </c>
      <c r="B15" s="10" t="s">
        <v>4889</v>
      </c>
      <c r="C15" s="10"/>
      <c r="D15" s="10"/>
      <c r="E15" s="6" t="str">
        <f ca="1">IFERROR(__xludf.DUMMYFUNCTION("""COMPUTED_VALUE"""),"Liúlián wèidào hěn nóng.")</f>
        <v>Liúlián wèidào hěn nóng.</v>
      </c>
    </row>
    <row r="16" spans="1:5" ht="14.25" customHeight="1">
      <c r="A16" s="41" t="s">
        <v>4890</v>
      </c>
      <c r="B16" s="10" t="s">
        <v>4891</v>
      </c>
      <c r="C16" s="10"/>
      <c r="D16" s="10" t="s">
        <v>4892</v>
      </c>
      <c r="E16" s="6" t="str">
        <f ca="1">IFERROR(__xludf.DUMMYFUNCTION("""COMPUTED_VALUE"""),"Wǒ xǐhuān chī lǜyè shūcài.")</f>
        <v>Wǒ xǐhuān chī lǜyè shūcài.</v>
      </c>
    </row>
    <row r="17" spans="1:5" ht="14.25" customHeight="1">
      <c r="A17" s="41" t="s">
        <v>4893</v>
      </c>
      <c r="B17" s="10" t="s">
        <v>4894</v>
      </c>
      <c r="C17" s="10"/>
      <c r="D17" s="10"/>
      <c r="E17" s="6" t="str">
        <f ca="1">IFERROR(__xludf.DUMMYFUNCTION("""COMPUTED_VALUE"""),"Zhè juǎnxīncài zhēn xīnxiān.")</f>
        <v>Zhè juǎnxīncài zhēn xīnxiān.</v>
      </c>
    </row>
    <row r="18" spans="1:5" ht="14.25" customHeight="1">
      <c r="A18" s="41" t="s">
        <v>4895</v>
      </c>
      <c r="B18" s="10" t="s">
        <v>4896</v>
      </c>
      <c r="C18" s="10"/>
      <c r="D18" s="10" t="s">
        <v>4897</v>
      </c>
      <c r="E18" s="5" t="str">
        <f ca="1">IFERROR(__xludf.DUMMYFUNCTION("""COMPUTED_VALUE"""),"Wǒ zài zhāi kōngxīncài.")</f>
        <v>Wǒ zài zhāi kōngxīncài.</v>
      </c>
    </row>
    <row r="19" spans="1:5" ht="14.25" customHeight="1">
      <c r="A19" s="41" t="s">
        <v>4898</v>
      </c>
      <c r="B19" s="10" t="s">
        <v>4899</v>
      </c>
      <c r="C19" s="10"/>
      <c r="D19" s="10"/>
      <c r="E19" s="4" t="str">
        <f ca="1">IFERROR(__xludf.DUMMYFUNCTION("""COMPUTED_VALUE"""),"Húluóbo shì chéngsè de.")</f>
        <v>Húluóbo shì chéngsè de.</v>
      </c>
    </row>
    <row r="20" spans="1:5" ht="14.25" customHeight="1">
      <c r="A20" s="41" t="s">
        <v>4900</v>
      </c>
      <c r="B20" s="10" t="s">
        <v>4901</v>
      </c>
      <c r="C20" s="10"/>
      <c r="D20" s="10" t="s">
        <v>4902</v>
      </c>
      <c r="E20" s="5" t="str">
        <f ca="1">IFERROR(__xludf.DUMMYFUNCTION("""COMPUTED_VALUE"""),"Wǒ xǐhuān chī zhà shǔ tiáo.")</f>
        <v>Wǒ xǐhuān chī zhà shǔ tiáo.</v>
      </c>
    </row>
    <row r="21" spans="1:5" ht="14.25" customHeight="1">
      <c r="A21" s="41" t="s">
        <v>4903</v>
      </c>
      <c r="B21" s="10" t="s">
        <v>4904</v>
      </c>
      <c r="C21" s="10"/>
      <c r="D21" s="10"/>
      <c r="E21" s="6" t="str">
        <f ca="1">IFERROR(__xludf.DUMMYFUNCTION("""COMPUTED_VALUE"""),"Zhège xīhóngshì xiānhóng yù dī.")</f>
        <v>Zhège xīhóngshì xiānhóng yù dī.</v>
      </c>
    </row>
    <row r="22" spans="1:5" ht="14.25" customHeight="1">
      <c r="A22" s="41" t="s">
        <v>4905</v>
      </c>
      <c r="B22" s="10" t="s">
        <v>4906</v>
      </c>
      <c r="C22" s="10"/>
      <c r="D22" s="10" t="s">
        <v>4907</v>
      </c>
      <c r="E22" s="6" t="str">
        <f ca="1">IFERROR(__xludf.DUMMYFUNCTION("""COMPUTED_VALUE"""),"Wǒ bù xǐhuān chī yángcōng.")</f>
        <v>Wǒ bù xǐhuān chī yángcōng.</v>
      </c>
    </row>
    <row r="23" spans="1:5" ht="14.25" customHeight="1">
      <c r="A23" s="41" t="s">
        <v>4908</v>
      </c>
      <c r="B23" s="10" t="s">
        <v>4909</v>
      </c>
      <c r="C23" s="10"/>
      <c r="D23" s="10"/>
      <c r="E23" s="6" t="str">
        <f ca="1">IFERROR(__xludf.DUMMYFUNCTION("""COMPUTED_VALUE"""),"Dàsuàn néng ràng shíwù gēng xiāng.")</f>
        <v>Dàsuàn néng ràng shíwù gēng xiāng.</v>
      </c>
    </row>
    <row r="24" spans="1:5" ht="14.25" customHeight="1">
      <c r="A24" s="41" t="s">
        <v>4910</v>
      </c>
      <c r="B24" s="10" t="s">
        <v>4911</v>
      </c>
      <c r="C24" s="10"/>
      <c r="D24" s="10" t="s">
        <v>4912</v>
      </c>
      <c r="E24" s="6" t="str">
        <f ca="1">IFERROR(__xludf.DUMMYFUNCTION("""COMPUTED_VALUE"""),"Zhège làjiāo hǎo là!")</f>
        <v>Zhège làjiāo hǎo là!</v>
      </c>
    </row>
    <row r="25" spans="1:5" ht="14.25" customHeight="1">
      <c r="A25" s="41" t="s">
        <v>4913</v>
      </c>
      <c r="B25" s="10" t="s">
        <v>4914</v>
      </c>
      <c r="C25" s="10"/>
      <c r="D25" s="10"/>
      <c r="E25" s="6" t="str">
        <f ca="1">IFERROR(__xludf.DUMMYFUNCTION("""COMPUTED_VALUE"""),"Wǒ xǐhuān chī zhǔ yùmǐ.")</f>
        <v>Wǒ xǐhuān chī zhǔ yùmǐ.</v>
      </c>
    </row>
    <row r="26" spans="1:5" ht="14.25" customHeight="1">
      <c r="A26" s="41" t="s">
        <v>4915</v>
      </c>
      <c r="B26" s="10" t="s">
        <v>4916</v>
      </c>
      <c r="C26" s="10"/>
      <c r="D26" s="10" t="s">
        <v>4917</v>
      </c>
      <c r="E26" s="6" t="str">
        <f ca="1">IFERROR(__xludf.DUMMYFUNCTION("""COMPUTED_VALUE"""),"Huángguā hěn qīngshuǎng.")</f>
        <v>Huángguā hěn qīngshuǎng.</v>
      </c>
    </row>
    <row r="27" spans="1:5" ht="14.25" customHeight="1">
      <c r="A27" s="41" t="s">
        <v>4918</v>
      </c>
      <c r="B27" s="10" t="s">
        <v>4919</v>
      </c>
      <c r="C27" s="10"/>
      <c r="D27" s="10"/>
      <c r="E27" s="6" t="str">
        <f ca="1">IFERROR(__xludf.DUMMYFUNCTION("""COMPUTED_VALUE"""),"Wǒ xǐhuān chī nánguā.")</f>
        <v>Wǒ xǐhuān chī nánguā.</v>
      </c>
    </row>
    <row r="28" spans="1:5" ht="14.25" customHeight="1">
      <c r="A28" s="41" t="s">
        <v>4920</v>
      </c>
      <c r="B28" s="10" t="s">
        <v>4921</v>
      </c>
      <c r="C28" s="10"/>
      <c r="D28" s="10" t="s">
        <v>4922</v>
      </c>
      <c r="E28" s="6" t="str">
        <f ca="1">IFERROR(__xludf.DUMMYFUNCTION("""COMPUTED_VALUE"""),"Zhèxiē sìjì dòu tài zhǎngle.")</f>
        <v>Zhèxiē sìjì dòu tài zhǎngle.</v>
      </c>
    </row>
    <row r="29" spans="1:5" ht="14.25" customHeight="1">
      <c r="A29" s="41" t="s">
        <v>4923</v>
      </c>
      <c r="B29" s="10" t="s">
        <v>4924</v>
      </c>
      <c r="C29" s="10"/>
      <c r="D29" s="10"/>
      <c r="E29" s="37" t="str">
        <f ca="1">IFERROR(__xludf.DUMMYFUNCTION("""COMPUTED_VALUE"""),"Zhège qiézǐ shì yòng lái kǎo de.")</f>
        <v>Zhège qiézǐ shì yòng lái kǎo de.</v>
      </c>
    </row>
    <row r="30" spans="1:5" ht="14.25" customHeight="1">
      <c r="A30" s="41" t="s">
        <v>4925</v>
      </c>
      <c r="B30" s="10" t="s">
        <v>4926</v>
      </c>
      <c r="C30" s="10"/>
      <c r="D30" s="10" t="s">
        <v>4927</v>
      </c>
      <c r="E30" s="6" t="str">
        <f ca="1">IFERROR(__xludf.DUMMYFUNCTION("""COMPUTED_VALUE"""),"Wǒ xǐhuān chī kǔguā.")</f>
        <v>Wǒ xǐhuān chī kǔguā.</v>
      </c>
    </row>
    <row r="31" spans="1:5" ht="14.25" customHeight="1">
      <c r="A31" s="41" t="s">
        <v>4928</v>
      </c>
      <c r="B31" s="10" t="s">
        <v>4929</v>
      </c>
      <c r="C31" s="10"/>
      <c r="D31" s="10"/>
      <c r="E31" s="4" t="str">
        <f ca="1">IFERROR(__xludf.DUMMYFUNCTION("""COMPUTED_VALUE"""),"Zhè kē shēngcài hěn gānjìng.")</f>
        <v>Zhè kē shēngcài hěn gānjìng.</v>
      </c>
    </row>
    <row r="32" spans="1:5" ht="14.25" customHeight="1">
      <c r="A32" s="41" t="s">
        <v>4930</v>
      </c>
      <c r="B32" s="10" t="s">
        <v>4931</v>
      </c>
      <c r="C32" s="10"/>
      <c r="D32" s="10" t="s">
        <v>4932</v>
      </c>
      <c r="E32" s="4" t="str">
        <f ca="1">IFERROR(__xludf.DUMMYFUNCTION("""COMPUTED_VALUE"""),"Wǒ xiǎng mǎi yī gōngjīn mángguǒ.")</f>
        <v>Wǒ xiǎng mǎi yī gōngjīn mángguǒ.</v>
      </c>
    </row>
    <row r="33" spans="1:5" ht="14.25" customHeight="1">
      <c r="A33" s="41" t="s">
        <v>4933</v>
      </c>
      <c r="B33" s="10" t="s">
        <v>4934</v>
      </c>
      <c r="C33" s="10"/>
      <c r="D33" s="10"/>
      <c r="E33" s="4" t="str">
        <f ca="1">IFERROR(__xludf.DUMMYFUNCTION("""COMPUTED_VALUE"""),"Yī gōngjīn duōshǎo qián?")</f>
        <v>Yī gōngjīn duōshǎo qián?</v>
      </c>
    </row>
    <row r="34" spans="1:5" ht="14.25" customHeight="1">
      <c r="A34" s="41" t="s">
        <v>4935</v>
      </c>
      <c r="B34" s="10" t="s">
        <v>4936</v>
      </c>
      <c r="C34" s="10"/>
      <c r="D34" s="10" t="s">
        <v>4937</v>
      </c>
      <c r="E34" s="4" t="str">
        <f ca="1">IFERROR(__xludf.DUMMYFUNCTION("""COMPUTED_VALUE"""),"Ràng wǒ xuǎn zhège.")</f>
        <v>Ràng wǒ xuǎn zhège.</v>
      </c>
    </row>
    <row r="35" spans="1:5" ht="14.25" customHeight="1">
      <c r="A35" s="41" t="s">
        <v>4938</v>
      </c>
      <c r="B35" s="10" t="s">
        <v>4939</v>
      </c>
      <c r="C35" s="10"/>
      <c r="D35" s="10"/>
      <c r="E35" s="8" t="str">
        <f ca="1">IFERROR(__xludf.DUMMYFUNCTION("""COMPUTED_VALUE"""),"Wǒ xǐhuān qù shuǐguǒ shìchǎng.")</f>
        <v>Wǒ xǐhuān qù shuǐguǒ shìchǎng.</v>
      </c>
    </row>
    <row r="36" spans="1:5" ht="14.25" customHeight="1">
      <c r="A36" s="41" t="s">
        <v>4940</v>
      </c>
      <c r="B36" s="10" t="s">
        <v>4941</v>
      </c>
      <c r="C36" s="10"/>
      <c r="D36" s="10" t="s">
        <v>4942</v>
      </c>
      <c r="E36" s="5" t="str">
        <f ca="1">IFERROR(__xludf.DUMMYFUNCTION("""COMPUTED_VALUE"""),"Guǒzhī duì jiànkāng fēicháng yǒuyì.")</f>
        <v>Guǒzhī duì jiànkāng fēicháng yǒuyì.</v>
      </c>
    </row>
    <row r="37" spans="1:5" ht="14.25" customHeight="1">
      <c r="A37" s="41" t="s">
        <v>4943</v>
      </c>
      <c r="B37" s="10" t="s">
        <v>4944</v>
      </c>
      <c r="C37" s="10"/>
      <c r="D37" s="10"/>
      <c r="E37" s="8" t="str">
        <f ca="1">IFERROR(__xludf.DUMMYFUNCTION("""COMPUTED_VALUE"""),"Wǒ zài xǐ shuǐguǒ.")</f>
        <v>Wǒ zài xǐ shuǐguǒ.</v>
      </c>
    </row>
    <row r="38" spans="1:5" ht="14.25" customHeight="1">
      <c r="A38" s="41" t="s">
        <v>4945</v>
      </c>
      <c r="B38" s="10" t="s">
        <v>4946</v>
      </c>
      <c r="C38" s="10"/>
      <c r="D38" s="10" t="s">
        <v>4947</v>
      </c>
      <c r="E38" s="5" t="str">
        <f ca="1">IFERROR(__xludf.DUMMYFUNCTION("""COMPUTED_VALUE"""),"Qǐng bāng wǒ xiāo pí.")</f>
        <v>Qǐng bāng wǒ xiāo pí.</v>
      </c>
    </row>
    <row r="39" spans="1:5" ht="14.25" customHeight="1">
      <c r="A39" s="41" t="s">
        <v>4948</v>
      </c>
      <c r="B39" s="10" t="s">
        <v>4949</v>
      </c>
      <c r="C39" s="10"/>
      <c r="D39" s="10"/>
      <c r="E39" s="6" t="str">
        <f ca="1">IFERROR(__xludf.DUMMYFUNCTION("""COMPUTED_VALUE"""),"Wǒ xiǎng chī shuǐguǒ shālā.")</f>
        <v>Wǒ xiǎng chī shuǐguǒ shālā.</v>
      </c>
    </row>
    <row r="40" spans="1:5" ht="14.25" customHeight="1">
      <c r="A40" s="41" t="s">
        <v>4950</v>
      </c>
      <c r="B40" s="10" t="s">
        <v>4951</v>
      </c>
      <c r="C40" s="10"/>
      <c r="D40" s="10" t="s">
        <v>4952</v>
      </c>
      <c r="E40" s="6" t="str">
        <f ca="1">IFERROR(__xludf.DUMMYFUNCTION("""COMPUTED_VALUE"""),"Zhège níngméng zhīshui tài duōle.")</f>
        <v>Zhège níngméng zhīshui tài duōle.</v>
      </c>
    </row>
    <row r="41" spans="1:5" ht="14.25" customHeight="1">
      <c r="A41" s="41" t="s">
        <v>4953</v>
      </c>
      <c r="B41" s="10" t="s">
        <v>4954</v>
      </c>
      <c r="C41" s="10"/>
      <c r="D41" s="10"/>
      <c r="E41" s="5" t="str">
        <f ca="1">IFERROR(__xludf.DUMMYFUNCTION("""COMPUTED_VALUE"""),"Wǒ xǐhuān chī yāoguǒ.")</f>
        <v>Wǒ xǐhuān chī yāoguǒ.</v>
      </c>
    </row>
    <row r="42" spans="1:5" ht="14.25" customHeight="1">
      <c r="A42" s="41" t="s">
        <v>4955</v>
      </c>
      <c r="B42" s="10" t="s">
        <v>4956</v>
      </c>
      <c r="C42" s="10"/>
      <c r="D42" s="10" t="s">
        <v>4957</v>
      </c>
      <c r="E42" s="4" t="str">
        <f ca="1">IFERROR(__xludf.DUMMYFUNCTION("""COMPUTED_VALUE"""),"Zhè huāshēng tài xiāngle.")</f>
        <v>Zhè huāshēng tài xiāngle.</v>
      </c>
    </row>
    <row r="43" spans="1:5" ht="14.25" customHeight="1">
      <c r="A43" s="41" t="s">
        <v>4958</v>
      </c>
      <c r="B43" s="10" t="s">
        <v>4959</v>
      </c>
      <c r="C43" s="10"/>
      <c r="D43" s="10"/>
      <c r="E43" s="5" t="str">
        <f ca="1">IFERROR(__xludf.DUMMYFUNCTION("""COMPUTED_VALUE"""),"Wǒ xǐhuān chī kǎo hóngshǔ.")</f>
        <v>Wǒ xǐhuān chī kǎo hóngshǔ.</v>
      </c>
    </row>
    <row r="44" spans="1:5" ht="14.25" customHeight="1">
      <c r="A44" s="41" t="s">
        <v>4960</v>
      </c>
      <c r="B44" s="10" t="s">
        <v>4961</v>
      </c>
      <c r="C44" s="10"/>
      <c r="D44" s="10" t="s">
        <v>4962</v>
      </c>
      <c r="E44" s="4" t="str">
        <f ca="1">IFERROR(__xludf.DUMMYFUNCTION("""COMPUTED_VALUE"""),"Zhè jiāng tài làle.")</f>
        <v>Zhè jiāng tài làle.</v>
      </c>
    </row>
    <row r="45" spans="1:5" ht="14.25" customHeight="1">
      <c r="A45" s="41" t="s">
        <v>4963</v>
      </c>
      <c r="B45" s="10" t="s">
        <v>4964</v>
      </c>
      <c r="C45" s="10"/>
      <c r="D45" s="10"/>
      <c r="E45" s="5" t="str">
        <f ca="1">IFERROR(__xludf.DUMMYFUNCTION("""COMPUTED_VALUE"""),"Wǒ xǐhuān chī mógū.")</f>
        <v>Wǒ xǐhuān chī mógū.</v>
      </c>
    </row>
    <row r="46" spans="1:5" ht="14.25" customHeight="1">
      <c r="A46" s="41" t="s">
        <v>4965</v>
      </c>
      <c r="B46" s="10" t="s">
        <v>4966</v>
      </c>
      <c r="C46" s="10"/>
      <c r="D46" s="10" t="s">
        <v>4967</v>
      </c>
      <c r="E46" s="4" t="str">
        <f ca="1">IFERROR(__xludf.DUMMYFUNCTION("""COMPUTED_VALUE"""),"Shānzhú shì shuǐguǒ huánghòu.")</f>
        <v>Shānzhú shì shuǐguǒ huánghòu.</v>
      </c>
    </row>
    <row r="47" spans="1:5" ht="14.25" customHeight="1">
      <c r="A47" s="41" t="s">
        <v>4968</v>
      </c>
      <c r="B47" s="10" t="s">
        <v>4969</v>
      </c>
      <c r="C47" s="10"/>
      <c r="D47" s="10"/>
      <c r="E47" s="4" t="str">
        <f ca="1">IFERROR(__xludf.DUMMYFUNCTION("""COMPUTED_VALUE"""),"Wǒ xǐhuān chī hóng máo dān.")</f>
        <v>Wǒ xǐhuān chī hóng máo dān.</v>
      </c>
    </row>
    <row r="48" spans="1:5" ht="14.25" customHeight="1">
      <c r="A48" s="41" t="s">
        <v>4970</v>
      </c>
      <c r="B48" s="10" t="s">
        <v>4971</v>
      </c>
      <c r="C48" s="10"/>
      <c r="D48" s="10" t="s">
        <v>4972</v>
      </c>
      <c r="E48" s="4" t="str">
        <f ca="1">IFERROR(__xludf.DUMMYFUNCTION("""COMPUTED_VALUE"""),"Zhè bōluómì wén qǐlái zhēnxiāng.")</f>
        <v>Zhè bōluómì wén qǐlái zhēnxiāng.</v>
      </c>
    </row>
    <row r="49" spans="1:5" ht="14.25" customHeight="1">
      <c r="A49" s="41" t="s">
        <v>4973</v>
      </c>
      <c r="B49" s="10" t="s">
        <v>4974</v>
      </c>
      <c r="C49" s="10"/>
      <c r="D49" s="10"/>
      <c r="E49" s="5" t="str">
        <f ca="1">IFERROR(__xludf.DUMMYFUNCTION("""COMPUTED_VALUE"""),"Wǒ xǐhuān měitiān chī shuǐguǒ.")</f>
        <v>Wǒ xǐhuān měitiān chī shuǐguǒ.</v>
      </c>
    </row>
    <row r="50" spans="1:5" ht="14.25" customHeight="1">
      <c r="A50" s="41" t="s">
        <v>4975</v>
      </c>
      <c r="B50" s="10" t="s">
        <v>4976</v>
      </c>
      <c r="C50" s="10"/>
      <c r="D50" s="10" t="s">
        <v>4977</v>
      </c>
      <c r="E50" s="6" t="str">
        <f ca="1">IFERROR(__xludf.DUMMYFUNCTION("""COMPUTED_VALUE"""),"Xièxiè nǐ bāng wǒ mǎi shuǐguǒ.")</f>
        <v>Xièxiè nǐ bāng wǒ mǎi shuǐguǒ.</v>
      </c>
    </row>
    <row r="51" spans="1:5" ht="14.25" customHeight="1">
      <c r="A51" s="41" t="s">
        <v>4978</v>
      </c>
      <c r="B51" s="10" t="s">
        <v>4979</v>
      </c>
      <c r="C51" s="10"/>
      <c r="D51" s="10"/>
      <c r="E51" s="6" t="str">
        <f ca="1">IFERROR(__xludf.DUMMYFUNCTION("""COMPUTED_VALUE"""),"Fēilǜbīn de shuǐguǒ zhēn bàng!")</f>
        <v>Fēilǜbīn de shuǐguǒ zhēn bàng!</v>
      </c>
    </row>
    <row r="52" spans="1:5" ht="14.25" customHeight="1">
      <c r="A52" s="42"/>
      <c r="B52" s="10"/>
      <c r="C52" s="10"/>
      <c r="D52" s="10" t="s">
        <v>4980</v>
      </c>
    </row>
    <row r="53" spans="1:5" ht="14.25" customHeight="1">
      <c r="A53" s="42"/>
      <c r="B53" s="10"/>
      <c r="C53" s="10"/>
      <c r="D53" s="10"/>
      <c r="E53" s="5"/>
    </row>
    <row r="54" spans="1:5" ht="14.25" customHeight="1">
      <c r="A54" s="42"/>
      <c r="B54" s="10"/>
      <c r="C54" s="10"/>
      <c r="D54" s="10" t="s">
        <v>4981</v>
      </c>
      <c r="E54" s="5"/>
    </row>
    <row r="55" spans="1:5" ht="14.25" customHeight="1">
      <c r="A55" s="42"/>
      <c r="B55" s="10"/>
      <c r="C55" s="10"/>
      <c r="D55" s="10"/>
      <c r="E55" s="5"/>
    </row>
    <row r="56" spans="1:5" ht="14.25" customHeight="1">
      <c r="A56" s="42"/>
      <c r="B56" s="10"/>
      <c r="C56" s="10"/>
      <c r="D56" s="10" t="s">
        <v>4982</v>
      </c>
      <c r="E56" s="5"/>
    </row>
    <row r="57" spans="1:5" ht="14.25" customHeight="1">
      <c r="A57" s="42"/>
      <c r="B57" s="10"/>
      <c r="C57" s="10"/>
      <c r="D57" s="10"/>
      <c r="E57" s="5"/>
    </row>
    <row r="58" spans="1:5" ht="14.25" customHeight="1">
      <c r="A58" s="42"/>
      <c r="B58" s="10"/>
      <c r="C58" s="10"/>
      <c r="D58" s="10" t="s">
        <v>4983</v>
      </c>
      <c r="E58" s="5"/>
    </row>
    <row r="59" spans="1:5" ht="14.25" customHeight="1">
      <c r="A59" s="42"/>
      <c r="B59" s="10"/>
      <c r="C59" s="10"/>
      <c r="D59" s="10"/>
    </row>
    <row r="60" spans="1:5" ht="14.25" customHeight="1">
      <c r="A60" s="42"/>
      <c r="B60" s="10"/>
      <c r="C60" s="10"/>
      <c r="D60" s="10" t="s">
        <v>4984</v>
      </c>
      <c r="E60" s="5"/>
    </row>
    <row r="61" spans="1:5" ht="14.25" customHeight="1">
      <c r="A61" s="42"/>
      <c r="B61" s="10"/>
      <c r="C61" s="10"/>
      <c r="D61" s="10"/>
      <c r="E61" s="5"/>
    </row>
    <row r="62" spans="1:5" ht="14.25" customHeight="1">
      <c r="A62" s="42"/>
      <c r="B62" s="10"/>
      <c r="C62" s="10"/>
      <c r="D62" s="10" t="s">
        <v>4985</v>
      </c>
      <c r="E62" s="5"/>
    </row>
    <row r="63" spans="1:5" ht="14.25" customHeight="1">
      <c r="A63" s="42"/>
      <c r="B63" s="10"/>
      <c r="C63" s="10"/>
      <c r="D63" s="10"/>
      <c r="E63" s="5"/>
    </row>
    <row r="64" spans="1:5" ht="14.25" customHeight="1">
      <c r="A64" s="42"/>
      <c r="B64" s="10"/>
      <c r="C64" s="10"/>
      <c r="D64" s="10" t="s">
        <v>4986</v>
      </c>
      <c r="E64" s="5"/>
    </row>
    <row r="65" spans="1:5" ht="14.25" customHeight="1">
      <c r="A65" s="42"/>
      <c r="B65" s="10"/>
      <c r="C65" s="10"/>
      <c r="D65" s="10"/>
      <c r="E65" s="5"/>
    </row>
    <row r="66" spans="1:5" ht="14.25" customHeight="1">
      <c r="A66" s="42"/>
      <c r="B66" s="10"/>
      <c r="C66" s="10"/>
      <c r="D66" s="10" t="s">
        <v>4987</v>
      </c>
      <c r="E66" s="5"/>
    </row>
    <row r="67" spans="1:5" ht="14.25" customHeight="1">
      <c r="A67" s="42"/>
      <c r="B67" s="10"/>
      <c r="C67" s="10"/>
      <c r="D67" s="10"/>
      <c r="E67" s="5"/>
    </row>
    <row r="68" spans="1:5" ht="14.25" customHeight="1">
      <c r="A68" s="42"/>
      <c r="B68" s="10"/>
      <c r="C68" s="10"/>
      <c r="D68" s="10" t="s">
        <v>4988</v>
      </c>
      <c r="E68" s="5"/>
    </row>
    <row r="69" spans="1:5" ht="14.25" customHeight="1">
      <c r="A69" s="42"/>
      <c r="B69" s="10"/>
      <c r="C69" s="10"/>
      <c r="D69" s="10"/>
      <c r="E69" s="5"/>
    </row>
    <row r="70" spans="1:5" ht="14.25" customHeight="1">
      <c r="A70" s="42"/>
      <c r="B70" s="10"/>
      <c r="C70" s="10"/>
      <c r="D70" s="10" t="s">
        <v>4989</v>
      </c>
      <c r="E70" s="5"/>
    </row>
    <row r="71" spans="1:5" ht="14.25" customHeight="1">
      <c r="A71" s="42"/>
      <c r="B71" s="10"/>
      <c r="C71" s="10"/>
      <c r="D71" s="10"/>
      <c r="E71" s="5"/>
    </row>
    <row r="72" spans="1:5" ht="14.25" customHeight="1">
      <c r="A72" s="42"/>
      <c r="B72" s="10"/>
      <c r="C72" s="10"/>
      <c r="D72" s="10" t="s">
        <v>4990</v>
      </c>
      <c r="E72" s="5"/>
    </row>
    <row r="73" spans="1:5" ht="14.25" customHeight="1">
      <c r="A73" s="42"/>
      <c r="B73" s="10"/>
      <c r="C73" s="10"/>
      <c r="D73" s="10"/>
      <c r="E73" s="5"/>
    </row>
    <row r="74" spans="1:5" ht="14.25" customHeight="1">
      <c r="A74" s="42"/>
      <c r="B74" s="10"/>
      <c r="C74" s="10"/>
      <c r="D74" s="10" t="s">
        <v>4991</v>
      </c>
      <c r="E74" s="5"/>
    </row>
    <row r="75" spans="1:5" ht="14.25" customHeight="1">
      <c r="A75" s="42"/>
      <c r="B75" s="10"/>
      <c r="C75" s="10"/>
      <c r="D75" s="10"/>
      <c r="E75" s="5"/>
    </row>
    <row r="76" spans="1:5" ht="14.25" customHeight="1">
      <c r="A76" s="42"/>
      <c r="B76" s="10"/>
      <c r="C76" s="10"/>
      <c r="D76" s="10" t="s">
        <v>4992</v>
      </c>
      <c r="E76" s="5"/>
    </row>
    <row r="77" spans="1:5" ht="14.25" customHeight="1">
      <c r="A77" s="42"/>
      <c r="B77" s="10"/>
      <c r="C77" s="10"/>
      <c r="D77" s="10"/>
      <c r="E77" s="5"/>
    </row>
    <row r="78" spans="1:5" ht="14.25" customHeight="1">
      <c r="A78" s="42"/>
      <c r="B78" s="10"/>
      <c r="C78" s="10"/>
      <c r="D78" s="10" t="s">
        <v>4993</v>
      </c>
      <c r="E78" s="5"/>
    </row>
    <row r="79" spans="1:5" ht="14.25" customHeight="1">
      <c r="A79" s="42"/>
      <c r="B79" s="10"/>
      <c r="C79" s="10"/>
      <c r="D79" s="10"/>
      <c r="E79" s="5"/>
    </row>
    <row r="80" spans="1:5" ht="14.25" customHeight="1">
      <c r="A80" s="42"/>
      <c r="B80" s="10"/>
      <c r="C80" s="10"/>
      <c r="D80" s="10" t="s">
        <v>4994</v>
      </c>
      <c r="E80" s="5"/>
    </row>
    <row r="81" spans="1:5" ht="14.25" customHeight="1">
      <c r="A81" s="42"/>
      <c r="B81" s="10"/>
      <c r="C81" s="10"/>
      <c r="D81" s="10"/>
      <c r="E81" s="5"/>
    </row>
    <row r="82" spans="1:5" ht="14.25" customHeight="1">
      <c r="A82" s="42"/>
      <c r="B82" s="10"/>
      <c r="C82" s="10"/>
      <c r="D82" s="10" t="s">
        <v>4995</v>
      </c>
      <c r="E82" s="5"/>
    </row>
    <row r="83" spans="1:5" ht="14.25" customHeight="1">
      <c r="A83" s="42"/>
      <c r="B83" s="10"/>
      <c r="C83" s="10"/>
      <c r="D83" s="10"/>
      <c r="E83" s="5"/>
    </row>
    <row r="84" spans="1:5" ht="14.25" customHeight="1">
      <c r="A84" s="42"/>
      <c r="B84" s="10"/>
      <c r="C84" s="10"/>
      <c r="D84" s="10" t="s">
        <v>4996</v>
      </c>
      <c r="E84" s="5"/>
    </row>
    <row r="85" spans="1:5" ht="14.25" customHeight="1">
      <c r="A85" s="42"/>
      <c r="B85" s="10"/>
      <c r="C85" s="10"/>
      <c r="D85" s="10"/>
      <c r="E85" s="5"/>
    </row>
    <row r="86" spans="1:5" ht="14.25" customHeight="1">
      <c r="A86" s="42"/>
      <c r="B86" s="10"/>
      <c r="C86" s="10"/>
      <c r="D86" s="10" t="s">
        <v>4997</v>
      </c>
      <c r="E86" s="5"/>
    </row>
    <row r="87" spans="1:5" ht="14.25" customHeight="1">
      <c r="A87" s="42"/>
      <c r="B87" s="10"/>
      <c r="C87" s="10"/>
      <c r="D87" s="10"/>
      <c r="E87" s="5"/>
    </row>
    <row r="88" spans="1:5" ht="14.25" customHeight="1">
      <c r="A88" s="42"/>
      <c r="B88" s="10"/>
      <c r="C88" s="10"/>
      <c r="D88" s="10" t="s">
        <v>4998</v>
      </c>
      <c r="E88" s="5"/>
    </row>
    <row r="89" spans="1:5" ht="14.25" customHeight="1">
      <c r="A89" s="42"/>
      <c r="B89" s="10"/>
      <c r="C89" s="10"/>
      <c r="D89" s="10"/>
      <c r="E89" s="5"/>
    </row>
    <row r="90" spans="1:5" ht="14.25" customHeight="1">
      <c r="A90" s="42"/>
      <c r="B90" s="10"/>
      <c r="C90" s="10"/>
      <c r="D90" s="10" t="s">
        <v>4999</v>
      </c>
      <c r="E90" s="5"/>
    </row>
    <row r="91" spans="1:5" ht="14.25" customHeight="1">
      <c r="A91" s="42"/>
      <c r="B91" s="10"/>
      <c r="C91" s="10"/>
      <c r="D91" s="10"/>
      <c r="E91" s="5"/>
    </row>
    <row r="92" spans="1:5" ht="14.25" customHeight="1">
      <c r="A92" s="42"/>
      <c r="B92" s="10"/>
      <c r="C92" s="10"/>
      <c r="D92" s="10" t="s">
        <v>5000</v>
      </c>
      <c r="E92" s="5"/>
    </row>
    <row r="93" spans="1:5" ht="14.25" customHeight="1">
      <c r="A93" s="42"/>
      <c r="B93" s="10"/>
      <c r="C93" s="10"/>
      <c r="D93" s="10"/>
      <c r="E93" s="5"/>
    </row>
    <row r="94" spans="1:5" ht="14.25" customHeight="1">
      <c r="A94" s="42"/>
      <c r="B94" s="10"/>
      <c r="C94" s="10"/>
      <c r="D94" s="10" t="s">
        <v>5001</v>
      </c>
      <c r="E94" s="5"/>
    </row>
    <row r="95" spans="1:5" ht="14.25" customHeight="1">
      <c r="A95" s="42"/>
      <c r="B95" s="10"/>
      <c r="C95" s="10"/>
      <c r="D95" s="10"/>
      <c r="E95" s="5"/>
    </row>
    <row r="96" spans="1:5" ht="14.25" customHeight="1">
      <c r="A96" s="42"/>
      <c r="B96" s="10"/>
      <c r="C96" s="10"/>
      <c r="D96" s="10" t="s">
        <v>5002</v>
      </c>
      <c r="E96" s="5"/>
    </row>
    <row r="97" spans="1:5" ht="14.25" customHeight="1">
      <c r="A97" s="42"/>
      <c r="B97" s="10"/>
      <c r="C97" s="10"/>
      <c r="D97" s="10"/>
      <c r="E97" s="5"/>
    </row>
    <row r="98" spans="1:5" ht="14.25" customHeight="1">
      <c r="A98" s="42"/>
      <c r="B98" s="10"/>
      <c r="C98" s="10"/>
      <c r="D98" s="10" t="s">
        <v>5003</v>
      </c>
      <c r="E98" s="5"/>
    </row>
    <row r="99" spans="1:5" ht="14.25" customHeight="1">
      <c r="A99" s="42"/>
      <c r="B99" s="10"/>
      <c r="C99" s="10"/>
      <c r="D99" s="10"/>
      <c r="E99" s="5"/>
    </row>
    <row r="100" spans="1:5" ht="14.25" customHeight="1">
      <c r="A100" s="42"/>
      <c r="B100" s="10"/>
      <c r="C100" s="10"/>
      <c r="D100" s="10" t="s">
        <v>5004</v>
      </c>
      <c r="E100" s="5"/>
    </row>
  </sheetData>
  <pageMargins left="0.75" right="0.75" top="1" bottom="1"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2" width="52.33203125" customWidth="1"/>
    <col min="3" max="3" width="19.5546875" customWidth="1"/>
    <col min="4" max="4" width="52.33203125" customWidth="1"/>
    <col min="5" max="5" width="56.88671875" customWidth="1"/>
  </cols>
  <sheetData>
    <row r="1" spans="1:5" ht="14.25" customHeight="1">
      <c r="A1" s="12" t="s">
        <v>5005</v>
      </c>
      <c r="E1" s="2"/>
    </row>
    <row r="2" spans="1:5" ht="14.25" customHeight="1">
      <c r="A2" s="41" t="s">
        <v>5006</v>
      </c>
      <c r="B2" s="43" t="s">
        <v>5007</v>
      </c>
      <c r="C2" s="46"/>
      <c r="D2" s="46" t="s">
        <v>5008</v>
      </c>
      <c r="E2" s="5" t="str">
        <f ca="1">IFERROR(__xludf.DUMMYFUNCTION("FILTER(D1:D1004,D1:D1004&lt;&gt; """")"),"Wǒ xiǎng yòng diànnǎo.")</f>
        <v>Wǒ xiǎng yòng diànnǎo.</v>
      </c>
    </row>
    <row r="3" spans="1:5" ht="14.25" customHeight="1">
      <c r="A3" s="41" t="s">
        <v>5009</v>
      </c>
      <c r="B3" s="43" t="s">
        <v>5010</v>
      </c>
      <c r="C3" s="46"/>
      <c r="D3" s="46"/>
      <c r="E3" s="6" t="str">
        <f ca="1">IFERROR(__xludf.DUMMYFUNCTION("""COMPUTED_VALUE"""),"Zhè tái diànnǎo tài kuàile.")</f>
        <v>Zhè tái diànnǎo tài kuàile.</v>
      </c>
    </row>
    <row r="4" spans="1:5" ht="14.25" customHeight="1">
      <c r="A4" s="41" t="s">
        <v>5011</v>
      </c>
      <c r="B4" s="43" t="s">
        <v>5012</v>
      </c>
      <c r="C4" s="46"/>
      <c r="D4" s="46" t="s">
        <v>5013</v>
      </c>
      <c r="E4" s="5" t="str">
        <f ca="1">IFERROR(__xludf.DUMMYFUNCTION("""COMPUTED_VALUE"""),"Wǒ zhèngzài kāijī.")</f>
        <v>Wǒ zhèngzài kāijī.</v>
      </c>
    </row>
    <row r="5" spans="1:5" ht="14.25" customHeight="1">
      <c r="A5" s="41" t="s">
        <v>5014</v>
      </c>
      <c r="B5" s="43" t="s">
        <v>5015</v>
      </c>
      <c r="C5" s="46"/>
      <c r="D5" s="46"/>
      <c r="E5" s="5" t="str">
        <f ca="1">IFERROR(__xludf.DUMMYFUNCTION("""COMPUTED_VALUE"""),"Wǒ kěyǐ jièyòng yīxià nǐ de shǔbiāo ma?")</f>
        <v>Wǒ kěyǐ jièyòng yīxià nǐ de shǔbiāo ma?</v>
      </c>
    </row>
    <row r="6" spans="1:5" ht="14.25" customHeight="1">
      <c r="A6" s="41" t="s">
        <v>5016</v>
      </c>
      <c r="B6" s="43" t="s">
        <v>5017</v>
      </c>
      <c r="C6" s="46"/>
      <c r="D6" s="46" t="s">
        <v>5018</v>
      </c>
      <c r="E6" s="5" t="str">
        <f ca="1">IFERROR(__xludf.DUMMYFUNCTION("""COMPUTED_VALUE"""),"Zhège jiànpán kǎ zhùle.")</f>
        <v>Zhège jiànpán kǎ zhùle.</v>
      </c>
    </row>
    <row r="7" spans="1:5" ht="14.25" customHeight="1">
      <c r="A7" s="41" t="s">
        <v>5019</v>
      </c>
      <c r="B7" s="43" t="s">
        <v>5020</v>
      </c>
      <c r="C7" s="46"/>
      <c r="D7" s="46"/>
      <c r="E7" s="5" t="str">
        <f ca="1">IFERROR(__xludf.DUMMYFUNCTION("""COMPUTED_VALUE"""),"Wǒ xūyào yīgè ěrjī.")</f>
        <v>Wǒ xūyào yīgè ěrjī.</v>
      </c>
    </row>
    <row r="8" spans="1:5" ht="14.25" customHeight="1">
      <c r="A8" s="41" t="s">
        <v>5021</v>
      </c>
      <c r="B8" s="43" t="s">
        <v>5022</v>
      </c>
      <c r="C8" s="46"/>
      <c r="D8" s="46" t="s">
        <v>5023</v>
      </c>
      <c r="E8" s="5" t="str">
        <f ca="1">IFERROR(__xludf.DUMMYFUNCTION("""COMPUTED_VALUE"""),"Wǒ zhèngzài wǎngshàng zuò zuo yè.")</f>
        <v>Wǒ zhèngzài wǎngshàng zuò zuo yè.</v>
      </c>
    </row>
    <row r="9" spans="1:5" ht="14.25" customHeight="1">
      <c r="A9" s="41" t="s">
        <v>5024</v>
      </c>
      <c r="B9" s="43" t="s">
        <v>5025</v>
      </c>
      <c r="C9" s="46"/>
      <c r="D9" s="46"/>
      <c r="E9" s="5" t="str">
        <f ca="1">IFERROR(__xludf.DUMMYFUNCTION("""COMPUTED_VALUE"""),"Nǐ wán yóuxì ma?")</f>
        <v>Nǐ wán yóuxì ma?</v>
      </c>
    </row>
    <row r="10" spans="1:5" ht="14.25" customHeight="1">
      <c r="A10" s="41" t="s">
        <v>5026</v>
      </c>
      <c r="B10" s="43" t="s">
        <v>5027</v>
      </c>
      <c r="C10" s="46"/>
      <c r="D10" s="46" t="s">
        <v>5028</v>
      </c>
      <c r="E10" s="5" t="str">
        <f ca="1">IFERROR(__xludf.DUMMYFUNCTION("""COMPUTED_VALUE"""),"Wǒ xǐhuān wán Roblox.")</f>
        <v>Wǒ xǐhuān wán Roblox.</v>
      </c>
    </row>
    <row r="11" spans="1:5" ht="14.25" customHeight="1">
      <c r="A11" s="41" t="s">
        <v>5029</v>
      </c>
      <c r="B11" s="43" t="s">
        <v>5030</v>
      </c>
      <c r="C11" s="46"/>
      <c r="D11" s="46"/>
      <c r="E11" s="5" t="str">
        <f ca="1">IFERROR(__xludf.DUMMYFUNCTION("""COMPUTED_VALUE"""),"Bié wán tài jiǔ.")</f>
        <v>Bié wán tài jiǔ.</v>
      </c>
    </row>
    <row r="12" spans="1:5" ht="14.25" customHeight="1">
      <c r="A12" s="41" t="s">
        <v>5031</v>
      </c>
      <c r="B12" s="43" t="s">
        <v>5032</v>
      </c>
      <c r="C12" s="46"/>
      <c r="D12" s="46" t="s">
        <v>5033</v>
      </c>
      <c r="E12" s="6" t="str">
        <f ca="1">IFERROR(__xludf.DUMMYFUNCTION("""COMPUTED_VALUE"""),"Wǒ zài wán 5 fēnzhōng.")</f>
        <v>Wǒ zài wán 5 fēnzhōng.</v>
      </c>
    </row>
    <row r="13" spans="1:5" ht="14.25" customHeight="1">
      <c r="A13" s="41" t="s">
        <v>5034</v>
      </c>
      <c r="B13" s="43" t="s">
        <v>5035</v>
      </c>
      <c r="C13" s="46"/>
      <c r="D13" s="46"/>
      <c r="E13" s="6" t="str">
        <f ca="1">IFERROR(__xludf.DUMMYFUNCTION("""COMPUTED_VALUE"""),"Wǒ zhèngzài xiàzài zhège.")</f>
        <v>Wǒ zhèngzài xiàzài zhège.</v>
      </c>
    </row>
    <row r="14" spans="1:5" ht="14.25" customHeight="1">
      <c r="A14" s="41" t="s">
        <v>5036</v>
      </c>
      <c r="B14" s="43" t="s">
        <v>5037</v>
      </c>
      <c r="C14" s="46"/>
      <c r="D14" s="46" t="s">
        <v>5038</v>
      </c>
      <c r="E14" s="6" t="str">
        <f ca="1">IFERROR(__xludf.DUMMYFUNCTION("""COMPUTED_VALUE"""),"Wǒ xiǎng dǎyìn zhè fèn wénjiàn.")</f>
        <v>Wǒ xiǎng dǎyìn zhè fèn wénjiàn.</v>
      </c>
    </row>
    <row r="15" spans="1:5" ht="14.25" customHeight="1">
      <c r="A15" s="41" t="s">
        <v>5039</v>
      </c>
      <c r="B15" s="43" t="s">
        <v>5040</v>
      </c>
      <c r="C15" s="46"/>
      <c r="D15" s="46"/>
      <c r="E15" s="6" t="str">
        <f ca="1">IFERROR(__xludf.DUMMYFUNCTION("""COMPUTED_VALUE"""),"Dǎyìnjī méi zhǐle.")</f>
        <v>Dǎyìnjī méi zhǐle.</v>
      </c>
    </row>
    <row r="16" spans="1:5" ht="14.25" customHeight="1">
      <c r="A16" s="41" t="s">
        <v>5041</v>
      </c>
      <c r="B16" s="43" t="s">
        <v>5042</v>
      </c>
      <c r="C16" s="46"/>
      <c r="D16" s="46" t="s">
        <v>5043</v>
      </c>
      <c r="E16" s="6" t="str">
        <f ca="1">IFERROR(__xludf.DUMMYFUNCTION("""COMPUTED_VALUE"""),"Wǒ xūyào gěi diànnǎo chōngdiàn.")</f>
        <v>Wǒ xūyào gěi diànnǎo chōngdiàn.</v>
      </c>
    </row>
    <row r="17" spans="1:5" ht="14.25" customHeight="1">
      <c r="A17" s="41" t="s">
        <v>5044</v>
      </c>
      <c r="B17" s="43" t="s">
        <v>5045</v>
      </c>
      <c r="C17" s="46"/>
      <c r="D17" s="46"/>
      <c r="E17" s="6" t="str">
        <f ca="1">IFERROR(__xludf.DUMMYFUNCTION("""COMPUTED_VALUE"""),"Chōngdiàn xiànzài nǎlǐ?")</f>
        <v>Chōngdiàn xiànzài nǎlǐ?</v>
      </c>
    </row>
    <row r="18" spans="1:5" ht="14.25" customHeight="1">
      <c r="A18" s="41" t="s">
        <v>5046</v>
      </c>
      <c r="B18" s="43" t="s">
        <v>5047</v>
      </c>
      <c r="C18" s="46"/>
      <c r="D18" s="46" t="s">
        <v>5048</v>
      </c>
      <c r="E18" s="5" t="str">
        <f ca="1">IFERROR(__xludf.DUMMYFUNCTION("""COMPUTED_VALUE"""),"Wǒ zhèngzài shàngwǎng.")</f>
        <v>Wǒ zhèngzài shàngwǎng.</v>
      </c>
    </row>
    <row r="19" spans="1:5" ht="14.25" customHeight="1">
      <c r="A19" s="41" t="s">
        <v>5049</v>
      </c>
      <c r="B19" s="43" t="s">
        <v>5050</v>
      </c>
      <c r="C19" s="46"/>
      <c r="D19" s="46"/>
      <c r="E19" s="4" t="str">
        <f ca="1">IFERROR(__xludf.DUMMYFUNCTION("""COMPUTED_VALUE"""),"Zhèlǐ de Wi-Fi xìnhào tài qiángle.")</f>
        <v>Zhèlǐ de Wi-Fi xìnhào tài qiángle.</v>
      </c>
    </row>
    <row r="20" spans="1:5" ht="14.25" customHeight="1">
      <c r="A20" s="41" t="s">
        <v>5051</v>
      </c>
      <c r="B20" s="43" t="s">
        <v>5052</v>
      </c>
      <c r="C20" s="46"/>
      <c r="D20" s="46" t="s">
        <v>5053</v>
      </c>
      <c r="E20" s="5" t="str">
        <f ca="1">IFERROR(__xludf.DUMMYFUNCTION("""COMPUTED_VALUE"""),"Wǒ de wǎngluò liánjiē duàn kāile.")</f>
        <v>Wǒ de wǎngluò liánjiē duàn kāile.</v>
      </c>
    </row>
    <row r="21" spans="1:5" ht="14.25" customHeight="1">
      <c r="A21" s="41" t="s">
        <v>5054</v>
      </c>
      <c r="B21" s="43" t="s">
        <v>5055</v>
      </c>
      <c r="C21" s="46"/>
      <c r="D21" s="46"/>
      <c r="E21" s="6" t="str">
        <f ca="1">IFERROR(__xludf.DUMMYFUNCTION("""COMPUTED_VALUE"""),"Wǒ xūyào chuàngjiàn yīgè zhànghào.")</f>
        <v>Wǒ xūyào chuàngjiàn yīgè zhànghào.</v>
      </c>
    </row>
    <row r="22" spans="1:5" ht="14.25" customHeight="1">
      <c r="A22" s="41" t="s">
        <v>5056</v>
      </c>
      <c r="B22" s="43" t="s">
        <v>5057</v>
      </c>
      <c r="C22" s="46"/>
      <c r="D22" s="46" t="s">
        <v>5058</v>
      </c>
      <c r="E22" s="6" t="str">
        <f ca="1">IFERROR(__xludf.DUMMYFUNCTION("""COMPUTED_VALUE"""),"Bùyào bǎ nǐ de mìmǎ gàosù rènhé rén.")</f>
        <v>Bùyào bǎ nǐ de mìmǎ gàosù rènhé rén.</v>
      </c>
    </row>
    <row r="23" spans="1:5" ht="14.25" customHeight="1">
      <c r="A23" s="41" t="s">
        <v>5059</v>
      </c>
      <c r="B23" s="43" t="s">
        <v>5060</v>
      </c>
      <c r="C23" s="46"/>
      <c r="D23" s="46"/>
      <c r="E23" s="6" t="str">
        <f ca="1">IFERROR(__xludf.DUMMYFUNCTION("""COMPUTED_VALUE"""),"Wǒ zhèngzài xiě yóujiàn.")</f>
        <v>Wǒ zhèngzài xiě yóujiàn.</v>
      </c>
    </row>
    <row r="24" spans="1:5" ht="14.25" customHeight="1">
      <c r="A24" s="41" t="s">
        <v>5061</v>
      </c>
      <c r="B24" s="43" t="s">
        <v>5062</v>
      </c>
      <c r="C24" s="46"/>
      <c r="D24" s="46" t="s">
        <v>5063</v>
      </c>
      <c r="E24" s="6" t="str">
        <f ca="1">IFERROR(__xludf.DUMMYFUNCTION("""COMPUTED_VALUE"""),"Qǐng bǎ zhège wénjiàn fā gěi wǒ.")</f>
        <v>Qǐng bǎ zhège wénjiàn fā gěi wǒ.</v>
      </c>
    </row>
    <row r="25" spans="1:5" ht="14.25" customHeight="1">
      <c r="A25" s="41" t="s">
        <v>5064</v>
      </c>
      <c r="B25" s="43" t="s">
        <v>5065</v>
      </c>
      <c r="C25" s="46"/>
      <c r="D25" s="46"/>
      <c r="E25" s="6" t="str">
        <f ca="1">IFERROR(__xludf.DUMMYFUNCTION("""COMPUTED_VALUE"""),"Wǒ xiǎng bǎocún zhè zhāng túpiàn.")</f>
        <v>Wǒ xiǎng bǎocún zhè zhāng túpiàn.</v>
      </c>
    </row>
    <row r="26" spans="1:5" ht="14.25" customHeight="1">
      <c r="A26" s="41" t="s">
        <v>5066</v>
      </c>
      <c r="B26" s="43" t="s">
        <v>5067</v>
      </c>
      <c r="C26" s="46"/>
      <c r="D26" s="46" t="s">
        <v>5068</v>
      </c>
      <c r="E26" s="6" t="str">
        <f ca="1">IFERROR(__xludf.DUMMYFUNCTION("""COMPUTED_VALUE"""),"Zhège píngmù tàiliàngle.")</f>
        <v>Zhège píngmù tàiliàngle.</v>
      </c>
    </row>
    <row r="27" spans="1:5" ht="14.25" customHeight="1">
      <c r="A27" s="41" t="s">
        <v>5069</v>
      </c>
      <c r="B27" s="43" t="s">
        <v>5070</v>
      </c>
      <c r="C27" s="46"/>
      <c r="D27" s="46"/>
      <c r="E27" s="6" t="str">
        <f ca="1">IFERROR(__xludf.DUMMYFUNCTION("""COMPUTED_VALUE"""),"Wǒ kěyǐ diào dī liàngdù ma?")</f>
        <v>Wǒ kěyǐ diào dī liàngdù ma?</v>
      </c>
    </row>
    <row r="28" spans="1:5" ht="14.25" customHeight="1">
      <c r="A28" s="41" t="s">
        <v>5071</v>
      </c>
      <c r="B28" s="43" t="s">
        <v>5072</v>
      </c>
      <c r="C28" s="46"/>
      <c r="D28" s="46" t="s">
        <v>5073</v>
      </c>
      <c r="E28" s="6" t="str">
        <f ca="1">IFERROR(__xludf.DUMMYFUNCTION("""COMPUTED_VALUE"""),"Wǒ zhèngzài YouTube shàng kàn shìpín.")</f>
        <v>Wǒ zhèngzài YouTube shàng kàn shìpín.</v>
      </c>
    </row>
    <row r="29" spans="1:5" ht="14.25" customHeight="1">
      <c r="A29" s="41" t="s">
        <v>5074</v>
      </c>
      <c r="B29" s="43" t="s">
        <v>5075</v>
      </c>
      <c r="C29" s="46"/>
      <c r="D29" s="46"/>
      <c r="E29" s="37" t="str">
        <f ca="1">IFERROR(__xludf.DUMMYFUNCTION("""COMPUTED_VALUE"""),"Zhège shìpín hěn yǒu bāngzhù.")</f>
        <v>Zhège shìpín hěn yǒu bāngzhù.</v>
      </c>
    </row>
    <row r="30" spans="1:5" ht="14.25" customHeight="1">
      <c r="A30" s="41" t="s">
        <v>5076</v>
      </c>
      <c r="B30" s="43" t="s">
        <v>5077</v>
      </c>
      <c r="C30" s="46"/>
      <c r="D30" s="46" t="s">
        <v>5078</v>
      </c>
      <c r="E30" s="6" t="str">
        <f ca="1">IFERROR(__xludf.DUMMYFUNCTION("""COMPUTED_VALUE"""),"Wǒ xǐhuān xīn jìshù.")</f>
        <v>Wǒ xǐhuān xīn jìshù.</v>
      </c>
    </row>
    <row r="31" spans="1:5" ht="14.25" customHeight="1">
      <c r="A31" s="41" t="s">
        <v>5079</v>
      </c>
      <c r="B31" s="43" t="s">
        <v>5080</v>
      </c>
      <c r="C31" s="46"/>
      <c r="D31" s="46"/>
      <c r="E31" s="4" t="str">
        <f ca="1">IFERROR(__xludf.DUMMYFUNCTION("""COMPUTED_VALUE"""),"Nǐ zhīdào zěnme yòng zhège ruǎnjiàn ma?")</f>
        <v>Nǐ zhīdào zěnme yòng zhège ruǎnjiàn ma?</v>
      </c>
    </row>
    <row r="32" spans="1:5" ht="14.25" customHeight="1">
      <c r="A32" s="41" t="s">
        <v>5081</v>
      </c>
      <c r="B32" s="43" t="s">
        <v>5082</v>
      </c>
      <c r="C32" s="46"/>
      <c r="D32" s="46" t="s">
        <v>5083</v>
      </c>
      <c r="E32" s="4" t="str">
        <f ca="1">IFERROR(__xludf.DUMMYFUNCTION("""COMPUTED_VALUE"""),"Qǐngjiào jiào wǒ.")</f>
        <v>Qǐngjiào jiào wǒ.</v>
      </c>
    </row>
    <row r="33" spans="1:5" ht="14.25" customHeight="1">
      <c r="A33" s="41" t="s">
        <v>5084</v>
      </c>
      <c r="B33" s="43" t="s">
        <v>5085</v>
      </c>
      <c r="C33" s="46"/>
      <c r="D33" s="46"/>
      <c r="E33" s="4" t="str">
        <f ca="1">IFERROR(__xludf.DUMMYFUNCTION("""COMPUTED_VALUE"""),"Wǒ zài dǎzì.")</f>
        <v>Wǒ zài dǎzì.</v>
      </c>
    </row>
    <row r="34" spans="1:5" ht="14.25" customHeight="1">
      <c r="A34" s="41" t="s">
        <v>5086</v>
      </c>
      <c r="B34" s="43" t="s">
        <v>5087</v>
      </c>
      <c r="C34" s="46"/>
      <c r="D34" s="46" t="s">
        <v>5088</v>
      </c>
      <c r="E34" s="4" t="str">
        <f ca="1">IFERROR(__xludf.DUMMYFUNCTION("""COMPUTED_VALUE"""),"Wǒ xiǎng tiānjiā yángshēngqì.")</f>
        <v>Wǒ xiǎng tiānjiā yángshēngqì.</v>
      </c>
    </row>
    <row r="35" spans="1:5" ht="14.25" customHeight="1">
      <c r="A35" s="41" t="s">
        <v>5089</v>
      </c>
      <c r="B35" s="43" t="s">
        <v>5090</v>
      </c>
      <c r="C35" s="46"/>
      <c r="D35" s="46"/>
      <c r="E35" s="8" t="str">
        <f ca="1">IFERROR(__xludf.DUMMYFUNCTION("""COMPUTED_VALUE"""),"Yīnzhì zhēn bàng.")</f>
        <v>Yīnzhì zhēn bàng.</v>
      </c>
    </row>
    <row r="36" spans="1:5" ht="14.25" customHeight="1">
      <c r="A36" s="41" t="s">
        <v>5091</v>
      </c>
      <c r="B36" s="43" t="s">
        <v>5092</v>
      </c>
      <c r="C36" s="46"/>
      <c r="D36" s="46" t="s">
        <v>5093</v>
      </c>
      <c r="E36" s="5" t="str">
        <f ca="1">IFERROR(__xludf.DUMMYFUNCTION("""COMPUTED_VALUE"""),"Wǒ zhèngzài ānzhuāng yīgè yìngyòng chéngxù.")</f>
        <v>Wǒ zhèngzài ānzhuāng yīgè yìngyòng chéngxù.</v>
      </c>
    </row>
    <row r="37" spans="1:5" ht="14.25" customHeight="1">
      <c r="A37" s="41" t="s">
        <v>5094</v>
      </c>
      <c r="B37" s="43" t="s">
        <v>5095</v>
      </c>
      <c r="C37" s="46"/>
      <c r="D37" s="46"/>
      <c r="E37" s="8" t="str">
        <f ca="1">IFERROR(__xludf.DUMMYFUNCTION("""COMPUTED_VALUE"""),"Wǒ xiǎng qīnglǐ diànnǎo lǐ de lèsè wénjiàn.")</f>
        <v>Wǒ xiǎng qīnglǐ diànnǎo lǐ de lèsè wénjiàn.</v>
      </c>
    </row>
    <row r="38" spans="1:5" ht="14.25" customHeight="1">
      <c r="A38" s="41" t="s">
        <v>5096</v>
      </c>
      <c r="B38" s="43" t="s">
        <v>5097</v>
      </c>
      <c r="C38" s="46"/>
      <c r="D38" s="46" t="s">
        <v>5098</v>
      </c>
      <c r="E38" s="5" t="str">
        <f ca="1">IFERROR(__xludf.DUMMYFUNCTION("""COMPUTED_VALUE"""),"Wǒ de diànnǎo sǐjīle.")</f>
        <v>Wǒ de diànnǎo sǐjīle.</v>
      </c>
    </row>
    <row r="39" spans="1:5" ht="14.25" customHeight="1">
      <c r="A39" s="41" t="s">
        <v>5099</v>
      </c>
      <c r="B39" s="41" t="s">
        <v>5100</v>
      </c>
      <c r="C39" s="42"/>
      <c r="D39" s="42"/>
      <c r="E39" s="6" t="str">
        <f ca="1">IFERROR(__xludf.DUMMYFUNCTION("""COMPUTED_VALUE"""),"Qǐng chóngqǐ yīxià.")</f>
        <v>Qǐng chóngqǐ yīxià.</v>
      </c>
    </row>
    <row r="40" spans="1:5" ht="14.25" customHeight="1">
      <c r="A40" s="41" t="s">
        <v>5101</v>
      </c>
      <c r="B40" s="43" t="s">
        <v>5102</v>
      </c>
      <c r="C40" s="46"/>
      <c r="D40" s="46" t="s">
        <v>5103</v>
      </c>
      <c r="E40" s="6" t="str">
        <f ca="1">IFERROR(__xludf.DUMMYFUNCTION("""COMPUTED_VALUE"""),"Wǒ dānxīn diànnǎo huì zhōng bìngdú.")</f>
        <v>Wǒ dānxīn diànnǎo huì zhōng bìngdú.</v>
      </c>
    </row>
    <row r="41" spans="1:5" ht="14.25" customHeight="1">
      <c r="A41" s="41" t="s">
        <v>5104</v>
      </c>
      <c r="B41" s="43" t="s">
        <v>5105</v>
      </c>
      <c r="C41" s="46"/>
      <c r="D41" s="46"/>
      <c r="E41" s="5" t="str">
        <f ca="1">IFERROR(__xludf.DUMMYFUNCTION("""COMPUTED_VALUE"""),"Wǒ xūyào dìngqí sǎomiáo bìngdú.")</f>
        <v>Wǒ xūyào dìngqí sǎomiáo bìngdú.</v>
      </c>
    </row>
    <row r="42" spans="1:5" ht="14.25" customHeight="1">
      <c r="A42" s="41" t="s">
        <v>5106</v>
      </c>
      <c r="B42" s="43" t="s">
        <v>5107</v>
      </c>
      <c r="C42" s="46"/>
      <c r="D42" s="46" t="s">
        <v>5108</v>
      </c>
      <c r="E42" s="4" t="str">
        <f ca="1">IFERROR(__xludf.DUMMYFUNCTION("""COMPUTED_VALUE"""),"Wǒ xiǎng mǎi yī tái píngbǎn diànnǎo.")</f>
        <v>Wǒ xiǎng mǎi yī tái píngbǎn diànnǎo.</v>
      </c>
    </row>
    <row r="43" spans="1:5" ht="14.25" customHeight="1">
      <c r="A43" s="41" t="s">
        <v>5109</v>
      </c>
      <c r="B43" s="43" t="s">
        <v>5110</v>
      </c>
      <c r="C43" s="46"/>
      <c r="D43" s="46"/>
      <c r="E43" s="5" t="str">
        <f ca="1">IFERROR(__xludf.DUMMYFUNCTION("""COMPUTED_VALUE"""),"Tā hěn shìhé xuéxí.")</f>
        <v>Tā hěn shìhé xuéxí.</v>
      </c>
    </row>
    <row r="44" spans="1:5" ht="14.25" customHeight="1">
      <c r="A44" s="41" t="s">
        <v>5111</v>
      </c>
      <c r="B44" s="43" t="s">
        <v>5112</v>
      </c>
      <c r="C44" s="46"/>
      <c r="D44" s="46" t="s">
        <v>5113</v>
      </c>
      <c r="E44" s="4" t="str">
        <f ca="1">IFERROR(__xludf.DUMMYFUNCTION("""COMPUTED_VALUE"""),"Wǒ zhèngzài xuéxí chūjí biānchéng.")</f>
        <v>Wǒ zhèngzài xuéxí chūjí biānchéng.</v>
      </c>
    </row>
    <row r="45" spans="1:5" ht="14.25" customHeight="1">
      <c r="A45" s="41" t="s">
        <v>5114</v>
      </c>
      <c r="B45" s="43" t="s">
        <v>5115</v>
      </c>
      <c r="C45" s="46"/>
      <c r="D45" s="46"/>
      <c r="E45" s="5" t="str">
        <f ca="1">IFERROR(__xludf.DUMMYFUNCTION("""COMPUTED_VALUE"""),"Wǒ xiǎng kāifā yīgè yìngyòng chéngxù.")</f>
        <v>Wǒ xiǎng kāifā yīgè yìngyòng chéngxù.</v>
      </c>
    </row>
    <row r="46" spans="1:5" ht="14.25" customHeight="1">
      <c r="A46" s="41" t="s">
        <v>5116</v>
      </c>
      <c r="B46" s="43" t="s">
        <v>5117</v>
      </c>
      <c r="C46" s="46"/>
      <c r="D46" s="46" t="s">
        <v>5118</v>
      </c>
      <c r="E46" s="4" t="str">
        <f ca="1">IFERROR(__xludf.DUMMYFUNCTION("""COMPUTED_VALUE"""),"Nǐ zhēn cōngmíng!")</f>
        <v>Nǐ zhēn cōngmíng!</v>
      </c>
    </row>
    <row r="47" spans="1:5" ht="14.25" customHeight="1">
      <c r="A47" s="41" t="s">
        <v>5119</v>
      </c>
      <c r="B47" s="43" t="s">
        <v>5120</v>
      </c>
      <c r="C47" s="46"/>
      <c r="D47" s="46"/>
      <c r="E47" s="4" t="str">
        <f ca="1">IFERROR(__xludf.DUMMYFUNCTION("""COMPUTED_VALUE"""),"Xièxiè nǐ ràng wǒ yòng nǐ de diànnǎo.")</f>
        <v>Xièxiè nǐ ràng wǒ yòng nǐ de diànnǎo.</v>
      </c>
    </row>
    <row r="48" spans="1:5" ht="14.25" customHeight="1">
      <c r="A48" s="41" t="s">
        <v>5121</v>
      </c>
      <c r="B48" s="43" t="s">
        <v>5122</v>
      </c>
      <c r="C48" s="46"/>
      <c r="D48" s="46" t="s">
        <v>5123</v>
      </c>
      <c r="E48" s="4" t="str">
        <f ca="1">IFERROR(__xludf.DUMMYFUNCTION("""COMPUTED_VALUE"""),"Wǒ xiànzài yào guānjīle.")</f>
        <v>Wǒ xiànzài yào guānjīle.</v>
      </c>
    </row>
    <row r="49" spans="1:5" ht="14.25" customHeight="1">
      <c r="A49" s="41" t="s">
        <v>5124</v>
      </c>
      <c r="B49" s="43" t="s">
        <v>5125</v>
      </c>
      <c r="C49" s="46"/>
      <c r="D49" s="46"/>
      <c r="E49" s="5" t="str">
        <f ca="1">IFERROR(__xludf.DUMMYFUNCTION("""COMPUTED_VALUE"""),"Jìdé bá diào diànyuán.")</f>
        <v>Jìdé bá diào diànyuán.</v>
      </c>
    </row>
    <row r="50" spans="1:5" ht="14.25" customHeight="1">
      <c r="A50" s="41" t="s">
        <v>5126</v>
      </c>
      <c r="B50" s="43" t="s">
        <v>5127</v>
      </c>
      <c r="C50" s="46"/>
      <c r="D50" s="46" t="s">
        <v>5128</v>
      </c>
      <c r="E50" s="6" t="str">
        <f ca="1">IFERROR(__xludf.DUMMYFUNCTION("""COMPUTED_VALUE"""),"Wǒ xiàn zài yào qù kàn zhǐ zhì shūle.")</f>
        <v>Wǒ xiàn zài yào qù kàn zhǐ zhì shūle.</v>
      </c>
    </row>
    <row r="51" spans="1:5" ht="14.25" customHeight="1">
      <c r="A51" s="41" t="s">
        <v>5129</v>
      </c>
      <c r="B51" s="43" t="s">
        <v>5130</v>
      </c>
      <c r="C51" s="46"/>
      <c r="D51" s="46"/>
      <c r="E51" s="6" t="str">
        <f ca="1">IFERROR(__xludf.DUMMYFUNCTION("""COMPUTED_VALUE"""),"Kējì zhēn shénqí!")</f>
        <v>Kējì zhēn shénqí!</v>
      </c>
    </row>
    <row r="52" spans="1:5" ht="14.25" customHeight="1">
      <c r="A52" s="42"/>
      <c r="B52" s="46"/>
      <c r="C52" s="46"/>
      <c r="D52" s="46" t="s">
        <v>5131</v>
      </c>
    </row>
    <row r="53" spans="1:5" ht="14.25" customHeight="1">
      <c r="A53" s="42"/>
      <c r="B53" s="46"/>
      <c r="C53" s="46"/>
      <c r="D53" s="46"/>
      <c r="E53" s="5"/>
    </row>
    <row r="54" spans="1:5" ht="14.25" customHeight="1">
      <c r="A54" s="42"/>
      <c r="B54" s="46"/>
      <c r="C54" s="46"/>
      <c r="D54" s="46" t="s">
        <v>5132</v>
      </c>
      <c r="E54" s="5"/>
    </row>
    <row r="55" spans="1:5" ht="14.25" customHeight="1">
      <c r="A55" s="42"/>
      <c r="B55" s="46"/>
      <c r="C55" s="46"/>
      <c r="D55" s="46"/>
      <c r="E55" s="5"/>
    </row>
    <row r="56" spans="1:5" ht="14.25" customHeight="1">
      <c r="A56" s="42"/>
      <c r="B56" s="46"/>
      <c r="C56" s="46"/>
      <c r="D56" s="46" t="s">
        <v>5133</v>
      </c>
      <c r="E56" s="5"/>
    </row>
    <row r="57" spans="1:5" ht="14.25" customHeight="1">
      <c r="A57" s="42"/>
      <c r="B57" s="46"/>
      <c r="C57" s="46"/>
      <c r="D57" s="46"/>
      <c r="E57" s="5"/>
    </row>
    <row r="58" spans="1:5" ht="14.25" customHeight="1">
      <c r="A58" s="42"/>
      <c r="B58" s="46"/>
      <c r="C58" s="46"/>
      <c r="D58" s="46" t="s">
        <v>5134</v>
      </c>
      <c r="E58" s="5"/>
    </row>
    <row r="59" spans="1:5" ht="14.25" customHeight="1">
      <c r="A59" s="42"/>
      <c r="B59" s="46"/>
      <c r="C59" s="46"/>
      <c r="D59" s="46"/>
    </row>
    <row r="60" spans="1:5" ht="14.25" customHeight="1">
      <c r="A60" s="42"/>
      <c r="B60" s="46"/>
      <c r="C60" s="46"/>
      <c r="D60" s="46" t="s">
        <v>5135</v>
      </c>
      <c r="E60" s="5"/>
    </row>
    <row r="61" spans="1:5" ht="14.25" customHeight="1">
      <c r="A61" s="42"/>
      <c r="B61" s="46"/>
      <c r="C61" s="46"/>
      <c r="D61" s="46"/>
      <c r="E61" s="5"/>
    </row>
    <row r="62" spans="1:5" ht="14.25" customHeight="1">
      <c r="A62" s="42"/>
      <c r="B62" s="46"/>
      <c r="C62" s="46"/>
      <c r="D62" s="46" t="s">
        <v>5136</v>
      </c>
      <c r="E62" s="5"/>
    </row>
    <row r="63" spans="1:5" ht="14.25" customHeight="1">
      <c r="A63" s="42"/>
      <c r="B63" s="46"/>
      <c r="C63" s="46"/>
      <c r="D63" s="46"/>
      <c r="E63" s="5"/>
    </row>
    <row r="64" spans="1:5" ht="14.25" customHeight="1">
      <c r="A64" s="42"/>
      <c r="B64" s="46"/>
      <c r="C64" s="46"/>
      <c r="D64" s="46" t="s">
        <v>5137</v>
      </c>
      <c r="E64" s="5"/>
    </row>
    <row r="65" spans="1:5" ht="14.25" customHeight="1">
      <c r="A65" s="42"/>
      <c r="B65" s="46"/>
      <c r="C65" s="46"/>
      <c r="D65" s="46"/>
      <c r="E65" s="5"/>
    </row>
    <row r="66" spans="1:5" ht="14.25" customHeight="1">
      <c r="A66" s="42"/>
      <c r="B66" s="46"/>
      <c r="C66" s="46"/>
      <c r="D66" s="46" t="s">
        <v>5138</v>
      </c>
      <c r="E66" s="5"/>
    </row>
    <row r="67" spans="1:5" ht="14.25" customHeight="1">
      <c r="A67" s="42"/>
      <c r="B67" s="46"/>
      <c r="C67" s="46"/>
      <c r="D67" s="46"/>
      <c r="E67" s="5"/>
    </row>
    <row r="68" spans="1:5" ht="14.25" customHeight="1">
      <c r="A68" s="42"/>
      <c r="B68" s="46"/>
      <c r="C68" s="46"/>
      <c r="D68" s="46" t="s">
        <v>5139</v>
      </c>
      <c r="E68" s="5"/>
    </row>
    <row r="69" spans="1:5" ht="14.25" customHeight="1">
      <c r="A69" s="42"/>
      <c r="B69" s="46"/>
      <c r="C69" s="46"/>
      <c r="D69" s="46"/>
      <c r="E69" s="5"/>
    </row>
    <row r="70" spans="1:5" ht="14.25" customHeight="1">
      <c r="A70" s="42"/>
      <c r="B70" s="46"/>
      <c r="C70" s="46"/>
      <c r="D70" s="46" t="s">
        <v>5140</v>
      </c>
      <c r="E70" s="5"/>
    </row>
    <row r="71" spans="1:5" ht="14.25" customHeight="1">
      <c r="A71" s="42"/>
      <c r="B71" s="46"/>
      <c r="C71" s="46"/>
      <c r="D71" s="46"/>
      <c r="E71" s="5"/>
    </row>
    <row r="72" spans="1:5" ht="14.25" customHeight="1">
      <c r="A72" s="42"/>
      <c r="B72" s="46"/>
      <c r="C72" s="46"/>
      <c r="D72" s="46" t="s">
        <v>5141</v>
      </c>
      <c r="E72" s="5"/>
    </row>
    <row r="73" spans="1:5" ht="14.25" customHeight="1">
      <c r="A73" s="42"/>
      <c r="B73" s="46"/>
      <c r="C73" s="46"/>
      <c r="D73" s="46"/>
      <c r="E73" s="5"/>
    </row>
    <row r="74" spans="1:5" ht="14.25" customHeight="1">
      <c r="A74" s="42"/>
      <c r="B74" s="46"/>
      <c r="C74" s="46"/>
      <c r="D74" s="46" t="s">
        <v>5142</v>
      </c>
      <c r="E74" s="5"/>
    </row>
    <row r="75" spans="1:5" ht="14.25" customHeight="1">
      <c r="A75" s="42"/>
      <c r="B75" s="46"/>
      <c r="C75" s="46"/>
      <c r="D75" s="46"/>
      <c r="E75" s="5"/>
    </row>
    <row r="76" spans="1:5" ht="14.25" customHeight="1">
      <c r="A76" s="42"/>
      <c r="B76" s="46"/>
      <c r="C76" s="46"/>
      <c r="D76" s="46" t="s">
        <v>5143</v>
      </c>
      <c r="E76" s="5"/>
    </row>
    <row r="77" spans="1:5" ht="14.25" customHeight="1">
      <c r="A77" s="42"/>
      <c r="B77" s="46"/>
      <c r="C77" s="46"/>
      <c r="D77" s="46"/>
      <c r="E77" s="5"/>
    </row>
    <row r="78" spans="1:5" ht="14.25" customHeight="1">
      <c r="A78" s="42"/>
      <c r="B78" s="46"/>
      <c r="C78" s="46"/>
      <c r="D78" s="46" t="s">
        <v>5144</v>
      </c>
      <c r="E78" s="5"/>
    </row>
    <row r="79" spans="1:5" ht="14.25" customHeight="1">
      <c r="A79" s="42"/>
      <c r="B79" s="46"/>
      <c r="C79" s="46"/>
      <c r="D79" s="46"/>
      <c r="E79" s="5"/>
    </row>
    <row r="80" spans="1:5" ht="14.25" customHeight="1">
      <c r="A80" s="42"/>
      <c r="B80" s="46"/>
      <c r="C80" s="46"/>
      <c r="D80" s="46" t="s">
        <v>5145</v>
      </c>
      <c r="E80" s="5"/>
    </row>
    <row r="81" spans="1:5" ht="14.25" customHeight="1">
      <c r="A81" s="42"/>
      <c r="B81" s="46"/>
      <c r="C81" s="46"/>
      <c r="D81" s="46"/>
      <c r="E81" s="5"/>
    </row>
    <row r="82" spans="1:5" ht="14.25" customHeight="1">
      <c r="A82" s="42"/>
      <c r="B82" s="46"/>
      <c r="C82" s="46"/>
      <c r="D82" s="46" t="s">
        <v>5146</v>
      </c>
      <c r="E82" s="5"/>
    </row>
    <row r="83" spans="1:5" ht="14.25" customHeight="1">
      <c r="A83" s="42"/>
      <c r="B83" s="46"/>
      <c r="C83" s="46"/>
      <c r="D83" s="46"/>
      <c r="E83" s="5"/>
    </row>
    <row r="84" spans="1:5" ht="14.25" customHeight="1">
      <c r="A84" s="42"/>
      <c r="B84" s="46"/>
      <c r="C84" s="46"/>
      <c r="D84" s="46" t="s">
        <v>5147</v>
      </c>
      <c r="E84" s="5"/>
    </row>
    <row r="85" spans="1:5" ht="14.25" customHeight="1">
      <c r="A85" s="42"/>
      <c r="B85" s="46"/>
      <c r="C85" s="46"/>
      <c r="D85" s="46"/>
      <c r="E85" s="5"/>
    </row>
    <row r="86" spans="1:5" ht="14.25" customHeight="1">
      <c r="A86" s="42"/>
      <c r="B86" s="46"/>
      <c r="C86" s="46"/>
      <c r="D86" s="46" t="s">
        <v>5148</v>
      </c>
      <c r="E86" s="5"/>
    </row>
    <row r="87" spans="1:5" ht="14.25" customHeight="1">
      <c r="A87" s="42"/>
      <c r="B87" s="46"/>
      <c r="C87" s="46"/>
      <c r="D87" s="46"/>
      <c r="E87" s="5"/>
    </row>
    <row r="88" spans="1:5" ht="14.25" customHeight="1">
      <c r="A88" s="42"/>
      <c r="B88" s="46"/>
      <c r="C88" s="46"/>
      <c r="D88" s="46" t="s">
        <v>5149</v>
      </c>
      <c r="E88" s="5"/>
    </row>
    <row r="89" spans="1:5" ht="14.25" customHeight="1">
      <c r="A89" s="42"/>
      <c r="B89" s="46"/>
      <c r="C89" s="46"/>
      <c r="D89" s="46"/>
      <c r="E89" s="5"/>
    </row>
    <row r="90" spans="1:5" ht="14.25" customHeight="1">
      <c r="A90" s="42"/>
      <c r="B90" s="46"/>
      <c r="C90" s="46"/>
      <c r="D90" s="46" t="s">
        <v>5150</v>
      </c>
      <c r="E90" s="5"/>
    </row>
    <row r="91" spans="1:5" ht="14.25" customHeight="1">
      <c r="A91" s="42"/>
      <c r="B91" s="46"/>
      <c r="C91" s="46"/>
      <c r="D91" s="46"/>
      <c r="E91" s="5"/>
    </row>
    <row r="92" spans="1:5" ht="14.25" customHeight="1">
      <c r="A92" s="42"/>
      <c r="B92" s="46"/>
      <c r="C92" s="46"/>
      <c r="D92" s="46" t="s">
        <v>5151</v>
      </c>
      <c r="E92" s="5"/>
    </row>
    <row r="93" spans="1:5" ht="14.25" customHeight="1">
      <c r="A93" s="42"/>
      <c r="B93" s="46"/>
      <c r="C93" s="46"/>
      <c r="D93" s="46"/>
      <c r="E93" s="5"/>
    </row>
    <row r="94" spans="1:5" ht="14.25" customHeight="1">
      <c r="A94" s="42"/>
      <c r="B94" s="46"/>
      <c r="C94" s="46"/>
      <c r="D94" s="46" t="s">
        <v>5152</v>
      </c>
      <c r="E94" s="5"/>
    </row>
    <row r="95" spans="1:5" ht="14.25" customHeight="1">
      <c r="A95" s="42"/>
      <c r="B95" s="46"/>
      <c r="C95" s="46"/>
      <c r="D95" s="46"/>
      <c r="E95" s="5"/>
    </row>
    <row r="96" spans="1:5" ht="14.25" customHeight="1">
      <c r="A96" s="42"/>
      <c r="B96" s="46"/>
      <c r="C96" s="46"/>
      <c r="D96" s="46" t="s">
        <v>5153</v>
      </c>
      <c r="E96" s="5"/>
    </row>
    <row r="97" spans="1:5" ht="14.25" customHeight="1">
      <c r="A97" s="42"/>
      <c r="B97" s="46"/>
      <c r="C97" s="46"/>
      <c r="D97" s="46"/>
      <c r="E97" s="5"/>
    </row>
    <row r="98" spans="1:5" ht="14.25" customHeight="1">
      <c r="A98" s="42"/>
      <c r="B98" s="46"/>
      <c r="C98" s="46"/>
      <c r="D98" s="46" t="s">
        <v>5154</v>
      </c>
      <c r="E98" s="5"/>
    </row>
    <row r="99" spans="1:5" ht="14.25" customHeight="1">
      <c r="A99" s="42"/>
      <c r="B99" s="46"/>
      <c r="C99" s="46"/>
      <c r="D99" s="46"/>
      <c r="E99" s="5"/>
    </row>
    <row r="100" spans="1:5" ht="14.25" customHeight="1">
      <c r="A100" s="42"/>
      <c r="B100" s="46"/>
      <c r="C100" s="46"/>
      <c r="D100" s="46" t="s">
        <v>5155</v>
      </c>
      <c r="E100" s="5"/>
    </row>
  </sheetData>
  <pageMargins left="0.75" right="0.75" top="1" bottom="1"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2" width="61.44140625" customWidth="1"/>
    <col min="3" max="3" width="27" customWidth="1"/>
    <col min="4" max="4" width="61.44140625" customWidth="1"/>
    <col min="5" max="5" width="56.88671875" customWidth="1"/>
  </cols>
  <sheetData>
    <row r="1" spans="1:5" ht="14.25" customHeight="1">
      <c r="A1" s="54" t="s">
        <v>5156</v>
      </c>
      <c r="E1" s="2"/>
    </row>
    <row r="2" spans="1:5" ht="14.25" customHeight="1">
      <c r="A2" s="41" t="s">
        <v>5157</v>
      </c>
      <c r="B2" s="43" t="s">
        <v>2324</v>
      </c>
      <c r="C2" s="46"/>
      <c r="D2" s="46" t="s">
        <v>3077</v>
      </c>
      <c r="E2" s="5" t="str">
        <f ca="1">IFERROR(__xludf.DUMMYFUNCTION("FILTER(D1:D1002,D1:D1002&lt;&gt; """")"),"Jīntiān xīngqí jǐ?")</f>
        <v>Jīntiān xīngqí jǐ?</v>
      </c>
    </row>
    <row r="3" spans="1:5" ht="14.25" customHeight="1">
      <c r="A3" s="41" t="s">
        <v>5158</v>
      </c>
      <c r="B3" s="43" t="s">
        <v>5159</v>
      </c>
      <c r="C3" s="46"/>
      <c r="D3" s="46"/>
      <c r="E3" s="6" t="str">
        <f ca="1">IFERROR(__xludf.DUMMYFUNCTION("""COMPUTED_VALUE"""),"Shēngrì kuàilè!")</f>
        <v>Shēngrì kuàilè!</v>
      </c>
    </row>
    <row r="4" spans="1:5" ht="14.25" customHeight="1">
      <c r="A4" s="41" t="s">
        <v>5160</v>
      </c>
      <c r="B4" s="43" t="s">
        <v>5161</v>
      </c>
      <c r="C4" s="46"/>
      <c r="D4" s="46" t="s">
        <v>3144</v>
      </c>
      <c r="E4" s="5" t="str">
        <f ca="1">IFERROR(__xludf.DUMMYFUNCTION("""COMPUTED_VALUE"""),"Zhè shì nǐ de shēngrì lǐwù.")</f>
        <v>Zhè shì nǐ de shēngrì lǐwù.</v>
      </c>
    </row>
    <row r="5" spans="1:5" ht="14.25" customHeight="1">
      <c r="A5" s="41" t="s">
        <v>5162</v>
      </c>
      <c r="B5" s="43" t="s">
        <v>5163</v>
      </c>
      <c r="C5" s="46"/>
      <c r="D5" s="46"/>
      <c r="E5" s="5" t="str">
        <f ca="1">IFERROR(__xludf.DUMMYFUNCTION("""COMPUTED_VALUE"""),"Zhù nǐ shēntǐ jiànkāng, zhuózhuàng chéngzhǎng.")</f>
        <v>Zhù nǐ shēntǐ jiànkāng, zhuózhuàng chéngzhǎng.</v>
      </c>
    </row>
    <row r="6" spans="1:5" ht="14.25" customHeight="1">
      <c r="A6" s="41" t="s">
        <v>5164</v>
      </c>
      <c r="B6" s="43" t="s">
        <v>5165</v>
      </c>
      <c r="C6" s="46"/>
      <c r="D6" s="46" t="s">
        <v>5166</v>
      </c>
      <c r="E6" s="5" t="str">
        <f ca="1">IFERROR(__xludf.DUMMYFUNCTION("""COMPUTED_VALUE"""),"Duōme yǒuqù de shēngrì pàiduì!")</f>
        <v>Duōme yǒuqù de shēngrì pàiduì!</v>
      </c>
    </row>
    <row r="7" spans="1:5" ht="14.25" customHeight="1">
      <c r="A7" s="41" t="s">
        <v>5167</v>
      </c>
      <c r="B7" s="43" t="s">
        <v>5168</v>
      </c>
      <c r="C7" s="46"/>
      <c r="D7" s="46"/>
      <c r="E7" s="5" t="str">
        <f ca="1">IFERROR(__xludf.DUMMYFUNCTION("""COMPUTED_VALUE"""),"Dàngāo zhēn hào chī!")</f>
        <v>Dàngāo zhēn hào chī!</v>
      </c>
    </row>
    <row r="8" spans="1:5" ht="14.25" customHeight="1">
      <c r="A8" s="41" t="s">
        <v>5169</v>
      </c>
      <c r="B8" s="43" t="s">
        <v>5170</v>
      </c>
      <c r="C8" s="46"/>
      <c r="D8" s="46" t="s">
        <v>5171</v>
      </c>
      <c r="E8" s="5" t="str">
        <f ca="1">IFERROR(__xludf.DUMMYFUNCTION("""COMPUTED_VALUE"""),"Wǒmen lái chuī làzhú ba!")</f>
        <v>Wǒmen lái chuī làzhú ba!</v>
      </c>
    </row>
    <row r="9" spans="1:5" ht="14.25" customHeight="1">
      <c r="A9" s="41" t="s">
        <v>5172</v>
      </c>
      <c r="B9" s="43" t="s">
        <v>5173</v>
      </c>
      <c r="C9" s="46"/>
      <c r="D9" s="46"/>
      <c r="E9" s="5" t="str">
        <f ca="1">IFERROR(__xludf.DUMMYFUNCTION("""COMPUTED_VALUE"""),"Chàng “shēngrì kuài yuè gē”!")</f>
        <v>Chàng “shēngrì kuài yuè gē”!</v>
      </c>
    </row>
    <row r="10" spans="1:5" ht="14.25" customHeight="1">
      <c r="A10" s="41" t="s">
        <v>5174</v>
      </c>
      <c r="B10" s="43" t="s">
        <v>1266</v>
      </c>
      <c r="C10" s="46"/>
      <c r="D10" s="46" t="s">
        <v>5175</v>
      </c>
      <c r="E10" s="5" t="str">
        <f ca="1">IFERROR(__xludf.DUMMYFUNCTION("""COMPUTED_VALUE"""),"Wǒ xiǎng chī bīngqílín.")</f>
        <v>Wǒ xiǎng chī bīngqílín.</v>
      </c>
    </row>
    <row r="11" spans="1:5" ht="14.25" customHeight="1">
      <c r="A11" s="41" t="s">
        <v>5176</v>
      </c>
      <c r="B11" s="43" t="s">
        <v>5177</v>
      </c>
      <c r="C11" s="46"/>
      <c r="D11" s="46"/>
      <c r="E11" s="5" t="str">
        <f ca="1">IFERROR(__xludf.DUMMYFUNCTION("""COMPUTED_VALUE"""),"Zhù dàjiā xīnnián kuàilè!")</f>
        <v>Zhù dàjiā xīnnián kuàilè!</v>
      </c>
    </row>
    <row r="12" spans="1:5" ht="14.25" customHeight="1">
      <c r="A12" s="41" t="s">
        <v>5178</v>
      </c>
      <c r="B12" s="43" t="s">
        <v>5179</v>
      </c>
      <c r="C12" s="46"/>
      <c r="D12" s="46" t="s">
        <v>5180</v>
      </c>
      <c r="E12" s="6" t="str">
        <f ca="1">IFERROR(__xludf.DUMMYFUNCTION("""COMPUTED_VALUE"""),"Wǒ shōu dàole zhèxiē yāsuìqián.")</f>
        <v>Wǒ shōu dàole zhèxiē yāsuìqián.</v>
      </c>
    </row>
    <row r="13" spans="1:5" ht="14.25" customHeight="1">
      <c r="A13" s="41" t="s">
        <v>5181</v>
      </c>
      <c r="B13" s="43" t="s">
        <v>5182</v>
      </c>
      <c r="C13" s="46"/>
      <c r="D13" s="46"/>
      <c r="E13" s="6" t="str">
        <f ca="1">IFERROR(__xludf.DUMMYFUNCTION("""COMPUTED_VALUE"""),"Shèngdàn kuàilè!")</f>
        <v>Shèngdàn kuàilè!</v>
      </c>
    </row>
    <row r="14" spans="1:5" ht="14.25" customHeight="1">
      <c r="A14" s="41" t="s">
        <v>5183</v>
      </c>
      <c r="B14" s="43" t="s">
        <v>5184</v>
      </c>
      <c r="C14" s="46"/>
      <c r="D14" s="46" t="s">
        <v>5185</v>
      </c>
      <c r="E14" s="6" t="str">
        <f ca="1">IFERROR(__xludf.DUMMYFUNCTION("""COMPUTED_VALUE"""),"Wǒ xǐhuān zhuāngshì shèngdànshù.")</f>
        <v>Wǒ xǐhuān zhuāngshì shèngdànshù.</v>
      </c>
    </row>
    <row r="15" spans="1:5" ht="14.25" customHeight="1">
      <c r="A15" s="41" t="s">
        <v>5186</v>
      </c>
      <c r="B15" s="43" t="s">
        <v>5187</v>
      </c>
      <c r="C15" s="46"/>
      <c r="D15" s="46"/>
      <c r="E15" s="6" t="str">
        <f ca="1">IFERROR(__xludf.DUMMYFUNCTION("""COMPUTED_VALUE"""),"Zhè li yǒu shèngdàn lǎorén ma?")</f>
        <v>Zhè li yǒu shèngdàn lǎorén ma?</v>
      </c>
    </row>
    <row r="16" spans="1:5" ht="14.25" customHeight="1">
      <c r="A16" s="41" t="s">
        <v>5188</v>
      </c>
      <c r="B16" s="43" t="s">
        <v>5189</v>
      </c>
      <c r="C16" s="46"/>
      <c r="D16" s="46" t="s">
        <v>5190</v>
      </c>
      <c r="E16" s="6" t="str">
        <f ca="1">IFERROR(__xludf.DUMMYFUNCTION("""COMPUTED_VALUE"""),"Mǔqīn jié kuàilè!")</f>
        <v>Mǔqīn jié kuàilè!</v>
      </c>
    </row>
    <row r="17" spans="1:5" ht="14.25" customHeight="1">
      <c r="A17" s="41" t="s">
        <v>5191</v>
      </c>
      <c r="B17" s="43" t="s">
        <v>5192</v>
      </c>
      <c r="C17" s="46"/>
      <c r="D17" s="46"/>
      <c r="E17" s="6" t="str">
        <f ca="1">IFERROR(__xludf.DUMMYFUNCTION("""COMPUTED_VALUE"""),"Wǒ zuì ài wǒ de māmā.")</f>
        <v>Wǒ zuì ài wǒ de māmā.</v>
      </c>
    </row>
    <row r="18" spans="1:5" ht="14.25" customHeight="1">
      <c r="A18" s="41" t="s">
        <v>5193</v>
      </c>
      <c r="B18" s="43" t="s">
        <v>5194</v>
      </c>
      <c r="C18" s="46"/>
      <c r="D18" s="46" t="s">
        <v>5195</v>
      </c>
      <c r="E18" s="5" t="str">
        <f ca="1">IFERROR(__xludf.DUMMYFUNCTION("""COMPUTED_VALUE"""),"Māmā, zhè shì sòng gěi nín de yī duǒ huā.")</f>
        <v>Māmā, zhè shì sòng gěi nín de yī duǒ huā.</v>
      </c>
    </row>
    <row r="19" spans="1:5" ht="14.25" customHeight="1">
      <c r="A19" s="41" t="s">
        <v>5196</v>
      </c>
      <c r="B19" s="43" t="s">
        <v>5197</v>
      </c>
      <c r="C19" s="46"/>
      <c r="D19" s="46"/>
      <c r="E19" s="4" t="str">
        <f ca="1">IFERROR(__xludf.DUMMYFUNCTION("""COMPUTED_VALUE"""),"Fùqīn jié kuàilè!")</f>
        <v>Fùqīn jié kuàilè!</v>
      </c>
    </row>
    <row r="20" spans="1:5" ht="14.25" customHeight="1">
      <c r="A20" s="41" t="s">
        <v>5198</v>
      </c>
      <c r="B20" s="43" t="s">
        <v>5199</v>
      </c>
      <c r="C20" s="46"/>
      <c r="D20" s="46" t="s">
        <v>5200</v>
      </c>
      <c r="E20" s="5" t="str">
        <f ca="1">IFERROR(__xludf.DUMMYFUNCTION("""COMPUTED_VALUE"""),"Bàba shì wǒ de chāojí yīngxióng.")</f>
        <v>Bàba shì wǒ de chāojí yīngxióng.</v>
      </c>
    </row>
    <row r="21" spans="1:5" ht="14.25" customHeight="1">
      <c r="A21" s="41" t="s">
        <v>5201</v>
      </c>
      <c r="B21" s="43" t="s">
        <v>5202</v>
      </c>
      <c r="C21" s="46"/>
      <c r="D21" s="46"/>
      <c r="E21" s="6" t="str">
        <f ca="1">IFERROR(__xludf.DUMMYFUNCTION("""COMPUTED_VALUE"""),"Jīntiān shì qíngrén jié.")</f>
        <v>Jīntiān shì qíngrén jié.</v>
      </c>
    </row>
    <row r="22" spans="1:5" ht="14.25" customHeight="1">
      <c r="A22" s="41" t="s">
        <v>5203</v>
      </c>
      <c r="B22" s="43" t="s">
        <v>5204</v>
      </c>
      <c r="C22" s="46"/>
      <c r="D22" s="46" t="s">
        <v>5205</v>
      </c>
      <c r="E22" s="6" t="str">
        <f ca="1">IFERROR(__xludf.DUMMYFUNCTION("""COMPUTED_VALUE"""),"Zhùyuàn dàjiā yǒngyuǎn xiāng'ài.")</f>
        <v>Zhùyuàn dàjiā yǒngyuǎn xiāng'ài.</v>
      </c>
    </row>
    <row r="23" spans="1:5" ht="14.25" customHeight="1">
      <c r="A23" s="41" t="s">
        <v>5206</v>
      </c>
      <c r="B23" s="43" t="s">
        <v>5207</v>
      </c>
      <c r="C23" s="46"/>
      <c r="D23" s="46"/>
      <c r="E23" s="6" t="str">
        <f ca="1">IFERROR(__xludf.DUMMYFUNCTION("""COMPUTED_VALUE"""),"Jiàoshī jié kuàilè!")</f>
        <v>Jiàoshī jié kuàilè!</v>
      </c>
    </row>
    <row r="24" spans="1:5" ht="14.25" customHeight="1">
      <c r="A24" s="41" t="s">
        <v>5208</v>
      </c>
      <c r="B24" s="43" t="s">
        <v>5209</v>
      </c>
      <c r="C24" s="46"/>
      <c r="D24" s="46" t="s">
        <v>2328</v>
      </c>
      <c r="E24" s="6" t="str">
        <f ca="1">IFERROR(__xludf.DUMMYFUNCTION("""COMPUTED_VALUE"""),"Xièxiè nín jiàodǎo wǒ.")</f>
        <v>Xièxiè nín jiàodǎo wǒ.</v>
      </c>
    </row>
    <row r="25" spans="1:5" ht="14.25" customHeight="1">
      <c r="A25" s="41" t="s">
        <v>5210</v>
      </c>
      <c r="B25" s="43" t="s">
        <v>5211</v>
      </c>
      <c r="C25" s="46"/>
      <c r="D25" s="46"/>
      <c r="E25" s="6" t="str">
        <f ca="1">IFERROR(__xludf.DUMMYFUNCTION("""COMPUTED_VALUE"""),"Hūnlǐ zhēnměi.")</f>
        <v>Hūnlǐ zhēnměi.</v>
      </c>
    </row>
    <row r="26" spans="1:5" ht="14.25" customHeight="1">
      <c r="A26" s="41" t="s">
        <v>5212</v>
      </c>
      <c r="B26" s="43" t="s">
        <v>5213</v>
      </c>
      <c r="C26" s="46"/>
      <c r="D26" s="46" t="s">
        <v>5214</v>
      </c>
      <c r="E26" s="6" t="str">
        <f ca="1">IFERROR(__xludf.DUMMYFUNCTION("""COMPUTED_VALUE"""),"Zhù nǐmen xìngfú.")</f>
        <v>Zhù nǐmen xìngfú.</v>
      </c>
    </row>
    <row r="27" spans="1:5" ht="14.25" customHeight="1">
      <c r="A27" s="41" t="s">
        <v>5215</v>
      </c>
      <c r="B27" s="43" t="s">
        <v>5216</v>
      </c>
      <c r="C27" s="46"/>
      <c r="D27" s="46"/>
      <c r="E27" s="6" t="str">
        <f ca="1">IFERROR(__xludf.DUMMYFUNCTION("""COMPUTED_VALUE"""),"Xīnniáng zhēn piàoliang!")</f>
        <v>Xīnniáng zhēn piàoliang!</v>
      </c>
    </row>
    <row r="28" spans="1:5" ht="14.25" customHeight="1">
      <c r="A28" s="41" t="s">
        <v>5217</v>
      </c>
      <c r="B28" s="43" t="s">
        <v>5218</v>
      </c>
      <c r="C28" s="46"/>
      <c r="D28" s="46" t="s">
        <v>5219</v>
      </c>
      <c r="E28" s="6" t="str">
        <f ca="1">IFERROR(__xludf.DUMMYFUNCTION("""COMPUTED_VALUE"""),"Wǒ xiǎng qù cānjiā pàiduì. ")</f>
        <v xml:space="preserve">Wǒ xiǎng qù cānjiā pàiduì. </v>
      </c>
    </row>
    <row r="29" spans="1:5" ht="14.25" customHeight="1">
      <c r="A29" s="41" t="s">
        <v>5220</v>
      </c>
      <c r="B29" s="43" t="s">
        <v>5221</v>
      </c>
      <c r="C29" s="46"/>
      <c r="D29" s="46"/>
      <c r="E29" s="37" t="str">
        <f ca="1">IFERROR(__xludf.DUMMYFUNCTION("""COMPUTED_VALUE"""),"Wǒ yīnggāi chuān shénme ne?")</f>
        <v>Wǒ yīnggāi chuān shénme ne?</v>
      </c>
    </row>
    <row r="30" spans="1:5" ht="14.25" customHeight="1">
      <c r="A30" s="41" t="s">
        <v>5222</v>
      </c>
      <c r="B30" s="43" t="s">
        <v>5223</v>
      </c>
      <c r="C30" s="46"/>
      <c r="D30" s="46" t="s">
        <v>5224</v>
      </c>
      <c r="E30" s="6" t="str">
        <f ca="1">IFERROR(__xludf.DUMMYFUNCTION("""COMPUTED_VALUE"""),"Chuān nǐ zuì piàoliang de yīfú!")</f>
        <v>Chuān nǐ zuì piàoliang de yīfú!</v>
      </c>
    </row>
    <row r="31" spans="1:5" ht="14.25" customHeight="1">
      <c r="A31" s="41" t="s">
        <v>5225</v>
      </c>
      <c r="B31" s="43" t="s">
        <v>5226</v>
      </c>
      <c r="C31" s="46"/>
      <c r="D31" s="46"/>
      <c r="E31" s="4" t="str">
        <f ca="1">IFERROR(__xludf.DUMMYFUNCTION("""COMPUTED_VALUE"""),"Bìyè kuàilè!")</f>
        <v>Bìyè kuàilè!</v>
      </c>
    </row>
    <row r="32" spans="1:5" ht="14.25" customHeight="1">
      <c r="A32" s="41" t="s">
        <v>5227</v>
      </c>
      <c r="B32" s="43" t="s">
        <v>5228</v>
      </c>
      <c r="C32" s="46"/>
      <c r="D32" s="46" t="s">
        <v>5229</v>
      </c>
      <c r="E32" s="4" t="str">
        <f ca="1">IFERROR(__xludf.DUMMYFUNCTION("""COMPUTED_VALUE"""),"Nǐ xuénián jiéshùle!")</f>
        <v>Nǐ xuénián jiéshùle!</v>
      </c>
    </row>
    <row r="33" spans="1:5" ht="14.25" customHeight="1">
      <c r="A33" s="41" t="s">
        <v>5230</v>
      </c>
      <c r="B33" s="43" t="s">
        <v>5231</v>
      </c>
      <c r="C33" s="46"/>
      <c r="D33" s="46"/>
      <c r="E33" s="4" t="str">
        <f ca="1">IFERROR(__xludf.DUMMYFUNCTION("""COMPUTED_VALUE"""),"Wǒmen qù qìngzhù ba!")</f>
        <v>Wǒmen qù qìngzhù ba!</v>
      </c>
    </row>
    <row r="34" spans="1:5" ht="14.25" customHeight="1">
      <c r="A34" s="41" t="s">
        <v>5232</v>
      </c>
      <c r="B34" s="43" t="s">
        <v>5233</v>
      </c>
      <c r="C34" s="46"/>
      <c r="D34" s="46" t="s">
        <v>5234</v>
      </c>
      <c r="E34" s="4" t="str">
        <f ca="1">IFERROR(__xludf.DUMMYFUNCTION("""COMPUTED_VALUE"""),"Jīntiān shì fùmǔ de jiéhūn jìniàn rì.")</f>
        <v>Jīntiān shì fùmǔ de jiéhūn jìniàn rì.</v>
      </c>
    </row>
    <row r="35" spans="1:5" ht="14.25" customHeight="1">
      <c r="A35" s="41" t="s">
        <v>5235</v>
      </c>
      <c r="B35" s="43" t="s">
        <v>5236</v>
      </c>
      <c r="C35" s="46"/>
      <c r="D35" s="46"/>
      <c r="E35" s="8" t="str">
        <f ca="1">IFERROR(__xludf.DUMMYFUNCTION("""COMPUTED_VALUE"""),"Zhù fùmǔ yǒngyuǎn xìngfú měimǎn.")</f>
        <v>Zhù fùmǔ yǒngyuǎn xìngfú měimǎn.</v>
      </c>
    </row>
    <row r="36" spans="1:5" ht="14.25" customHeight="1">
      <c r="A36" s="41" t="s">
        <v>5237</v>
      </c>
      <c r="B36" s="43" t="s">
        <v>5238</v>
      </c>
      <c r="C36" s="46"/>
      <c r="D36" s="46" t="s">
        <v>5239</v>
      </c>
      <c r="E36" s="5" t="str">
        <f ca="1">IFERROR(__xludf.DUMMYFUNCTION("""COMPUTED_VALUE"""),"Wǒ xǐhuān kàn yóuxíng.")</f>
        <v>Wǒ xǐhuān kàn yóuxíng.</v>
      </c>
    </row>
    <row r="37" spans="1:5" ht="14.25" customHeight="1">
      <c r="A37" s="41" t="s">
        <v>5240</v>
      </c>
      <c r="B37" s="43" t="s">
        <v>5241</v>
      </c>
      <c r="C37" s="46"/>
      <c r="D37" s="46"/>
      <c r="E37" s="8" t="str">
        <f ca="1">IFERROR(__xludf.DUMMYFUNCTION("""COMPUTED_VALUE"""),"Dàjiā dōu zài kuàilè de tiàowǔ.")</f>
        <v>Dàjiā dōu zài kuàilè de tiàowǔ.</v>
      </c>
    </row>
    <row r="38" spans="1:5" ht="14.25" customHeight="1">
      <c r="A38" s="41" t="s">
        <v>5242</v>
      </c>
      <c r="B38" s="43" t="s">
        <v>5243</v>
      </c>
      <c r="C38" s="46"/>
      <c r="D38" s="46" t="s">
        <v>5244</v>
      </c>
      <c r="E38" s="5" t="str">
        <f ca="1">IFERROR(__xludf.DUMMYFUNCTION("""COMPUTED_VALUE"""),"Guóqìng jié kuàilè!")</f>
        <v>Guóqìng jié kuàilè!</v>
      </c>
    </row>
    <row r="39" spans="1:5" ht="14.25" customHeight="1">
      <c r="A39" s="41" t="s">
        <v>5245</v>
      </c>
      <c r="B39" s="43" t="s">
        <v>5246</v>
      </c>
      <c r="C39" s="46"/>
      <c r="D39" s="46"/>
      <c r="E39" s="6" t="str">
        <f ca="1">IFERROR(__xludf.DUMMYFUNCTION("""COMPUTED_VALUE"""),"Wǒ ài wǒ de zǔguó!")</f>
        <v>Wǒ ài wǒ de zǔguó!</v>
      </c>
    </row>
    <row r="40" spans="1:5" ht="14.25" customHeight="1">
      <c r="A40" s="41" t="s">
        <v>5247</v>
      </c>
      <c r="B40" s="43" t="s">
        <v>5248</v>
      </c>
      <c r="C40" s="46"/>
      <c r="D40" s="46" t="s">
        <v>5249</v>
      </c>
      <c r="E40" s="6" t="str">
        <f ca="1">IFERROR(__xludf.DUMMYFUNCTION("""COMPUTED_VALUE"""),"Jīntiān fàngjià ma?")</f>
        <v>Jīntiān fàngjià ma?</v>
      </c>
    </row>
    <row r="41" spans="1:5" ht="14.25" customHeight="1">
      <c r="A41" s="41" t="s">
        <v>5250</v>
      </c>
      <c r="B41" s="43" t="s">
        <v>5251</v>
      </c>
      <c r="C41" s="46"/>
      <c r="D41" s="46"/>
      <c r="E41" s="5" t="str">
        <f ca="1">IFERROR(__xludf.DUMMYFUNCTION("""COMPUTED_VALUE"""),"Wǒ hǎo kāixīn, jīntiān bùyòng shàngxué.")</f>
        <v>Wǒ hǎo kāixīn, jīntiān bùyòng shàngxué.</v>
      </c>
    </row>
    <row r="42" spans="1:5" ht="14.25" customHeight="1">
      <c r="A42" s="41" t="s">
        <v>5252</v>
      </c>
      <c r="B42" s="43" t="s">
        <v>5253</v>
      </c>
      <c r="C42" s="46"/>
      <c r="D42" s="46" t="s">
        <v>5254</v>
      </c>
      <c r="E42" s="4" t="str">
        <f ca="1">IFERROR(__xludf.DUMMYFUNCTION("""COMPUTED_VALUE"""),"Wǒ xiǎng qù gōngyuán.")</f>
        <v>Wǒ xiǎng qù gōngyuán.</v>
      </c>
    </row>
    <row r="43" spans="1:5" ht="14.25" customHeight="1">
      <c r="A43" s="41" t="s">
        <v>5255</v>
      </c>
      <c r="B43" s="43" t="s">
        <v>5256</v>
      </c>
      <c r="C43" s="46"/>
      <c r="D43" s="46"/>
      <c r="E43" s="5" t="str">
        <f ca="1">IFERROR(__xludf.DUMMYFUNCTION("""COMPUTED_VALUE"""),"Hǎoduō qìqiú a!")</f>
        <v>Hǎoduō qìqiú a!</v>
      </c>
    </row>
    <row r="44" spans="1:5" ht="14.25" customHeight="1">
      <c r="A44" s="41" t="s">
        <v>5257</v>
      </c>
      <c r="B44" s="43" t="s">
        <v>5258</v>
      </c>
      <c r="C44" s="46"/>
      <c r="D44" s="46" t="s">
        <v>5259</v>
      </c>
      <c r="E44" s="4" t="str">
        <f ca="1">IFERROR(__xludf.DUMMYFUNCTION("""COMPUTED_VALUE"""),"Qǐng gěi wǒ yīgè hóng qìqiú!")</f>
        <v>Qǐng gěi wǒ yīgè hóng qìqiú!</v>
      </c>
    </row>
    <row r="45" spans="1:5" ht="14.25" customHeight="1">
      <c r="A45" s="41" t="s">
        <v>5260</v>
      </c>
      <c r="B45" s="43" t="s">
        <v>5261</v>
      </c>
      <c r="C45" s="46"/>
      <c r="D45" s="46"/>
      <c r="E45" s="5" t="str">
        <f ca="1">IFERROR(__xludf.DUMMYFUNCTION("""COMPUTED_VALUE"""),"Wǒ xiǎng xiě zhāng hèkǎ.")</f>
        <v>Wǒ xiǎng xiě zhāng hèkǎ.</v>
      </c>
    </row>
    <row r="46" spans="1:5" ht="14.25" customHeight="1">
      <c r="A46" s="41" t="s">
        <v>5262</v>
      </c>
      <c r="B46" s="43" t="s">
        <v>5263</v>
      </c>
      <c r="C46" s="46"/>
      <c r="D46" s="46" t="s">
        <v>5264</v>
      </c>
      <c r="E46" s="4" t="str">
        <f ca="1">IFERROR(__xludf.DUMMYFUNCTION("""COMPUTED_VALUE"""),"Zhù nǐ hǎo yùn!")</f>
        <v>Zhù nǐ hǎo yùn!</v>
      </c>
    </row>
    <row r="47" spans="1:5" ht="14.25" customHeight="1">
      <c r="A47" s="41" t="s">
        <v>5265</v>
      </c>
      <c r="B47" s="43" t="s">
        <v>5266</v>
      </c>
      <c r="C47" s="46"/>
      <c r="D47" s="46"/>
      <c r="E47" s="4" t="str">
        <f ca="1">IFERROR(__xludf.DUMMYFUNCTION("""COMPUTED_VALUE"""),"Gōngxǐ nǐ huòjiǎng!")</f>
        <v>Gōngxǐ nǐ huòjiǎng!</v>
      </c>
    </row>
    <row r="48" spans="1:5" ht="14.25" customHeight="1">
      <c r="A48" s="41" t="s">
        <v>5267</v>
      </c>
      <c r="B48" s="43" t="s">
        <v>5268</v>
      </c>
      <c r="C48" s="46"/>
      <c r="D48" s="46" t="s">
        <v>5269</v>
      </c>
      <c r="E48" s="4" t="str">
        <f ca="1">IFERROR(__xludf.DUMMYFUNCTION("""COMPUTED_VALUE"""),"Nǐ zhēn bàng, wǒ hǎo pèifú nǐ!")</f>
        <v>Nǐ zhēn bàng, wǒ hǎo pèifú nǐ!</v>
      </c>
    </row>
    <row r="49" spans="1:5" ht="14.25" customHeight="1">
      <c r="A49" s="41" t="s">
        <v>5270</v>
      </c>
      <c r="B49" s="43" t="s">
        <v>5271</v>
      </c>
      <c r="C49" s="46"/>
      <c r="D49" s="46"/>
      <c r="E49" s="5" t="str">
        <f ca="1">IFERROR(__xludf.DUMMYFUNCTION("""COMPUTED_VALUE"""),"Wǒmen yīqǐ pāi zhāng jìniàn zhào ba!")</f>
        <v>Wǒmen yīqǐ pāi zhāng jìniàn zhào ba!</v>
      </c>
    </row>
    <row r="50" spans="1:5" ht="14.25" customHeight="1">
      <c r="A50" s="41" t="s">
        <v>5272</v>
      </c>
      <c r="B50" s="43" t="s">
        <v>5273</v>
      </c>
      <c r="C50" s="46"/>
      <c r="D50" s="46" t="s">
        <v>5274</v>
      </c>
      <c r="E50" s="6" t="str">
        <f ca="1">IFERROR(__xludf.DUMMYFUNCTION("""COMPUTED_VALUE"""),"Wǒ huì hǎohǎo bǎocún zhè zhāng zhàopiàn de.")</f>
        <v>Wǒ huì hǎohǎo bǎocún zhè zhāng zhàopiàn de.</v>
      </c>
    </row>
    <row r="51" spans="1:5" ht="14.25" customHeight="1">
      <c r="A51" s="41" t="s">
        <v>5275</v>
      </c>
      <c r="B51" s="43" t="s">
        <v>5276</v>
      </c>
      <c r="C51" s="46"/>
      <c r="D51" s="46"/>
      <c r="E51" s="6" t="str">
        <f ca="1">IFERROR(__xludf.DUMMYFUNCTION("""COMPUTED_VALUE"""),"Duōme měihǎo de huíyì!")</f>
        <v>Duōme měihǎo de huíyì!</v>
      </c>
    </row>
    <row r="52" spans="1:5" ht="14.25" customHeight="1">
      <c r="A52" s="42"/>
      <c r="B52" s="46"/>
      <c r="C52" s="46"/>
      <c r="D52" s="46" t="s">
        <v>5277</v>
      </c>
    </row>
    <row r="53" spans="1:5" ht="14.25" customHeight="1">
      <c r="A53" s="42"/>
      <c r="B53" s="46"/>
      <c r="C53" s="46"/>
      <c r="D53" s="46"/>
      <c r="E53" s="5"/>
    </row>
    <row r="54" spans="1:5" ht="14.25" customHeight="1">
      <c r="A54" s="42"/>
      <c r="B54" s="46"/>
      <c r="C54" s="46"/>
      <c r="D54" s="46" t="s">
        <v>5278</v>
      </c>
      <c r="E54" s="5"/>
    </row>
    <row r="55" spans="1:5" ht="14.25" customHeight="1">
      <c r="A55" s="42"/>
      <c r="B55" s="46"/>
      <c r="C55" s="46"/>
      <c r="D55" s="46" t="s">
        <v>5279</v>
      </c>
      <c r="E55" s="5"/>
    </row>
    <row r="56" spans="1:5" ht="14.25" customHeight="1">
      <c r="A56" s="42"/>
      <c r="B56" s="46"/>
      <c r="C56" s="46"/>
      <c r="D56" s="46" t="s">
        <v>5280</v>
      </c>
      <c r="E56" s="5"/>
    </row>
    <row r="57" spans="1:5" ht="14.25" customHeight="1">
      <c r="A57" s="42"/>
      <c r="B57" s="46"/>
      <c r="C57" s="46"/>
      <c r="D57" s="46"/>
      <c r="E57" s="5"/>
    </row>
    <row r="58" spans="1:5" ht="14.25" customHeight="1">
      <c r="A58" s="42"/>
      <c r="B58" s="46"/>
      <c r="C58" s="46"/>
      <c r="D58" s="46" t="s">
        <v>5281</v>
      </c>
      <c r="E58" s="5"/>
    </row>
    <row r="59" spans="1:5" ht="14.25" customHeight="1">
      <c r="A59" s="42"/>
      <c r="B59" s="46"/>
      <c r="C59" s="46"/>
      <c r="D59" s="46"/>
    </row>
    <row r="60" spans="1:5" ht="14.25" customHeight="1">
      <c r="A60" s="42"/>
      <c r="B60" s="46"/>
      <c r="C60" s="46"/>
      <c r="D60" s="46" t="s">
        <v>5282</v>
      </c>
      <c r="E60" s="5"/>
    </row>
    <row r="61" spans="1:5" ht="14.25" customHeight="1">
      <c r="A61" s="42"/>
      <c r="B61" s="46"/>
      <c r="C61" s="46"/>
      <c r="D61" s="46"/>
      <c r="E61" s="5"/>
    </row>
    <row r="62" spans="1:5" ht="14.25" customHeight="1">
      <c r="A62" s="42"/>
      <c r="B62" s="46"/>
      <c r="C62" s="46"/>
      <c r="D62" s="46" t="s">
        <v>5283</v>
      </c>
      <c r="E62" s="5"/>
    </row>
    <row r="63" spans="1:5" ht="14.25" customHeight="1">
      <c r="A63" s="42"/>
      <c r="B63" s="46"/>
      <c r="C63" s="46"/>
      <c r="D63" s="46"/>
      <c r="E63" s="5"/>
    </row>
    <row r="64" spans="1:5" ht="14.25" customHeight="1">
      <c r="A64" s="42"/>
      <c r="B64" s="46"/>
      <c r="C64" s="46"/>
      <c r="D64" s="46" t="s">
        <v>5284</v>
      </c>
      <c r="E64" s="5"/>
    </row>
    <row r="65" spans="1:5" ht="14.25" customHeight="1">
      <c r="A65" s="42"/>
      <c r="B65" s="46"/>
      <c r="C65" s="46"/>
      <c r="D65" s="46"/>
      <c r="E65" s="5"/>
    </row>
    <row r="66" spans="1:5" ht="14.25" customHeight="1">
      <c r="A66" s="42"/>
      <c r="B66" s="46"/>
      <c r="C66" s="46"/>
      <c r="D66" s="46" t="s">
        <v>5285</v>
      </c>
      <c r="E66" s="5"/>
    </row>
    <row r="67" spans="1:5" ht="14.25" customHeight="1">
      <c r="A67" s="42"/>
      <c r="B67" s="46"/>
      <c r="C67" s="46"/>
      <c r="D67" s="46"/>
      <c r="E67" s="5"/>
    </row>
    <row r="68" spans="1:5" ht="14.25" customHeight="1">
      <c r="A68" s="42"/>
      <c r="B68" s="46"/>
      <c r="C68" s="46"/>
      <c r="D68" s="46" t="s">
        <v>5286</v>
      </c>
      <c r="E68" s="5"/>
    </row>
    <row r="69" spans="1:5" ht="14.25" customHeight="1">
      <c r="A69" s="42"/>
      <c r="B69" s="46"/>
      <c r="C69" s="46"/>
      <c r="D69" s="46"/>
      <c r="E69" s="5"/>
    </row>
    <row r="70" spans="1:5" ht="14.25" customHeight="1">
      <c r="A70" s="42"/>
      <c r="B70" s="46"/>
      <c r="C70" s="46"/>
      <c r="D70" s="46" t="s">
        <v>5287</v>
      </c>
      <c r="E70" s="5"/>
    </row>
    <row r="71" spans="1:5" ht="14.25" customHeight="1">
      <c r="A71" s="42"/>
      <c r="B71" s="46"/>
      <c r="C71" s="46"/>
      <c r="D71" s="46"/>
      <c r="E71" s="5"/>
    </row>
    <row r="72" spans="1:5" ht="14.25" customHeight="1">
      <c r="A72" s="42"/>
      <c r="B72" s="46"/>
      <c r="C72" s="46"/>
      <c r="D72" s="46" t="s">
        <v>5288</v>
      </c>
      <c r="E72" s="5"/>
    </row>
    <row r="73" spans="1:5" ht="14.25" customHeight="1">
      <c r="A73" s="42"/>
      <c r="B73" s="46"/>
      <c r="C73" s="46"/>
      <c r="D73" s="46"/>
      <c r="E73" s="5"/>
    </row>
    <row r="74" spans="1:5" ht="14.25" customHeight="1">
      <c r="A74" s="42"/>
      <c r="B74" s="46"/>
      <c r="C74" s="46"/>
      <c r="D74" s="46" t="s">
        <v>5289</v>
      </c>
      <c r="E74" s="5"/>
    </row>
    <row r="75" spans="1:5" ht="14.25" customHeight="1">
      <c r="A75" s="42"/>
      <c r="B75" s="46"/>
      <c r="C75" s="46"/>
      <c r="D75" s="46"/>
      <c r="E75" s="5"/>
    </row>
    <row r="76" spans="1:5" ht="14.25" customHeight="1">
      <c r="A76" s="42"/>
      <c r="B76" s="46"/>
      <c r="C76" s="46"/>
      <c r="D76" s="46" t="s">
        <v>5290</v>
      </c>
      <c r="E76" s="5"/>
    </row>
    <row r="77" spans="1:5" ht="14.25" customHeight="1">
      <c r="A77" s="42"/>
      <c r="B77" s="46"/>
      <c r="C77" s="46"/>
      <c r="D77" s="46"/>
      <c r="E77" s="5"/>
    </row>
    <row r="78" spans="1:5" ht="14.25" customHeight="1">
      <c r="A78" s="42"/>
      <c r="B78" s="46"/>
      <c r="C78" s="46"/>
      <c r="D78" s="46" t="s">
        <v>5291</v>
      </c>
      <c r="E78" s="5"/>
    </row>
    <row r="79" spans="1:5" ht="14.25" customHeight="1">
      <c r="A79" s="42"/>
      <c r="B79" s="46"/>
      <c r="C79" s="46"/>
      <c r="D79" s="46"/>
      <c r="E79" s="5"/>
    </row>
    <row r="80" spans="1:5" ht="14.25" customHeight="1">
      <c r="A80" s="42"/>
      <c r="B80" s="46"/>
      <c r="C80" s="46"/>
      <c r="D80" s="46" t="s">
        <v>5292</v>
      </c>
      <c r="E80" s="5"/>
    </row>
    <row r="81" spans="1:5" ht="14.25" customHeight="1">
      <c r="A81" s="42"/>
      <c r="B81" s="46"/>
      <c r="C81" s="46"/>
      <c r="D81" s="46"/>
      <c r="E81" s="5"/>
    </row>
    <row r="82" spans="1:5" ht="14.25" customHeight="1">
      <c r="A82" s="42"/>
      <c r="B82" s="46"/>
      <c r="C82" s="46"/>
      <c r="D82" s="46" t="s">
        <v>5293</v>
      </c>
      <c r="E82" s="5"/>
    </row>
    <row r="83" spans="1:5" ht="14.25" customHeight="1">
      <c r="A83" s="42"/>
      <c r="B83" s="46"/>
      <c r="C83" s="46"/>
      <c r="D83" s="46"/>
      <c r="E83" s="5"/>
    </row>
    <row r="84" spans="1:5" ht="14.25" customHeight="1">
      <c r="A84" s="42"/>
      <c r="B84" s="46"/>
      <c r="C84" s="46"/>
      <c r="D84" s="46" t="s">
        <v>5294</v>
      </c>
      <c r="E84" s="5"/>
    </row>
    <row r="85" spans="1:5" ht="14.25" customHeight="1">
      <c r="A85" s="42"/>
      <c r="B85" s="46"/>
      <c r="C85" s="46"/>
      <c r="D85" s="46"/>
      <c r="E85" s="5"/>
    </row>
    <row r="86" spans="1:5" ht="14.25" customHeight="1">
      <c r="A86" s="42"/>
      <c r="B86" s="46"/>
      <c r="C86" s="46"/>
      <c r="D86" s="46" t="s">
        <v>5295</v>
      </c>
      <c r="E86" s="5"/>
    </row>
    <row r="87" spans="1:5" ht="14.25" customHeight="1">
      <c r="A87" s="42"/>
      <c r="B87" s="46"/>
      <c r="C87" s="46"/>
      <c r="D87" s="46"/>
      <c r="E87" s="5"/>
    </row>
    <row r="88" spans="1:5" ht="14.25" customHeight="1">
      <c r="A88" s="42"/>
      <c r="B88" s="46"/>
      <c r="C88" s="46"/>
      <c r="D88" s="46" t="s">
        <v>129</v>
      </c>
      <c r="E88" s="5"/>
    </row>
    <row r="89" spans="1:5" ht="14.25" customHeight="1">
      <c r="A89" s="42"/>
      <c r="B89" s="46"/>
      <c r="C89" s="46"/>
      <c r="D89" s="46"/>
      <c r="E89" s="5"/>
    </row>
    <row r="90" spans="1:5" ht="14.25" customHeight="1">
      <c r="A90" s="42"/>
      <c r="B90" s="46"/>
      <c r="C90" s="46"/>
      <c r="D90" s="46" t="s">
        <v>5296</v>
      </c>
      <c r="E90" s="5"/>
    </row>
    <row r="91" spans="1:5" ht="14.25" customHeight="1">
      <c r="A91" s="42"/>
      <c r="B91" s="46"/>
      <c r="C91" s="46"/>
      <c r="D91" s="46"/>
      <c r="E91" s="5"/>
    </row>
    <row r="92" spans="1:5" ht="14.25" customHeight="1">
      <c r="A92" s="42"/>
      <c r="B92" s="46"/>
      <c r="C92" s="46"/>
      <c r="D92" s="46" t="s">
        <v>5297</v>
      </c>
      <c r="E92" s="5"/>
    </row>
    <row r="93" spans="1:5" ht="14.25" customHeight="1">
      <c r="A93" s="42"/>
      <c r="B93" s="46"/>
      <c r="C93" s="46"/>
      <c r="D93" s="46"/>
      <c r="E93" s="5"/>
    </row>
    <row r="94" spans="1:5" ht="14.25" customHeight="1">
      <c r="A94" s="42"/>
      <c r="B94" s="46"/>
      <c r="C94" s="46"/>
      <c r="D94" s="46" t="s">
        <v>5298</v>
      </c>
      <c r="E94" s="5"/>
    </row>
    <row r="95" spans="1:5" ht="14.25" customHeight="1">
      <c r="A95" s="42"/>
      <c r="B95" s="46"/>
      <c r="C95" s="46"/>
      <c r="D95" s="46"/>
      <c r="E95" s="5"/>
    </row>
    <row r="96" spans="1:5" ht="14.25" customHeight="1">
      <c r="A96" s="42"/>
      <c r="B96" s="46"/>
      <c r="C96" s="46"/>
      <c r="D96" s="46" t="s">
        <v>5299</v>
      </c>
      <c r="E96" s="5"/>
    </row>
    <row r="97" spans="1:5" ht="14.25" customHeight="1">
      <c r="A97" s="42"/>
      <c r="B97" s="46"/>
      <c r="C97" s="46"/>
      <c r="D97" s="46"/>
      <c r="E97" s="5"/>
    </row>
    <row r="98" spans="1:5" ht="14.25" customHeight="1">
      <c r="A98" s="42"/>
      <c r="B98" s="46"/>
      <c r="C98" s="46"/>
      <c r="D98" s="46" t="s">
        <v>5300</v>
      </c>
      <c r="E98" s="5"/>
    </row>
  </sheetData>
  <pageMargins left="0.75" right="0.75" top="1" bottom="1"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ySplit="1" topLeftCell="A2" activePane="bottomLeft" state="frozen"/>
      <selection pane="bottomLeft" activeCell="B3" sqref="B3"/>
    </sheetView>
  </sheetViews>
  <sheetFormatPr defaultColWidth="14.44140625" defaultRowHeight="15" customHeight="1"/>
  <cols>
    <col min="1" max="1" width="64" customWidth="1"/>
    <col min="2" max="4" width="45.5546875" customWidth="1"/>
    <col min="5" max="5" width="56.88671875" customWidth="1"/>
  </cols>
  <sheetData>
    <row r="1" spans="1:5" ht="14.25" customHeight="1">
      <c r="A1" s="54" t="s">
        <v>5301</v>
      </c>
      <c r="E1" s="2"/>
    </row>
    <row r="2" spans="1:5" ht="14.25" customHeight="1">
      <c r="A2" s="41" t="s">
        <v>5302</v>
      </c>
      <c r="B2" s="10" t="s">
        <v>5303</v>
      </c>
      <c r="C2" s="10"/>
      <c r="D2" s="10" t="s">
        <v>5304</v>
      </c>
      <c r="E2" s="5" t="str">
        <f ca="1">IFERROR(__xludf.DUMMYFUNCTION("FILTER(D1:D1002,D1:D1002&lt;&gt; """")"),"Wǒ xūyào zhěnglǐ shūbāo.")</f>
        <v>Wǒ xūyào zhěnglǐ shūbāo.</v>
      </c>
    </row>
    <row r="3" spans="1:5" ht="14.25" customHeight="1">
      <c r="A3" s="41" t="s">
        <v>5305</v>
      </c>
      <c r="B3" s="10" t="s">
        <v>5306</v>
      </c>
      <c r="C3" s="10"/>
      <c r="D3" s="10"/>
      <c r="E3" s="6" t="str">
        <f ca="1">IFERROR(__xludf.DUMMYFUNCTION("""COMPUTED_VALUE"""),"Zhè běn shū zhēn hǎo.")</f>
        <v>Zhè běn shū zhēn hǎo.</v>
      </c>
    </row>
    <row r="4" spans="1:5" ht="14.25" customHeight="1">
      <c r="A4" s="41" t="s">
        <v>5307</v>
      </c>
      <c r="B4" s="10" t="s">
        <v>1950</v>
      </c>
      <c r="C4" s="10"/>
      <c r="D4" s="10" t="s">
        <v>5308</v>
      </c>
      <c r="E4" s="5" t="str">
        <f ca="1">IFERROR(__xludf.DUMMYFUNCTION("""COMPUTED_VALUE"""),"Qǐngwèn wǒ kěyǐ jièzhī qiānbǐ ma?")</f>
        <v>Qǐngwèn wǒ kěyǐ jièzhī qiānbǐ ma?</v>
      </c>
    </row>
    <row r="5" spans="1:5" ht="14.25" customHeight="1">
      <c r="A5" s="41" t="s">
        <v>5309</v>
      </c>
      <c r="B5" s="10" t="s">
        <v>5310</v>
      </c>
      <c r="C5" s="10"/>
      <c r="D5" s="10"/>
      <c r="E5" s="5" t="str">
        <f ca="1">IFERROR(__xludf.DUMMYFUNCTION("""COMPUTED_VALUE"""),"Wǒ de qiānbǐ xīn duànle.")</f>
        <v>Wǒ de qiānbǐ xīn duànle.</v>
      </c>
    </row>
    <row r="6" spans="1:5" ht="14.25" customHeight="1">
      <c r="A6" s="41" t="s">
        <v>5311</v>
      </c>
      <c r="B6" s="10" t="s">
        <v>5312</v>
      </c>
      <c r="C6" s="10"/>
      <c r="D6" s="10" t="s">
        <v>5313</v>
      </c>
      <c r="E6" s="5" t="str">
        <f ca="1">IFERROR(__xludf.DUMMYFUNCTION("""COMPUTED_VALUE"""),"Wǒ xūyào yīgè juàn bǐ dāo.")</f>
        <v>Wǒ xūyào yīgè juàn bǐ dāo.</v>
      </c>
    </row>
    <row r="7" spans="1:5" ht="14.25" customHeight="1">
      <c r="A7" s="41" t="s">
        <v>5314</v>
      </c>
      <c r="B7" s="10" t="s">
        <v>5315</v>
      </c>
      <c r="C7" s="10"/>
      <c r="D7" s="10"/>
      <c r="E7" s="5" t="str">
        <f ca="1">IFERROR(__xludf.DUMMYFUNCTION("""COMPUTED_VALUE"""),"Wǒ zài bǐjìběn shàng xiězì.")</f>
        <v>Wǒ zài bǐjìběn shàng xiězì.</v>
      </c>
    </row>
    <row r="8" spans="1:5" ht="14.25" customHeight="1">
      <c r="A8" s="41" t="s">
        <v>5316</v>
      </c>
      <c r="B8" s="10" t="s">
        <v>5317</v>
      </c>
      <c r="C8" s="10"/>
      <c r="D8" s="10" t="s">
        <v>5318</v>
      </c>
      <c r="E8" s="5" t="str">
        <f ca="1">IFERROR(__xludf.DUMMYFUNCTION("""COMPUTED_VALUE"""),"Wǒ xiǎng mǎi yī zhī xīn de yuánzhūbǐ.")</f>
        <v>Wǒ xiǎng mǎi yī zhī xīn de yuánzhūbǐ.</v>
      </c>
    </row>
    <row r="9" spans="1:5" ht="14.25" customHeight="1">
      <c r="A9" s="41" t="s">
        <v>5319</v>
      </c>
      <c r="B9" s="10" t="s">
        <v>5320</v>
      </c>
      <c r="C9" s="10"/>
      <c r="D9" s="10"/>
      <c r="E9" s="5" t="str">
        <f ca="1">IFERROR(__xludf.DUMMYFUNCTION("""COMPUTED_VALUE"""),"Zhè zhī yuánzhūbǐ méi mòshuǐle.")</f>
        <v>Zhè zhī yuánzhūbǐ méi mòshuǐle.</v>
      </c>
    </row>
    <row r="10" spans="1:5" ht="14.25" customHeight="1">
      <c r="A10" s="41" t="s">
        <v>5321</v>
      </c>
      <c r="B10" s="10" t="s">
        <v>5322</v>
      </c>
      <c r="C10" s="10"/>
      <c r="D10" s="10" t="s">
        <v>5323</v>
      </c>
      <c r="E10" s="5" t="str">
        <f ca="1">IFERROR(__xludf.DUMMYFUNCTION("""COMPUTED_VALUE"""),"Wǒ zhèngzài yòng xiàngpí cā xiūgǎi cuòwù.")</f>
        <v>Wǒ zhèngzài yòng xiàngpí cā xiūgǎi cuòwù.</v>
      </c>
    </row>
    <row r="11" spans="1:5" ht="14.25" customHeight="1">
      <c r="A11" s="41" t="s">
        <v>5324</v>
      </c>
      <c r="B11" s="10" t="s">
        <v>2056</v>
      </c>
      <c r="C11" s="10"/>
      <c r="D11" s="10"/>
      <c r="E11" s="5" t="str">
        <f ca="1">IFERROR(__xludf.DUMMYFUNCTION("""COMPUTED_VALUE"""),"Wǒ de chǐzǐ zài nǎlǐ?")</f>
        <v>Wǒ de chǐzǐ zài nǎlǐ?</v>
      </c>
    </row>
    <row r="12" spans="1:5" ht="14.25" customHeight="1">
      <c r="A12" s="41" t="s">
        <v>5325</v>
      </c>
      <c r="B12" s="10" t="s">
        <v>5326</v>
      </c>
      <c r="C12" s="10"/>
      <c r="D12" s="10" t="s">
        <v>5327</v>
      </c>
      <c r="E12" s="6" t="str">
        <f ca="1">IFERROR(__xludf.DUMMYFUNCTION("""COMPUTED_VALUE"""),"Wǒ zhèngzài yòng chǐzǐ huà sānjiǎoxíng.")</f>
        <v>Wǒ zhèngzài yòng chǐzǐ huà sānjiǎoxíng.</v>
      </c>
    </row>
    <row r="13" spans="1:5" ht="14.25" customHeight="1">
      <c r="A13" s="41" t="s">
        <v>5328</v>
      </c>
      <c r="B13" s="10" t="s">
        <v>5329</v>
      </c>
      <c r="C13" s="10"/>
      <c r="D13" s="10"/>
      <c r="E13" s="6" t="str">
        <f ca="1">IFERROR(__xludf.DUMMYFUNCTION("""COMPUTED_VALUE"""),"Wǒ xūyào yī hé cǎisè qiānbǐ.")</f>
        <v>Wǒ xūyào yī hé cǎisè qiānbǐ.</v>
      </c>
    </row>
    <row r="14" spans="1:5" ht="14.25" customHeight="1">
      <c r="A14" s="41" t="s">
        <v>5330</v>
      </c>
      <c r="B14" s="10" t="s">
        <v>5331</v>
      </c>
      <c r="C14" s="10"/>
      <c r="D14" s="10" t="s">
        <v>5332</v>
      </c>
      <c r="E14" s="6" t="str">
        <f ca="1">IFERROR(__xludf.DUMMYFUNCTION("""COMPUTED_VALUE"""),"Zhè zhāng tú xūyào túchénglán sè.")</f>
        <v>Zhè zhāng tú xūyào túchénglán sè.</v>
      </c>
    </row>
    <row r="15" spans="1:5" ht="14.25" customHeight="1">
      <c r="A15" s="41" t="s">
        <v>5333</v>
      </c>
      <c r="B15" s="10" t="s">
        <v>5334</v>
      </c>
      <c r="C15" s="10"/>
      <c r="D15" s="10"/>
      <c r="E15" s="6" t="str">
        <f ca="1">IFERROR(__xludf.DUMMYFUNCTION("""COMPUTED_VALUE"""),"Wǒ xiǎng yòng yíngguāng bǐ.")</f>
        <v>Wǒ xiǎng yòng yíngguāng bǐ.</v>
      </c>
    </row>
    <row r="16" spans="1:5" ht="14.25" customHeight="1">
      <c r="A16" s="41" t="s">
        <v>5335</v>
      </c>
      <c r="B16" s="10" t="s">
        <v>5336</v>
      </c>
      <c r="C16" s="10"/>
      <c r="D16" s="10" t="s">
        <v>5337</v>
      </c>
      <c r="E16" s="6" t="str">
        <f ca="1">IFERROR(__xludf.DUMMYFUNCTION("""COMPUTED_VALUE"""),"Qǐngwèn wǒ kěyǐ jiè yī zhāng bái zhǐ ma?")</f>
        <v>Qǐngwèn wǒ kěyǐ jiè yī zhāng bái zhǐ ma?</v>
      </c>
    </row>
    <row r="17" spans="1:5" ht="14.25" customHeight="1">
      <c r="A17" s="41" t="s">
        <v>5338</v>
      </c>
      <c r="B17" s="10" t="s">
        <v>5339</v>
      </c>
      <c r="C17" s="10"/>
      <c r="D17" s="10"/>
      <c r="E17" s="6" t="str">
        <f ca="1">IFERROR(__xludf.DUMMYFUNCTION("""COMPUTED_VALUE"""),"Wǒ zhèngzài yòng jiǎndāo jiǎnzhǐ.")</f>
        <v>Wǒ zhèngzài yòng jiǎndāo jiǎnzhǐ.</v>
      </c>
    </row>
    <row r="18" spans="1:5" ht="14.25" customHeight="1">
      <c r="A18" s="41" t="s">
        <v>5340</v>
      </c>
      <c r="B18" s="10" t="s">
        <v>5341</v>
      </c>
      <c r="C18" s="10"/>
      <c r="D18" s="10" t="s">
        <v>5342</v>
      </c>
      <c r="E18" s="5" t="str">
        <f ca="1">IFERROR(__xludf.DUMMYFUNCTION("""COMPUTED_VALUE"""),"Bùyào wán jiǎndāo, hěn wéixiǎn.")</f>
        <v>Bùyào wán jiǎndāo, hěn wéixiǎn.</v>
      </c>
    </row>
    <row r="19" spans="1:5" ht="14.25" customHeight="1">
      <c r="A19" s="41" t="s">
        <v>5343</v>
      </c>
      <c r="B19" s="10" t="s">
        <v>5344</v>
      </c>
      <c r="C19" s="10"/>
      <c r="D19" s="10"/>
      <c r="E19" s="4" t="str">
        <f ca="1">IFERROR(__xludf.DUMMYFUNCTION("""COMPUTED_VALUE"""),"Wǒ zhèngzài yòng jiāoshuǐ bǎ túpiàn zhān zài yīqǐ.")</f>
        <v>Wǒ zhèngzài yòng jiāoshuǐ bǎ túpiàn zhān zài yīqǐ.</v>
      </c>
    </row>
    <row r="20" spans="1:5" ht="14.25" customHeight="1">
      <c r="A20" s="41" t="s">
        <v>5345</v>
      </c>
      <c r="B20" s="10" t="s">
        <v>5346</v>
      </c>
      <c r="C20" s="10"/>
      <c r="D20" s="10" t="s">
        <v>5347</v>
      </c>
      <c r="E20" s="5" t="str">
        <f ca="1">IFERROR(__xludf.DUMMYFUNCTION("""COMPUTED_VALUE"""),"Wǒ de kèběn tài zhòngle.")</f>
        <v>Wǒ de kèběn tài zhòngle.</v>
      </c>
    </row>
    <row r="21" spans="1:5" ht="14.25" customHeight="1">
      <c r="A21" s="41" t="s">
        <v>5348</v>
      </c>
      <c r="B21" s="10" t="s">
        <v>5349</v>
      </c>
      <c r="C21" s="10"/>
      <c r="D21" s="10"/>
      <c r="E21" s="6" t="str">
        <f ca="1">IFERROR(__xludf.DUMMYFUNCTION("""COMPUTED_VALUE"""),"Wǒ zhèngzài gěi bǐjìběn bāopí, ràng tā kàn qǐlái gèng piàoliang.")</f>
        <v>Wǒ zhèngzài gěi bǐjìběn bāopí, ràng tā kàn qǐlái gèng piàoliang.</v>
      </c>
    </row>
    <row r="22" spans="1:5" ht="14.25" customHeight="1">
      <c r="A22" s="41" t="s">
        <v>5350</v>
      </c>
      <c r="B22" s="10" t="s">
        <v>5351</v>
      </c>
      <c r="C22" s="10"/>
      <c r="D22" s="10" t="s">
        <v>5352</v>
      </c>
      <c r="E22" s="6" t="str">
        <f ca="1">IFERROR(__xludf.DUMMYFUNCTION("""COMPUTED_VALUE"""),"Wǒ xūyào yīgè jìsuàn qì.")</f>
        <v>Wǒ xūyào yīgè jìsuàn qì.</v>
      </c>
    </row>
    <row r="23" spans="1:5" ht="14.25" customHeight="1">
      <c r="A23" s="41" t="s">
        <v>5353</v>
      </c>
      <c r="B23" s="10" t="s">
        <v>5354</v>
      </c>
      <c r="C23" s="10"/>
      <c r="D23" s="10"/>
      <c r="E23" s="6" t="str">
        <f ca="1">IFERROR(__xludf.DUMMYFUNCTION("""COMPUTED_VALUE"""),"Zhè dào shùxué tí tài nánle.")</f>
        <v>Zhè dào shùxué tí tài nánle.</v>
      </c>
    </row>
    <row r="24" spans="1:5" ht="14.25" customHeight="1">
      <c r="A24" s="41" t="s">
        <v>5355</v>
      </c>
      <c r="B24" s="10" t="s">
        <v>5356</v>
      </c>
      <c r="C24" s="10"/>
      <c r="D24" s="10" t="s">
        <v>5357</v>
      </c>
      <c r="E24" s="6" t="str">
        <f ca="1">IFERROR(__xludf.DUMMYFUNCTION("""COMPUTED_VALUE"""),"Nǐ néng bāng wǒ jiědá zhè dào tí ma?")</f>
        <v>Nǐ néng bāng wǒ jiědá zhè dào tí ma?</v>
      </c>
    </row>
    <row r="25" spans="1:5" ht="14.25" customHeight="1">
      <c r="A25" s="41" t="s">
        <v>5358</v>
      </c>
      <c r="B25" s="10" t="s">
        <v>5359</v>
      </c>
      <c r="C25" s="10"/>
      <c r="D25" s="10"/>
      <c r="E25" s="6" t="str">
        <f ca="1">IFERROR(__xludf.DUMMYFUNCTION("""COMPUTED_VALUE"""),"Wǒ zuò wán zuòyèle.")</f>
        <v>Wǒ zuò wán zuòyèle.</v>
      </c>
    </row>
    <row r="26" spans="1:5" ht="14.25" customHeight="1">
      <c r="A26" s="41" t="s">
        <v>5360</v>
      </c>
      <c r="B26" s="10" t="s">
        <v>5361</v>
      </c>
      <c r="C26" s="10"/>
      <c r="D26" s="10" t="s">
        <v>5362</v>
      </c>
      <c r="E26" s="6" t="str">
        <f ca="1">IFERROR(__xludf.DUMMYFUNCTION("""COMPUTED_VALUE"""),"Wǒ de qiānbǐ hé luò zài xuéxiàole.")</f>
        <v>Wǒ de qiānbǐ hé luò zài xuéxiàole.</v>
      </c>
    </row>
    <row r="27" spans="1:5" ht="14.25" customHeight="1">
      <c r="A27" s="41" t="s">
        <v>5363</v>
      </c>
      <c r="B27" s="10" t="s">
        <v>5364</v>
      </c>
      <c r="C27" s="10"/>
      <c r="D27" s="10"/>
      <c r="E27" s="6" t="str">
        <f ca="1">IFERROR(__xludf.DUMMYFUNCTION("""COMPUTED_VALUE"""),"Wǒ xūyào yī běn zìdiǎn.")</f>
        <v>Wǒ xūyào yī běn zìdiǎn.</v>
      </c>
    </row>
    <row r="28" spans="1:5" ht="14.25" customHeight="1">
      <c r="A28" s="41" t="s">
        <v>5365</v>
      </c>
      <c r="B28" s="10" t="s">
        <v>5366</v>
      </c>
      <c r="C28" s="10"/>
      <c r="D28" s="10" t="s">
        <v>5367</v>
      </c>
      <c r="E28" s="6" t="str">
        <f ca="1">IFERROR(__xludf.DUMMYFUNCTION("""COMPUTED_VALUE"""),"Zhège cí shì shénme yìsi?")</f>
        <v>Zhège cí shì shénme yìsi?</v>
      </c>
    </row>
    <row r="29" spans="1:5" ht="14.25" customHeight="1">
      <c r="A29" s="41" t="s">
        <v>5368</v>
      </c>
      <c r="B29" s="10" t="s">
        <v>5369</v>
      </c>
      <c r="C29" s="10"/>
      <c r="D29" s="10"/>
      <c r="E29" s="37" t="str">
        <f ca="1">IFERROR(__xludf.DUMMYFUNCTION("""COMPUTED_VALUE"""),"Wǒ zhèngzài xuéxí xīn dāncí.")</f>
        <v>Wǒ zhèngzài xuéxí xīn dāncí.</v>
      </c>
    </row>
    <row r="30" spans="1:5" ht="14.25" customHeight="1">
      <c r="A30" s="41" t="s">
        <v>5370</v>
      </c>
      <c r="B30" s="10" t="s">
        <v>5371</v>
      </c>
      <c r="C30" s="10"/>
      <c r="D30" s="10" t="s">
        <v>5372</v>
      </c>
      <c r="E30" s="6" t="str">
        <f ca="1">IFERROR(__xludf.DUMMYFUNCTION("""COMPUTED_VALUE"""),"Hēibǎn zài qiáng shàng.")</f>
        <v>Hēibǎn zài qiáng shàng.</v>
      </c>
    </row>
    <row r="31" spans="1:5" ht="14.25" customHeight="1">
      <c r="A31" s="41" t="s">
        <v>5373</v>
      </c>
      <c r="B31" s="10" t="s">
        <v>5374</v>
      </c>
      <c r="C31" s="10"/>
      <c r="D31" s="10"/>
      <c r="E31" s="4" t="str">
        <f ca="1">IFERROR(__xludf.DUMMYFUNCTION("""COMPUTED_VALUE"""),"Lǎoshī, wǒ huì yòng fěnbǐ xiězì.")</f>
        <v>Lǎoshī, wǒ huì yòng fěnbǐ xiězì.</v>
      </c>
    </row>
    <row r="32" spans="1:5" ht="14.25" customHeight="1">
      <c r="A32" s="41" t="s">
        <v>5375</v>
      </c>
      <c r="B32" s="10" t="s">
        <v>5376</v>
      </c>
      <c r="C32" s="10"/>
      <c r="D32" s="10" t="s">
        <v>5377</v>
      </c>
      <c r="E32" s="4" t="str">
        <f ca="1">IFERROR(__xludf.DUMMYFUNCTION("""COMPUTED_VALUE"""),"Wǒ xiǎng zuò zài qián pái.")</f>
        <v>Wǒ xiǎng zuò zài qián pái.</v>
      </c>
    </row>
    <row r="33" spans="1:5" ht="14.25" customHeight="1">
      <c r="A33" s="41" t="s">
        <v>5378</v>
      </c>
      <c r="B33" s="10" t="s">
        <v>5379</v>
      </c>
      <c r="C33" s="10"/>
      <c r="D33" s="10"/>
      <c r="E33" s="4" t="str">
        <f ca="1">IFERROR(__xludf.DUMMYFUNCTION("""COMPUTED_VALUE"""),"Wǒ kěyǐ jièyòng yīxià nǐ de yuánguī ma?")</f>
        <v>Wǒ kěyǐ jièyòng yīxià nǐ de yuánguī ma?</v>
      </c>
    </row>
    <row r="34" spans="1:5" ht="14.25" customHeight="1">
      <c r="A34" s="41" t="s">
        <v>5380</v>
      </c>
      <c r="B34" s="10" t="s">
        <v>5381</v>
      </c>
      <c r="C34" s="10"/>
      <c r="D34" s="10" t="s">
        <v>5382</v>
      </c>
      <c r="E34" s="4" t="str">
        <f ca="1">IFERROR(__xludf.DUMMYFUNCTION("""COMPUTED_VALUE"""),"Wǒ zhèngzài huà yīgè yuán.")</f>
        <v>Wǒ zhèngzài huà yīgè yuán.</v>
      </c>
    </row>
    <row r="35" spans="1:5" ht="14.25" customHeight="1">
      <c r="A35" s="41" t="s">
        <v>5383</v>
      </c>
      <c r="B35" s="10" t="s">
        <v>5384</v>
      </c>
      <c r="C35" s="10"/>
      <c r="D35" s="10"/>
      <c r="E35" s="8" t="str">
        <f ca="1">IFERROR(__xludf.DUMMYFUNCTION("""COMPUTED_VALUE"""),"Zhè běn dìtú cè zhēn yǒuqù.")</f>
        <v>Zhè běn dìtú cè zhēn yǒuqù.</v>
      </c>
    </row>
    <row r="36" spans="1:5" ht="14.25" customHeight="1">
      <c r="A36" s="41" t="s">
        <v>5385</v>
      </c>
      <c r="B36" s="10" t="s">
        <v>5386</v>
      </c>
      <c r="C36" s="10"/>
      <c r="D36" s="10" t="s">
        <v>5387</v>
      </c>
      <c r="E36" s="5" t="str">
        <f ca="1">IFERROR(__xludf.DUMMYFUNCTION("""COMPUTED_VALUE"""),"Wǒ zhèngzài dìtú shàng zhǎo fēilǜbīn.")</f>
        <v>Wǒ zhèngzài dìtú shàng zhǎo fēilǜbīn.</v>
      </c>
    </row>
    <row r="37" spans="1:5" ht="14.25" customHeight="1">
      <c r="A37" s="41" t="s">
        <v>5388</v>
      </c>
      <c r="B37" s="10" t="s">
        <v>5389</v>
      </c>
      <c r="C37" s="10"/>
      <c r="D37" s="10"/>
      <c r="E37" s="8" t="str">
        <f ca="1">IFERROR(__xludf.DUMMYFUNCTION("""COMPUTED_VALUE"""),"Wǒ huì bǎ shū fàng dào shūzhuō chōutì lǐ.")</f>
        <v>Wǒ huì bǎ shū fàng dào shūzhuō chōutì lǐ.</v>
      </c>
    </row>
    <row r="38" spans="1:5" ht="14.25" customHeight="1">
      <c r="A38" s="41" t="s">
        <v>5390</v>
      </c>
      <c r="B38" s="10" t="s">
        <v>5391</v>
      </c>
      <c r="C38" s="10"/>
      <c r="D38" s="10" t="s">
        <v>5392</v>
      </c>
      <c r="E38" s="5" t="str">
        <f ca="1">IFERROR(__xludf.DUMMYFUNCTION("""COMPUTED_VALUE"""),"Wǒ xūyào yīgè dìng shū jī.")</f>
        <v>Wǒ xūyào yīgè dìng shū jī.</v>
      </c>
    </row>
    <row r="39" spans="1:5" ht="14.25" customHeight="1">
      <c r="A39" s="41" t="s">
        <v>5393</v>
      </c>
      <c r="B39" s="10" t="s">
        <v>5394</v>
      </c>
      <c r="C39" s="10"/>
      <c r="D39" s="10"/>
      <c r="E39" s="6" t="str">
        <f ca="1">IFERROR(__xludf.DUMMYFUNCTION("""COMPUTED_VALUE"""),"Zhǐ sī pòle.")</f>
        <v>Zhǐ sī pòle.</v>
      </c>
    </row>
    <row r="40" spans="1:5" ht="14.25" customHeight="1">
      <c r="A40" s="41" t="s">
        <v>5395</v>
      </c>
      <c r="B40" s="10" t="s">
        <v>5396</v>
      </c>
      <c r="C40" s="10"/>
      <c r="D40" s="10" t="s">
        <v>5397</v>
      </c>
      <c r="E40" s="6" t="str">
        <f ca="1">IFERROR(__xludf.DUMMYFUNCTION("""COMPUTED_VALUE""")," Qǐng bāng wǒ zhān yīxià.")</f>
        <v xml:space="preserve"> Qǐng bāng wǒ zhān yīxià.</v>
      </c>
    </row>
    <row r="41" spans="1:5" ht="14.25" customHeight="1">
      <c r="A41" s="41" t="s">
        <v>5398</v>
      </c>
      <c r="B41" s="10" t="s">
        <v>5399</v>
      </c>
      <c r="C41" s="10"/>
      <c r="D41" s="10"/>
      <c r="E41" s="5" t="str">
        <f ca="1">IFERROR(__xludf.DUMMYFUNCTION("""COMPUTED_VALUE"""),"Wǒ xiǎng yào yīgè piàoliang de bǐjìběn biāoqiān.")</f>
        <v>Wǒ xiǎng yào yīgè piàoliang de bǐjìběn biāoqiān.</v>
      </c>
    </row>
    <row r="42" spans="1:5" ht="14.25" customHeight="1">
      <c r="A42" s="41" t="s">
        <v>5400</v>
      </c>
      <c r="B42" s="10" t="s">
        <v>5401</v>
      </c>
      <c r="C42" s="10"/>
      <c r="D42" s="10" t="s">
        <v>5402</v>
      </c>
      <c r="E42" s="4" t="str">
        <f ca="1">IFERROR(__xludf.DUMMYFUNCTION("""COMPUTED_VALUE"""),"Wǒ huì zài zhèlǐ xiě shàng wǒ de míngzì.")</f>
        <v>Wǒ huì zài zhèlǐ xiě shàng wǒ de míngzì.</v>
      </c>
    </row>
    <row r="43" spans="1:5" ht="14.25" customHeight="1">
      <c r="A43" s="41" t="s">
        <v>5403</v>
      </c>
      <c r="B43" s="10" t="s">
        <v>5404</v>
      </c>
      <c r="C43" s="10"/>
      <c r="D43" s="10"/>
      <c r="E43" s="5" t="str">
        <f ca="1">IFERROR(__xludf.DUMMYFUNCTION("""COMPUTED_VALUE"""),"Nǐ yǒu xiàngpí ma?")</f>
        <v>Nǐ yǒu xiàngpí ma?</v>
      </c>
    </row>
    <row r="44" spans="1:5" ht="14.25" customHeight="1">
      <c r="A44" s="41" t="s">
        <v>5405</v>
      </c>
      <c r="B44" s="10" t="s">
        <v>5406</v>
      </c>
      <c r="C44" s="10"/>
      <c r="D44" s="10" t="s">
        <v>5407</v>
      </c>
      <c r="E44" s="4" t="str">
        <f ca="1">IFERROR(__xludf.DUMMYFUNCTION("""COMPUTED_VALUE"""),"Wǒ zhèngzài yòng shuǐcǎi yánliào tú sè.")</f>
        <v>Wǒ zhèngzài yòng shuǐcǎi yánliào tú sè.</v>
      </c>
    </row>
    <row r="45" spans="1:5" ht="14.25" customHeight="1">
      <c r="A45" s="41" t="s">
        <v>5408</v>
      </c>
      <c r="B45" s="10" t="s">
        <v>5409</v>
      </c>
      <c r="C45" s="10"/>
      <c r="D45" s="10"/>
      <c r="E45" s="5" t="str">
        <f ca="1">IFERROR(__xludf.DUMMYFUNCTION("""COMPUTED_VALUE"""),"Wǒ xūyào yī zhī huàbǐ.")</f>
        <v>Wǒ xūyào yī zhī huàbǐ.</v>
      </c>
    </row>
    <row r="46" spans="1:5" ht="14.25" customHeight="1">
      <c r="A46" s="41" t="s">
        <v>5410</v>
      </c>
      <c r="B46" s="10" t="s">
        <v>5411</v>
      </c>
      <c r="C46" s="10"/>
      <c r="D46" s="10" t="s">
        <v>5412</v>
      </c>
      <c r="E46" s="4" t="str">
        <f ca="1">IFERROR(__xludf.DUMMYFUNCTION("""COMPUTED_VALUE"""),"Wǒ xǐhuān guàng shūdiàn.")</f>
        <v>Wǒ xǐhuān guàng shūdiàn.</v>
      </c>
    </row>
    <row r="47" spans="1:5" ht="14.25" customHeight="1">
      <c r="A47" s="41" t="s">
        <v>5413</v>
      </c>
      <c r="B47" s="10" t="s">
        <v>5414</v>
      </c>
      <c r="C47" s="10"/>
      <c r="D47" s="10"/>
      <c r="E47" s="4" t="str">
        <f ca="1">IFERROR(__xludf.DUMMYFUNCTION("""COMPUTED_VALUE"""),"Nà li yǒu hěnduō hǎo mànhuà shū.")</f>
        <v>Nà li yǒu hěnduō hǎo mànhuà shū.</v>
      </c>
    </row>
    <row r="48" spans="1:5" ht="14.25" customHeight="1">
      <c r="A48" s="41" t="s">
        <v>5415</v>
      </c>
      <c r="B48" s="10" t="s">
        <v>5416</v>
      </c>
      <c r="C48" s="10"/>
      <c r="D48" s="10" t="s">
        <v>5417</v>
      </c>
      <c r="E48" s="4" t="str">
        <f ca="1">IFERROR(__xludf.DUMMYFUNCTION("""COMPUTED_VALUE"""),"Wǒ huì hǎohǎo bǎoguǎn wǒ de xuéxí yòngpǐn.")</f>
        <v>Wǒ huì hǎohǎo bǎoguǎn wǒ de xuéxí yòngpǐn.</v>
      </c>
    </row>
    <row r="49" spans="1:5" ht="14.25" customHeight="1">
      <c r="A49" s="41" t="s">
        <v>5418</v>
      </c>
      <c r="B49" s="10" t="s">
        <v>5419</v>
      </c>
      <c r="C49" s="10"/>
      <c r="D49" s="10"/>
      <c r="E49" s="5" t="str">
        <f ca="1">IFERROR(__xludf.DUMMYFUNCTION("""COMPUTED_VALUE"""),"Xièxiè nǐ bāng wǒ mǎi xuéxí yòngpǐn.")</f>
        <v>Xièxiè nǐ bāng wǒ mǎi xuéxí yòngpǐn.</v>
      </c>
    </row>
    <row r="50" spans="1:5" ht="14.25" customHeight="1">
      <c r="A50" s="41" t="s">
        <v>5420</v>
      </c>
      <c r="B50" s="10" t="s">
        <v>5421</v>
      </c>
      <c r="C50" s="10"/>
      <c r="D50" s="10" t="s">
        <v>5422</v>
      </c>
      <c r="E50" s="6" t="str">
        <f ca="1">IFERROR(__xludf.DUMMYFUNCTION("""COMPUTED_VALUE"""),"Wǒ míngtiān huì bǎ suǒyǒu xuéxí yòngpǐn dōu dài dào xuéxiào.")</f>
        <v>Wǒ míngtiān huì bǎ suǒyǒu xuéxí yòngpǐn dōu dài dào xuéxiào.</v>
      </c>
    </row>
    <row r="51" spans="1:5" ht="14.25" customHeight="1">
      <c r="A51" s="41" t="s">
        <v>5423</v>
      </c>
      <c r="B51" s="10" t="s">
        <v>5424</v>
      </c>
      <c r="C51" s="10"/>
      <c r="D51" s="10"/>
      <c r="E51" s="6" t="str">
        <f ca="1">IFERROR(__xludf.DUMMYFUNCTION("""COMPUTED_VALUE"""),"Wǒ xǐhuān xuéxí!")</f>
        <v>Wǒ xǐhuān xuéxí!</v>
      </c>
    </row>
    <row r="52" spans="1:5" ht="14.25" customHeight="1">
      <c r="A52" s="42"/>
      <c r="B52" s="10"/>
      <c r="C52" s="10"/>
      <c r="D52" s="10" t="s">
        <v>5425</v>
      </c>
    </row>
    <row r="53" spans="1:5" ht="14.25" customHeight="1">
      <c r="A53" s="42"/>
      <c r="B53" s="10"/>
      <c r="C53" s="10"/>
      <c r="D53" s="10"/>
      <c r="E53" s="5"/>
    </row>
    <row r="54" spans="1:5" ht="14.25" customHeight="1">
      <c r="A54" s="42"/>
      <c r="B54" s="10"/>
      <c r="C54" s="10"/>
      <c r="D54" s="10" t="s">
        <v>5426</v>
      </c>
      <c r="E54" s="5"/>
    </row>
    <row r="55" spans="1:5" ht="14.25" customHeight="1">
      <c r="A55" s="42"/>
      <c r="B55" s="10"/>
      <c r="C55" s="10"/>
      <c r="D55" s="10"/>
      <c r="E55" s="5"/>
    </row>
    <row r="56" spans="1:5" ht="14.25" customHeight="1">
      <c r="A56" s="42"/>
      <c r="B56" s="10"/>
      <c r="C56" s="10"/>
      <c r="D56" s="10" t="s">
        <v>5427</v>
      </c>
      <c r="E56" s="5"/>
    </row>
    <row r="57" spans="1:5" ht="14.25" customHeight="1">
      <c r="A57" s="42"/>
      <c r="B57" s="10"/>
      <c r="C57" s="10"/>
      <c r="D57" s="10"/>
      <c r="E57" s="5"/>
    </row>
    <row r="58" spans="1:5" ht="14.25" customHeight="1">
      <c r="A58" s="42"/>
      <c r="B58" s="10"/>
      <c r="C58" s="10"/>
      <c r="D58" s="10" t="s">
        <v>5428</v>
      </c>
      <c r="E58" s="5"/>
    </row>
    <row r="59" spans="1:5" ht="14.25" customHeight="1">
      <c r="A59" s="42"/>
      <c r="B59" s="10"/>
      <c r="C59" s="10"/>
      <c r="D59" s="10"/>
    </row>
    <row r="60" spans="1:5" ht="14.25" customHeight="1">
      <c r="A60" s="42"/>
      <c r="B60" s="10"/>
      <c r="C60" s="10"/>
      <c r="D60" s="10" t="s">
        <v>5429</v>
      </c>
      <c r="E60" s="5"/>
    </row>
    <row r="61" spans="1:5" ht="14.25" customHeight="1">
      <c r="A61" s="42"/>
      <c r="B61" s="10"/>
      <c r="C61" s="10"/>
      <c r="D61" s="10"/>
      <c r="E61" s="5"/>
    </row>
    <row r="62" spans="1:5" ht="14.25" customHeight="1">
      <c r="A62" s="42"/>
      <c r="B62" s="10"/>
      <c r="C62" s="10"/>
      <c r="D62" s="10" t="s">
        <v>5430</v>
      </c>
      <c r="E62" s="5"/>
    </row>
    <row r="63" spans="1:5" ht="14.25" customHeight="1">
      <c r="A63" s="42"/>
      <c r="B63" s="10"/>
      <c r="C63" s="10"/>
      <c r="D63" s="10"/>
      <c r="E63" s="5"/>
    </row>
    <row r="64" spans="1:5" ht="14.25" customHeight="1">
      <c r="A64" s="42"/>
      <c r="B64" s="10"/>
      <c r="C64" s="10"/>
      <c r="D64" s="10" t="s">
        <v>5431</v>
      </c>
      <c r="E64" s="5"/>
    </row>
    <row r="65" spans="1:5" ht="14.25" customHeight="1">
      <c r="A65" s="42"/>
      <c r="B65" s="10"/>
      <c r="C65" s="10"/>
      <c r="D65" s="10"/>
      <c r="E65" s="5"/>
    </row>
    <row r="66" spans="1:5" ht="14.25" customHeight="1">
      <c r="A66" s="42"/>
      <c r="B66" s="10"/>
      <c r="C66" s="10"/>
      <c r="D66" s="10" t="s">
        <v>5432</v>
      </c>
      <c r="E66" s="5"/>
    </row>
    <row r="67" spans="1:5" ht="14.25" customHeight="1">
      <c r="A67" s="42"/>
      <c r="B67" s="10"/>
      <c r="C67" s="10"/>
      <c r="D67" s="10"/>
      <c r="E67" s="5"/>
    </row>
    <row r="68" spans="1:5" ht="14.25" customHeight="1">
      <c r="A68" s="42"/>
      <c r="B68" s="10"/>
      <c r="C68" s="10"/>
      <c r="D68" s="10" t="s">
        <v>5433</v>
      </c>
      <c r="E68" s="5"/>
    </row>
    <row r="69" spans="1:5" ht="14.25" customHeight="1">
      <c r="A69" s="42"/>
      <c r="B69" s="10"/>
      <c r="C69" s="10"/>
      <c r="D69" s="10"/>
      <c r="E69" s="5"/>
    </row>
    <row r="70" spans="1:5" ht="14.25" customHeight="1">
      <c r="A70" s="42"/>
      <c r="B70" s="10"/>
      <c r="C70" s="10"/>
      <c r="D70" s="10" t="s">
        <v>5434</v>
      </c>
      <c r="E70" s="5"/>
    </row>
    <row r="71" spans="1:5" ht="14.25" customHeight="1">
      <c r="A71" s="42"/>
      <c r="B71" s="10"/>
      <c r="C71" s="10"/>
      <c r="D71" s="10"/>
      <c r="E71" s="5"/>
    </row>
    <row r="72" spans="1:5" ht="14.25" customHeight="1">
      <c r="A72" s="42"/>
      <c r="B72" s="10"/>
      <c r="C72" s="10"/>
      <c r="D72" s="10" t="s">
        <v>5435</v>
      </c>
      <c r="E72" s="5"/>
    </row>
    <row r="73" spans="1:5" ht="14.25" customHeight="1">
      <c r="A73" s="42"/>
      <c r="B73" s="10"/>
      <c r="C73" s="10"/>
      <c r="D73" s="10"/>
      <c r="E73" s="5"/>
    </row>
    <row r="74" spans="1:5" ht="14.25" customHeight="1">
      <c r="A74" s="42"/>
      <c r="B74" s="10"/>
      <c r="C74" s="10"/>
      <c r="D74" s="10" t="s">
        <v>5436</v>
      </c>
      <c r="E74" s="5"/>
    </row>
    <row r="75" spans="1:5" ht="14.25" customHeight="1">
      <c r="A75" s="42"/>
      <c r="B75" s="10"/>
      <c r="C75" s="10"/>
      <c r="D75" s="10"/>
      <c r="E75" s="5"/>
    </row>
    <row r="76" spans="1:5" ht="14.25" customHeight="1">
      <c r="A76" s="42"/>
      <c r="B76" s="10"/>
      <c r="C76" s="10"/>
      <c r="D76" s="10" t="s">
        <v>5437</v>
      </c>
      <c r="E76" s="5"/>
    </row>
    <row r="77" spans="1:5" ht="14.25" customHeight="1">
      <c r="A77" s="42"/>
      <c r="B77" s="10"/>
      <c r="C77" s="10"/>
      <c r="D77" s="10" t="s">
        <v>5438</v>
      </c>
      <c r="E77" s="5"/>
    </row>
    <row r="78" spans="1:5" ht="14.25" customHeight="1">
      <c r="A78" s="42"/>
      <c r="B78" s="10"/>
      <c r="C78" s="10"/>
      <c r="D78" s="10" t="s">
        <v>5439</v>
      </c>
      <c r="E78" s="5"/>
    </row>
    <row r="79" spans="1:5" ht="14.25" customHeight="1">
      <c r="A79" s="42"/>
      <c r="B79" s="10"/>
      <c r="C79" s="10"/>
      <c r="D79" s="10"/>
      <c r="E79" s="5"/>
    </row>
    <row r="80" spans="1:5" ht="14.25" customHeight="1">
      <c r="A80" s="42"/>
      <c r="B80" s="10"/>
      <c r="C80" s="10"/>
      <c r="D80" s="10" t="s">
        <v>5440</v>
      </c>
      <c r="E80" s="5"/>
    </row>
    <row r="81" spans="1:5" ht="14.25" customHeight="1">
      <c r="A81" s="42"/>
      <c r="B81" s="10"/>
      <c r="C81" s="10"/>
      <c r="D81" s="10"/>
      <c r="E81" s="5"/>
    </row>
    <row r="82" spans="1:5" ht="14.25" customHeight="1">
      <c r="A82" s="42"/>
      <c r="B82" s="10"/>
      <c r="C82" s="10"/>
      <c r="D82" s="10" t="s">
        <v>5441</v>
      </c>
      <c r="E82" s="5"/>
    </row>
    <row r="83" spans="1:5" ht="14.25" customHeight="1">
      <c r="A83" s="42"/>
      <c r="B83" s="10"/>
      <c r="C83" s="10"/>
      <c r="D83" s="10"/>
      <c r="E83" s="5"/>
    </row>
    <row r="84" spans="1:5" ht="14.25" customHeight="1">
      <c r="A84" s="42"/>
      <c r="B84" s="10"/>
      <c r="C84" s="10"/>
      <c r="D84" s="10" t="s">
        <v>5442</v>
      </c>
      <c r="E84" s="5"/>
    </row>
    <row r="85" spans="1:5" ht="14.25" customHeight="1">
      <c r="A85" s="42"/>
      <c r="B85" s="10"/>
      <c r="C85" s="10"/>
      <c r="D85" s="10"/>
      <c r="E85" s="5"/>
    </row>
    <row r="86" spans="1:5" ht="14.25" customHeight="1">
      <c r="A86" s="42"/>
      <c r="B86" s="10"/>
      <c r="C86" s="10"/>
      <c r="D86" s="10" t="s">
        <v>5443</v>
      </c>
      <c r="E86" s="5"/>
    </row>
    <row r="87" spans="1:5" ht="14.25" customHeight="1">
      <c r="A87" s="42"/>
      <c r="B87" s="10"/>
      <c r="C87" s="10"/>
      <c r="D87" s="10"/>
      <c r="E87" s="5"/>
    </row>
    <row r="88" spans="1:5" ht="14.25" customHeight="1">
      <c r="A88" s="42"/>
      <c r="B88" s="10"/>
      <c r="C88" s="10"/>
      <c r="D88" s="10" t="s">
        <v>5444</v>
      </c>
      <c r="E88" s="5"/>
    </row>
    <row r="89" spans="1:5" ht="14.25" customHeight="1">
      <c r="A89" s="42"/>
      <c r="B89" s="10"/>
      <c r="C89" s="10"/>
      <c r="D89" s="10"/>
      <c r="E89" s="5"/>
    </row>
    <row r="90" spans="1:5" ht="14.25" customHeight="1">
      <c r="A90" s="42"/>
      <c r="B90" s="10"/>
      <c r="C90" s="10"/>
      <c r="D90" s="10" t="s">
        <v>5445</v>
      </c>
      <c r="E90" s="5"/>
    </row>
    <row r="91" spans="1:5" ht="14.25" customHeight="1">
      <c r="A91" s="42"/>
      <c r="B91" s="10"/>
      <c r="C91" s="10"/>
      <c r="D91" s="10"/>
      <c r="E91" s="5"/>
    </row>
    <row r="92" spans="1:5" ht="14.25" customHeight="1">
      <c r="A92" s="42"/>
      <c r="B92" s="10"/>
      <c r="C92" s="10"/>
      <c r="D92" s="10" t="s">
        <v>5446</v>
      </c>
      <c r="E92" s="5"/>
    </row>
    <row r="93" spans="1:5" ht="14.25" customHeight="1">
      <c r="A93" s="42"/>
      <c r="B93" s="10"/>
      <c r="C93" s="10"/>
      <c r="D93" s="10"/>
      <c r="E93" s="5"/>
    </row>
    <row r="94" spans="1:5" ht="14.25" customHeight="1">
      <c r="A94" s="42"/>
      <c r="B94" s="10"/>
      <c r="C94" s="10"/>
      <c r="D94" s="10" t="s">
        <v>5447</v>
      </c>
      <c r="E94" s="5"/>
    </row>
    <row r="95" spans="1:5" ht="14.25" customHeight="1">
      <c r="A95" s="42"/>
      <c r="B95" s="10"/>
      <c r="C95" s="10"/>
      <c r="D95" s="10"/>
      <c r="E95" s="5"/>
    </row>
    <row r="96" spans="1:5" ht="14.25" customHeight="1">
      <c r="A96" s="42"/>
      <c r="B96" s="10"/>
      <c r="C96" s="10"/>
      <c r="D96" s="10" t="s">
        <v>5448</v>
      </c>
      <c r="E96" s="5"/>
    </row>
    <row r="97" spans="1:5" ht="14.25" customHeight="1">
      <c r="A97" s="42"/>
      <c r="B97" s="10"/>
      <c r="C97" s="10"/>
      <c r="D97" s="10"/>
      <c r="E97" s="5"/>
    </row>
    <row r="98" spans="1:5" ht="14.25" customHeight="1">
      <c r="A98" s="42"/>
      <c r="B98" s="10"/>
      <c r="C98" s="10"/>
      <c r="D98" s="10" t="s">
        <v>5449</v>
      </c>
      <c r="E98" s="5"/>
    </row>
  </sheetData>
  <pageMargins left="0.75" right="0.75" top="1" bottom="1"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E100"/>
  <sheetViews>
    <sheetView workbookViewId="0"/>
  </sheetViews>
  <sheetFormatPr defaultColWidth="14.44140625" defaultRowHeight="15" customHeight="1"/>
  <cols>
    <col min="1" max="1" width="45.5546875" customWidth="1"/>
    <col min="2" max="2" width="43" customWidth="1"/>
    <col min="3" max="3" width="21.109375" customWidth="1"/>
    <col min="4" max="4" width="43" customWidth="1"/>
    <col min="5" max="5" width="56.88671875" customWidth="1"/>
  </cols>
  <sheetData>
    <row r="1" spans="1:5" ht="14.25" customHeight="1">
      <c r="A1" s="12" t="s">
        <v>5450</v>
      </c>
      <c r="E1" s="2"/>
    </row>
    <row r="2" spans="1:5" ht="14.25" customHeight="1">
      <c r="A2" s="41" t="s">
        <v>5451</v>
      </c>
      <c r="B2" s="10" t="s">
        <v>5452</v>
      </c>
      <c r="C2" s="10"/>
      <c r="D2" s="10" t="s">
        <v>5453</v>
      </c>
      <c r="E2" s="5" t="str">
        <f ca="1">IFERROR(__xludf.DUMMYFUNCTION("FILTER(D1:D1004,D1:D1004&lt;&gt; """")"),"Wǒ zǎoshang liù diǎn qǐchuángle.")</f>
        <v>Wǒ zǎoshang liù diǎn qǐchuángle.</v>
      </c>
    </row>
    <row r="3" spans="1:5" ht="14.25" customHeight="1">
      <c r="A3" s="41" t="s">
        <v>5454</v>
      </c>
      <c r="B3" s="10" t="s">
        <v>5455</v>
      </c>
      <c r="C3" s="10"/>
      <c r="D3" s="10"/>
      <c r="E3" s="6" t="str">
        <f ca="1">IFERROR(__xludf.DUMMYFUNCTION("""COMPUTED_VALUE"""),"Wǒ zài shēnlǎnyāo.")</f>
        <v>Wǒ zài shēnlǎnyāo.</v>
      </c>
    </row>
    <row r="4" spans="1:5" ht="14.25" customHeight="1">
      <c r="A4" s="41" t="s">
        <v>5456</v>
      </c>
      <c r="B4" s="10" t="s">
        <v>5457</v>
      </c>
      <c r="C4" s="10"/>
      <c r="D4" s="10" t="s">
        <v>5458</v>
      </c>
      <c r="E4" s="5" t="str">
        <f ca="1">IFERROR(__xludf.DUMMYFUNCTION("""COMPUTED_VALUE"""),"Wǒ yào shuāyá.")</f>
        <v>Wǒ yào shuāyá.</v>
      </c>
    </row>
    <row r="5" spans="1:5" ht="14.25" customHeight="1">
      <c r="A5" s="41" t="s">
        <v>5459</v>
      </c>
      <c r="B5" s="10" t="s">
        <v>5460</v>
      </c>
      <c r="C5" s="10"/>
      <c r="D5" s="10"/>
      <c r="E5" s="5" t="str">
        <f ca="1">IFERROR(__xludf.DUMMYFUNCTION("""COMPUTED_VALUE"""),"Wǒ zài xǐliǎn.")</f>
        <v>Wǒ zài xǐliǎn.</v>
      </c>
    </row>
    <row r="6" spans="1:5" ht="14.25" customHeight="1">
      <c r="A6" s="41" t="s">
        <v>5461</v>
      </c>
      <c r="B6" s="10" t="s">
        <v>4798</v>
      </c>
      <c r="C6" s="10"/>
      <c r="D6" s="10" t="s">
        <v>5462</v>
      </c>
      <c r="E6" s="5" t="str">
        <f ca="1">IFERROR(__xludf.DUMMYFUNCTION("""COMPUTED_VALUE"""),"Wǒ yào xǐzǎo.")</f>
        <v>Wǒ yào xǐzǎo.</v>
      </c>
    </row>
    <row r="7" spans="1:5" ht="14.25" customHeight="1">
      <c r="A7" s="41" t="s">
        <v>5463</v>
      </c>
      <c r="B7" s="10" t="s">
        <v>5464</v>
      </c>
      <c r="C7" s="10"/>
      <c r="D7" s="10"/>
      <c r="E7" s="5" t="str">
        <f ca="1">IFERROR(__xludf.DUMMYFUNCTION("""COMPUTED_VALUE"""),"Wǒ zài chuān yīfú.")</f>
        <v>Wǒ zài chuān yīfú.</v>
      </c>
    </row>
    <row r="8" spans="1:5" ht="14.25" customHeight="1">
      <c r="A8" s="41" t="s">
        <v>3433</v>
      </c>
      <c r="B8" s="10" t="s">
        <v>3434</v>
      </c>
      <c r="C8" s="10"/>
      <c r="D8" s="10" t="s">
        <v>5465</v>
      </c>
      <c r="E8" s="5" t="str">
        <f ca="1">IFERROR(__xludf.DUMMYFUNCTION("""COMPUTED_VALUE"""),"Wǒ zài shūtóu.")</f>
        <v>Wǒ zài shūtóu.</v>
      </c>
    </row>
    <row r="9" spans="1:5" ht="14.25" customHeight="1">
      <c r="A9" s="41" t="s">
        <v>5466</v>
      </c>
      <c r="B9" s="10" t="s">
        <v>5467</v>
      </c>
      <c r="C9" s="10"/>
      <c r="D9" s="10"/>
      <c r="E9" s="5" t="str">
        <f ca="1">IFERROR(__xludf.DUMMYFUNCTION("""COMPUTED_VALUE"""),"Wǒ jǐ diǎn chī zǎofàn?")</f>
        <v>Wǒ jǐ diǎn chī zǎofàn?</v>
      </c>
    </row>
    <row r="10" spans="1:5" ht="14.25" customHeight="1">
      <c r="A10" s="41" t="s">
        <v>5468</v>
      </c>
      <c r="B10" s="10" t="s">
        <v>5469</v>
      </c>
      <c r="C10" s="10"/>
      <c r="D10" s="10" t="s">
        <v>5470</v>
      </c>
      <c r="E10" s="5" t="str">
        <f ca="1">IFERROR(__xludf.DUMMYFUNCTION("""COMPUTED_VALUE"""),"Wǒ zài chī mǐfàn.")</f>
        <v>Wǒ zài chī mǐfàn.</v>
      </c>
    </row>
    <row r="11" spans="1:5" ht="14.25" customHeight="1">
      <c r="A11" s="41" t="s">
        <v>5471</v>
      </c>
      <c r="B11" s="10" t="s">
        <v>5472</v>
      </c>
      <c r="C11" s="10"/>
      <c r="D11" s="10"/>
      <c r="E11" s="5" t="str">
        <f ca="1">IFERROR(__xludf.DUMMYFUNCTION("""COMPUTED_VALUE"""),"Wǒ zài hē niúnǎi.")</f>
        <v>Wǒ zài hē niúnǎi.</v>
      </c>
    </row>
    <row r="12" spans="1:5" ht="14.25" customHeight="1">
      <c r="A12" s="41" t="s">
        <v>5473</v>
      </c>
      <c r="B12" s="10" t="s">
        <v>5474</v>
      </c>
      <c r="C12" s="10"/>
      <c r="D12" s="10" t="s">
        <v>5475</v>
      </c>
      <c r="E12" s="6" t="str">
        <f ca="1">IFERROR(__xludf.DUMMYFUNCTION("""COMPUTED_VALUE"""),"Wǒ zài chuān xié qù shàngxué.")</f>
        <v>Wǒ zài chuān xié qù shàngxué.</v>
      </c>
    </row>
    <row r="13" spans="1:5" ht="14.25" customHeight="1">
      <c r="A13" s="41" t="s">
        <v>5476</v>
      </c>
      <c r="B13" s="10" t="s">
        <v>5477</v>
      </c>
      <c r="C13" s="10"/>
      <c r="D13" s="10"/>
      <c r="E13" s="6" t="str">
        <f ca="1">IFERROR(__xludf.DUMMYFUNCTION("""COMPUTED_VALUE"""),"Wǒ zài bèishū bāo.")</f>
        <v>Wǒ zài bèishū bāo.</v>
      </c>
    </row>
    <row r="14" spans="1:5" ht="14.25" customHeight="1">
      <c r="A14" s="41" t="s">
        <v>5478</v>
      </c>
      <c r="B14" s="10" t="s">
        <v>5479</v>
      </c>
      <c r="C14" s="10"/>
      <c r="D14" s="10" t="s">
        <v>3513</v>
      </c>
      <c r="E14" s="6" t="str">
        <f ca="1">IFERROR(__xludf.DUMMYFUNCTION("""COMPUTED_VALUE"""),"Wǒ zài zǒulù qù xuéxiào.")</f>
        <v>Wǒ zài zǒulù qù xuéxiào.</v>
      </c>
    </row>
    <row r="15" spans="1:5" ht="14.25" customHeight="1">
      <c r="A15" s="41" t="s">
        <v>5480</v>
      </c>
      <c r="B15" s="10" t="s">
        <v>5481</v>
      </c>
      <c r="C15" s="10"/>
      <c r="D15" s="10"/>
      <c r="E15" s="6" t="str">
        <f ca="1">IFERROR(__xludf.DUMMYFUNCTION("""COMPUTED_VALUE"""),"Wǒ zài kètáng shàng xuéxí.")</f>
        <v>Wǒ zài kètáng shàng xuéxí.</v>
      </c>
    </row>
    <row r="16" spans="1:5" ht="14.25" customHeight="1">
      <c r="A16" s="41" t="s">
        <v>5482</v>
      </c>
      <c r="B16" s="10" t="s">
        <v>5483</v>
      </c>
      <c r="C16" s="10"/>
      <c r="D16" s="10" t="s">
        <v>5484</v>
      </c>
      <c r="E16" s="6" t="str">
        <f ca="1">IFERROR(__xludf.DUMMYFUNCTION("""COMPUTED_VALUE"""),"Wǒ zài tīng lǎoshī jiǎngkè.")</f>
        <v>Wǒ zài tīng lǎoshī jiǎngkè.</v>
      </c>
    </row>
    <row r="17" spans="1:5" ht="14.25" customHeight="1">
      <c r="A17" s="41" t="s">
        <v>5485</v>
      </c>
      <c r="B17" s="10" t="s">
        <v>5486</v>
      </c>
      <c r="C17" s="10"/>
      <c r="D17" s="10"/>
      <c r="E17" s="6" t="str">
        <f ca="1">IFERROR(__xludf.DUMMYFUNCTION("""COMPUTED_VALUE"""),"Wǒ zài jǔ shǒu fāyán.")</f>
        <v>Wǒ zài jǔ shǒu fāyán.</v>
      </c>
    </row>
    <row r="18" spans="1:5" ht="14.25" customHeight="1">
      <c r="A18" s="41" t="s">
        <v>5487</v>
      </c>
      <c r="B18" s="10" t="s">
        <v>5488</v>
      </c>
      <c r="C18" s="10"/>
      <c r="D18" s="10" t="s">
        <v>5489</v>
      </c>
      <c r="E18" s="5" t="str">
        <f ca="1">IFERROR(__xludf.DUMMYFUNCTION("""COMPUTED_VALUE"""),"Wǒ zài xiězì.")</f>
        <v>Wǒ zài xiězì.</v>
      </c>
    </row>
    <row r="19" spans="1:5" ht="14.25" customHeight="1">
      <c r="A19" s="41" t="s">
        <v>5490</v>
      </c>
      <c r="B19" s="10" t="s">
        <v>5491</v>
      </c>
      <c r="C19" s="10"/>
      <c r="D19" s="10"/>
      <c r="E19" s="4" t="str">
        <f ca="1">IFERROR(__xludf.DUMMYFUNCTION("""COMPUTED_VALUE"""),"Wǒ zàidú gùshì.")</f>
        <v>Wǒ zàidú gùshì.</v>
      </c>
    </row>
    <row r="20" spans="1:5" ht="14.25" customHeight="1">
      <c r="A20" s="41" t="s">
        <v>5492</v>
      </c>
      <c r="B20" s="10" t="s">
        <v>5493</v>
      </c>
      <c r="C20" s="10"/>
      <c r="D20" s="10" t="s">
        <v>5494</v>
      </c>
      <c r="E20" s="5" t="str">
        <f ca="1">IFERROR(__xludf.DUMMYFUNCTION("""COMPUTED_VALUE"""),"Wǒ zài kè jiān xiūxí shí hé péngyǒumen wánshuǎ.")</f>
        <v>Wǒ zài kè jiān xiūxí shí hé péngyǒumen wánshuǎ.</v>
      </c>
    </row>
    <row r="21" spans="1:5" ht="14.25" customHeight="1">
      <c r="A21" s="41" t="s">
        <v>5495</v>
      </c>
      <c r="B21" s="10" t="s">
        <v>5496</v>
      </c>
      <c r="C21" s="10"/>
      <c r="D21" s="10"/>
      <c r="E21" s="6" t="str">
        <f ca="1">IFERROR(__xludf.DUMMYFUNCTION("""COMPUTED_VALUE"""),"Wǒ yào huí jiāle.")</f>
        <v>Wǒ yào huí jiāle.</v>
      </c>
    </row>
    <row r="22" spans="1:5" ht="14.25" customHeight="1">
      <c r="A22" s="41" t="s">
        <v>5497</v>
      </c>
      <c r="B22" s="10" t="s">
        <v>5498</v>
      </c>
      <c r="C22" s="10"/>
      <c r="D22" s="10" t="s">
        <v>5499</v>
      </c>
      <c r="E22" s="6" t="str">
        <f ca="1">IFERROR(__xludf.DUMMYFUNCTION("""COMPUTED_VALUE"""),"Wǒ zài hé dàjiā dàobié.")</f>
        <v>Wǒ zài hé dàjiā dàobié.</v>
      </c>
    </row>
    <row r="23" spans="1:5" ht="14.25" customHeight="1">
      <c r="A23" s="41" t="s">
        <v>5500</v>
      </c>
      <c r="B23" s="10" t="s">
        <v>5501</v>
      </c>
      <c r="C23" s="10"/>
      <c r="D23" s="10"/>
      <c r="E23" s="6" t="str">
        <f ca="1">IFERROR(__xludf.DUMMYFUNCTION("""COMPUTED_VALUE"""),"Wǒ zài rènzhēn xǐshǒu.")</f>
        <v>Wǒ zài rènzhēn xǐshǒu.</v>
      </c>
    </row>
    <row r="24" spans="1:5" ht="14.25" customHeight="1">
      <c r="A24" s="41" t="s">
        <v>5502</v>
      </c>
      <c r="B24" s="10" t="s">
        <v>5503</v>
      </c>
      <c r="C24" s="10"/>
      <c r="D24" s="10" t="s">
        <v>5504</v>
      </c>
      <c r="E24" s="6" t="str">
        <f ca="1">IFERROR(__xludf.DUMMYFUNCTION("""COMPUTED_VALUE"""),"Wǒ zài huàn jiājū fú.")</f>
        <v>Wǒ zài huàn jiājū fú.</v>
      </c>
    </row>
    <row r="25" spans="1:5" ht="14.25" customHeight="1">
      <c r="A25" s="41" t="s">
        <v>5505</v>
      </c>
      <c r="B25" s="10" t="s">
        <v>5506</v>
      </c>
      <c r="C25" s="10"/>
      <c r="D25" s="10"/>
      <c r="E25" s="6" t="str">
        <f ca="1">IFERROR(__xludf.DUMMYFUNCTION("""COMPUTED_VALUE"""),"Wǒ xiūxí yīhuǐ'er.")</f>
        <v>Wǒ xiūxí yīhuǐ'er.</v>
      </c>
    </row>
    <row r="26" spans="1:5" ht="14.25" customHeight="1">
      <c r="A26" s="41" t="s">
        <v>5507</v>
      </c>
      <c r="B26" s="10" t="s">
        <v>5508</v>
      </c>
      <c r="C26" s="10"/>
      <c r="D26" s="10" t="s">
        <v>5509</v>
      </c>
      <c r="E26" s="6" t="str">
        <f ca="1">IFERROR(__xludf.DUMMYFUNCTION("""COMPUTED_VALUE"""),"Wǒ zài kàn diànshì.")</f>
        <v>Wǒ zài kàn diànshì.</v>
      </c>
    </row>
    <row r="27" spans="1:5" ht="14.25" customHeight="1">
      <c r="A27" s="41" t="s">
        <v>5510</v>
      </c>
      <c r="B27" s="10" t="s">
        <v>5511</v>
      </c>
      <c r="C27" s="10"/>
      <c r="D27" s="10"/>
      <c r="E27" s="6" t="str">
        <f ca="1">IFERROR(__xludf.DUMMYFUNCTION("""COMPUTED_VALUE"""),"Wǒ zài wán wánjù.")</f>
        <v>Wǒ zài wán wánjù.</v>
      </c>
    </row>
    <row r="28" spans="1:5" ht="14.25" customHeight="1">
      <c r="A28" s="41" t="s">
        <v>5512</v>
      </c>
      <c r="B28" s="10" t="s">
        <v>5513</v>
      </c>
      <c r="C28" s="10"/>
      <c r="D28" s="10" t="s">
        <v>5514</v>
      </c>
      <c r="E28" s="6" t="str">
        <f ca="1">IFERROR(__xludf.DUMMYFUNCTION("""COMPUTED_VALUE"""),"Wǒ zài bāng māmā dǎsǎo fángzǐ.")</f>
        <v>Wǒ zài bāng māmā dǎsǎo fángzǐ.</v>
      </c>
    </row>
    <row r="29" spans="1:5" ht="14.25" customHeight="1">
      <c r="A29" s="41" t="s">
        <v>5515</v>
      </c>
      <c r="B29" s="10" t="s">
        <v>5516</v>
      </c>
      <c r="C29" s="10"/>
      <c r="D29" s="10"/>
      <c r="E29" s="37" t="str">
        <f ca="1">IFERROR(__xludf.DUMMYFUNCTION("""COMPUTED_VALUE"""),"Wǒ zài gěi zhíwù jiāo shuǐ.")</f>
        <v>Wǒ zài gěi zhíwù jiāo shuǐ.</v>
      </c>
    </row>
    <row r="30" spans="1:5" ht="14.25" customHeight="1">
      <c r="A30" s="41" t="s">
        <v>5517</v>
      </c>
      <c r="B30" s="10" t="s">
        <v>5518</v>
      </c>
      <c r="C30" s="10"/>
      <c r="D30" s="10" t="s">
        <v>5519</v>
      </c>
      <c r="E30" s="6" t="str">
        <f ca="1">IFERROR(__xludf.DUMMYFUNCTION("""COMPUTED_VALUE"""),"Wǒ zài zuò zuo yè.")</f>
        <v>Wǒ zài zuò zuo yè.</v>
      </c>
    </row>
    <row r="31" spans="1:5" ht="14.25" customHeight="1">
      <c r="A31" s="41" t="s">
        <v>5520</v>
      </c>
      <c r="B31" s="10" t="s">
        <v>5521</v>
      </c>
      <c r="C31" s="10"/>
      <c r="D31" s="10"/>
      <c r="E31" s="4" t="str">
        <f ca="1">IFERROR(__xludf.DUMMYFUNCTION("""COMPUTED_VALUE"""),"Wǒ zài huà huà.")</f>
        <v>Wǒ zài huà huà.</v>
      </c>
    </row>
    <row r="32" spans="1:5" ht="14.25" customHeight="1">
      <c r="A32" s="41" t="s">
        <v>5522</v>
      </c>
      <c r="B32" s="10" t="s">
        <v>5523</v>
      </c>
      <c r="C32" s="10"/>
      <c r="D32" s="10" t="s">
        <v>5524</v>
      </c>
      <c r="E32" s="4" t="str">
        <f ca="1">IFERROR(__xludf.DUMMYFUNCTION("""COMPUTED_VALUE"""),"Wǒ zài tīng yīnyuè.")</f>
        <v>Wǒ zài tīng yīnyuè.</v>
      </c>
    </row>
    <row r="33" spans="1:5" ht="14.25" customHeight="1">
      <c r="A33" s="41" t="s">
        <v>5525</v>
      </c>
      <c r="B33" s="10" t="s">
        <v>5526</v>
      </c>
      <c r="C33" s="10"/>
      <c r="D33" s="10"/>
      <c r="E33" s="4" t="str">
        <f ca="1">IFERROR(__xludf.DUMMYFUNCTION("""COMPUTED_VALUE"""),"Wǒ zài tiàowǔ.")</f>
        <v>Wǒ zài tiàowǔ.</v>
      </c>
    </row>
    <row r="34" spans="1:5" ht="14.25" customHeight="1">
      <c r="A34" s="41" t="s">
        <v>5527</v>
      </c>
      <c r="B34" s="10" t="s">
        <v>5528</v>
      </c>
      <c r="C34" s="10"/>
      <c r="D34" s="10" t="s">
        <v>5529</v>
      </c>
      <c r="E34" s="4" t="str">
        <f ca="1">IFERROR(__xludf.DUMMYFUNCTION("""COMPUTED_VALUE"""),"Wǒ zài chànggē.")</f>
        <v>Wǒ zài chànggē.</v>
      </c>
    </row>
    <row r="35" spans="1:5" ht="14.25" customHeight="1">
      <c r="A35" s="41" t="s">
        <v>5530</v>
      </c>
      <c r="B35" s="10" t="s">
        <v>5531</v>
      </c>
      <c r="C35" s="10"/>
      <c r="D35" s="10"/>
      <c r="E35" s="8" t="str">
        <f ca="1">IFERROR(__xludf.DUMMYFUNCTION("""COMPUTED_VALUE"""),"Wǒ zài xǐ gè xiàwǔ zǎo.")</f>
        <v>Wǒ zài xǐ gè xiàwǔ zǎo.</v>
      </c>
    </row>
    <row r="36" spans="1:5" ht="14.25" customHeight="1">
      <c r="A36" s="41" t="s">
        <v>5532</v>
      </c>
      <c r="B36" s="10" t="s">
        <v>5533</v>
      </c>
      <c r="C36" s="10"/>
      <c r="D36" s="10" t="s">
        <v>5534</v>
      </c>
      <c r="E36" s="5" t="str">
        <f ca="1">IFERROR(__xludf.DUMMYFUNCTION("""COMPUTED_VALUE"""),"Wǒ zài bǎi cānzhuō.")</f>
        <v>Wǒ zài bǎi cānzhuō.</v>
      </c>
    </row>
    <row r="37" spans="1:5" ht="14.25" customHeight="1">
      <c r="A37" s="41" t="s">
        <v>5535</v>
      </c>
      <c r="B37" s="10" t="s">
        <v>5536</v>
      </c>
      <c r="C37" s="10"/>
      <c r="D37" s="10"/>
      <c r="E37" s="8" t="str">
        <f ca="1">IFERROR(__xludf.DUMMYFUNCTION("""COMPUTED_VALUE"""),"Wǒ zài hé jiārén yīqǐ chī wǎnfàn.")</f>
        <v>Wǒ zài hé jiārén yīqǐ chī wǎnfàn.</v>
      </c>
    </row>
    <row r="38" spans="1:5" ht="14.25" customHeight="1">
      <c r="A38" s="41" t="s">
        <v>1090</v>
      </c>
      <c r="B38" s="10" t="s">
        <v>4823</v>
      </c>
      <c r="C38" s="10"/>
      <c r="D38" s="10" t="s">
        <v>5537</v>
      </c>
      <c r="E38" s="5" t="str">
        <f ca="1">IFERROR(__xludf.DUMMYFUNCTION("""COMPUTED_VALUE"""),"Wǒ zài cā zhuōzǐ.")</f>
        <v>Wǒ zài cā zhuōzǐ.</v>
      </c>
    </row>
    <row r="39" spans="1:5" ht="14.25" customHeight="1">
      <c r="A39" s="41" t="s">
        <v>5538</v>
      </c>
      <c r="B39" s="10" t="s">
        <v>5539</v>
      </c>
      <c r="C39" s="10"/>
      <c r="D39" s="10"/>
      <c r="E39" s="6" t="str">
        <f ca="1">IFERROR(__xludf.DUMMYFUNCTION("""COMPUTED_VALUE"""),"Wǒ zài bāng āyí xǐ wǎn.")</f>
        <v>Wǒ zài bāng āyí xǐ wǎn.</v>
      </c>
    </row>
    <row r="40" spans="1:5" ht="14.25" customHeight="1">
      <c r="A40" s="41" t="s">
        <v>5540</v>
      </c>
      <c r="B40" s="10" t="s">
        <v>5541</v>
      </c>
      <c r="C40" s="10"/>
      <c r="D40" s="10" t="s">
        <v>5542</v>
      </c>
      <c r="E40" s="6" t="str">
        <f ca="1">IFERROR(__xludf.DUMMYFUNCTION("""COMPUTED_VALUE"""),"Wǒ zài zhǔnbèi míngtiān yào dú de shū.")</f>
        <v>Wǒ zài zhǔnbèi míngtiān yào dú de shū.</v>
      </c>
    </row>
    <row r="41" spans="1:5" ht="14.25" customHeight="1">
      <c r="A41" s="41" t="s">
        <v>5543</v>
      </c>
      <c r="B41" s="10" t="s">
        <v>5544</v>
      </c>
      <c r="C41" s="10"/>
      <c r="D41" s="10"/>
      <c r="E41" s="5" t="str">
        <f ca="1">IFERROR(__xludf.DUMMYFUNCTION("""COMPUTED_VALUE"""),"Wǒ wǎnshàng jiǔ diǎn shuìjiào.")</f>
        <v>Wǒ wǎnshàng jiǔ diǎn shuìjiào.</v>
      </c>
    </row>
    <row r="42" spans="1:5" ht="14.25" customHeight="1">
      <c r="A42" s="41" t="s">
        <v>5545</v>
      </c>
      <c r="B42" s="10" t="s">
        <v>5546</v>
      </c>
      <c r="C42" s="10"/>
      <c r="D42" s="10" t="s">
        <v>5547</v>
      </c>
      <c r="E42" s="4" t="str">
        <f ca="1">IFERROR(__xludf.DUMMYFUNCTION("""COMPUTED_VALUE"""),"Wǒ shuì qián shuāyá.")</f>
        <v>Wǒ shuì qián shuāyá.</v>
      </c>
    </row>
    <row r="43" spans="1:5" ht="14.25" customHeight="1">
      <c r="A43" s="41" t="s">
        <v>5548</v>
      </c>
      <c r="B43" s="10" t="s">
        <v>5549</v>
      </c>
      <c r="C43" s="10"/>
      <c r="D43" s="10"/>
      <c r="E43" s="5" t="str">
        <f ca="1">IFERROR(__xludf.DUMMYFUNCTION("""COMPUTED_VALUE"""),"Wǒ tǎng zài chuángshàng.")</f>
        <v>Wǒ tǎng zài chuángshàng.</v>
      </c>
    </row>
    <row r="44" spans="1:5" ht="14.25" customHeight="1">
      <c r="A44" s="41" t="s">
        <v>5550</v>
      </c>
      <c r="B44" s="10" t="s">
        <v>5551</v>
      </c>
      <c r="C44" s="10"/>
      <c r="D44" s="10" t="s">
        <v>5552</v>
      </c>
      <c r="E44" s="4" t="str">
        <f ca="1">IFERROR(__xludf.DUMMYFUNCTION("""COMPUTED_VALUE"""),"Wǒ lā qǐ tǎnzǐ.")</f>
        <v>Wǒ lā qǐ tǎnzǐ.</v>
      </c>
    </row>
    <row r="45" spans="1:5" ht="14.25" customHeight="1">
      <c r="A45" s="41" t="s">
        <v>5553</v>
      </c>
      <c r="B45" s="10" t="s">
        <v>5554</v>
      </c>
      <c r="C45" s="10"/>
      <c r="D45" s="10"/>
      <c r="E45" s="5" t="str">
        <f ca="1">IFERROR(__xludf.DUMMYFUNCTION("""COMPUTED_VALUE"""),"Wǒ bì shàng yǎnjīng.")</f>
        <v>Wǒ bì shàng yǎnjīng.</v>
      </c>
    </row>
    <row r="46" spans="1:5" ht="14.25" customHeight="1">
      <c r="A46" s="41" t="s">
        <v>5555</v>
      </c>
      <c r="B46" s="10" t="s">
        <v>5556</v>
      </c>
      <c r="C46" s="10"/>
      <c r="D46" s="10" t="s">
        <v>5557</v>
      </c>
      <c r="E46" s="4" t="str">
        <f ca="1">IFERROR(__xludf.DUMMYFUNCTION("""COMPUTED_VALUE"""),"Wǒ zuòle yīgè měimèng.")</f>
        <v>Wǒ zuòle yīgè měimèng.</v>
      </c>
    </row>
    <row r="47" spans="1:5" ht="14.25" customHeight="1">
      <c r="A47" s="41" t="s">
        <v>5558</v>
      </c>
      <c r="B47" s="10" t="s">
        <v>5559</v>
      </c>
      <c r="C47" s="10"/>
      <c r="D47" s="10"/>
      <c r="E47" s="4" t="str">
        <f ca="1">IFERROR(__xludf.DUMMYFUNCTION("""COMPUTED_VALUE"""),"Wǒ hūxī jūnyún.")</f>
        <v>Wǒ hūxī jūnyún.</v>
      </c>
    </row>
    <row r="48" spans="1:5" ht="14.25" customHeight="1">
      <c r="A48" s="41" t="s">
        <v>5560</v>
      </c>
      <c r="B48" s="10" t="s">
        <v>5561</v>
      </c>
      <c r="C48" s="10"/>
      <c r="D48" s="10" t="s">
        <v>5562</v>
      </c>
      <c r="E48" s="4" t="str">
        <f ca="1">IFERROR(__xludf.DUMMYFUNCTION("""COMPUTED_VALUE"""),"Wǒ shuì dé hěn xiāng.")</f>
        <v>Wǒ shuì dé hěn xiāng.</v>
      </c>
    </row>
    <row r="49" spans="1:5" ht="14.25" customHeight="1">
      <c r="A49" s="41" t="s">
        <v>5563</v>
      </c>
      <c r="B49" s="10" t="s">
        <v>5564</v>
      </c>
      <c r="C49" s="10"/>
      <c r="D49" s="10"/>
      <c r="E49" s="5" t="str">
        <f ca="1">IFERROR(__xludf.DUMMYFUNCTION("""COMPUTED_VALUE"""),"Wǒ zài shuìmèng zhōng wéixiào.")</f>
        <v>Wǒ zài shuìmèng zhōng wéixiào.</v>
      </c>
    </row>
    <row r="50" spans="1:5" ht="14.25" customHeight="1">
      <c r="A50" s="41" t="s">
        <v>5565</v>
      </c>
      <c r="B50" s="10" t="s">
        <v>5566</v>
      </c>
      <c r="C50" s="10"/>
      <c r="D50" s="10" t="s">
        <v>5567</v>
      </c>
      <c r="E50" s="6" t="str">
        <f ca="1">IFERROR(__xludf.DUMMYFUNCTION("""COMPUTED_VALUE"""),"Wǒ míngtiān huì zǎoqǐ.")</f>
        <v>Wǒ míngtiān huì zǎoqǐ.</v>
      </c>
    </row>
    <row r="51" spans="1:5" ht="14.25" customHeight="1">
      <c r="A51" s="41" t="s">
        <v>5568</v>
      </c>
      <c r="B51" s="10" t="s">
        <v>5569</v>
      </c>
      <c r="C51" s="10"/>
      <c r="D51" s="10"/>
      <c r="E51" s="6" t="str">
        <f ca="1">IFERROR(__xludf.DUMMYFUNCTION("""COMPUTED_VALUE"""),"Wǒ jīntiānguò dé hěn yúkuài.")</f>
        <v>Wǒ jīntiānguò dé hěn yúkuài.</v>
      </c>
    </row>
    <row r="52" spans="1:5" ht="14.25" customHeight="1">
      <c r="A52" s="42"/>
      <c r="B52" s="10"/>
      <c r="C52" s="10"/>
      <c r="D52" s="10" t="s">
        <v>5570</v>
      </c>
    </row>
    <row r="53" spans="1:5" ht="14.25" customHeight="1">
      <c r="A53" s="42"/>
      <c r="B53" s="10"/>
      <c r="C53" s="10"/>
      <c r="D53" s="10"/>
      <c r="E53" s="5"/>
    </row>
    <row r="54" spans="1:5" ht="14.25" customHeight="1">
      <c r="A54" s="42"/>
      <c r="B54" s="10"/>
      <c r="C54" s="10"/>
      <c r="D54" s="10" t="s">
        <v>5571</v>
      </c>
      <c r="E54" s="5"/>
    </row>
    <row r="55" spans="1:5" ht="14.25" customHeight="1">
      <c r="A55" s="42"/>
      <c r="B55" s="10"/>
      <c r="C55" s="10"/>
      <c r="D55" s="10"/>
      <c r="E55" s="5"/>
    </row>
    <row r="56" spans="1:5" ht="14.25" customHeight="1">
      <c r="A56" s="42"/>
      <c r="B56" s="10"/>
      <c r="C56" s="10"/>
      <c r="D56" s="10" t="s">
        <v>5572</v>
      </c>
      <c r="E56" s="5"/>
    </row>
    <row r="57" spans="1:5" ht="14.25" customHeight="1">
      <c r="A57" s="42"/>
      <c r="B57" s="10"/>
      <c r="C57" s="10"/>
      <c r="D57" s="10"/>
      <c r="E57" s="5"/>
    </row>
    <row r="58" spans="1:5" ht="14.25" customHeight="1">
      <c r="A58" s="42"/>
      <c r="B58" s="10"/>
      <c r="C58" s="10"/>
      <c r="D58" s="10" t="s">
        <v>5573</v>
      </c>
      <c r="E58" s="5"/>
    </row>
    <row r="59" spans="1:5" ht="14.25" customHeight="1">
      <c r="A59" s="42"/>
      <c r="B59" s="10"/>
      <c r="C59" s="10"/>
      <c r="D59" s="10"/>
    </row>
    <row r="60" spans="1:5" ht="14.25" customHeight="1">
      <c r="A60" s="42"/>
      <c r="B60" s="10"/>
      <c r="C60" s="10"/>
      <c r="D60" s="10" t="s">
        <v>5574</v>
      </c>
      <c r="E60" s="5"/>
    </row>
    <row r="61" spans="1:5" ht="14.25" customHeight="1">
      <c r="A61" s="42"/>
      <c r="B61" s="10"/>
      <c r="C61" s="10"/>
      <c r="D61" s="10"/>
      <c r="E61" s="5"/>
    </row>
    <row r="62" spans="1:5" ht="14.25" customHeight="1">
      <c r="A62" s="42"/>
      <c r="B62" s="10"/>
      <c r="C62" s="10"/>
      <c r="D62" s="10" t="s">
        <v>5575</v>
      </c>
      <c r="E62" s="5"/>
    </row>
    <row r="63" spans="1:5" ht="14.25" customHeight="1">
      <c r="A63" s="42"/>
      <c r="B63" s="10"/>
      <c r="C63" s="10"/>
      <c r="D63" s="10"/>
      <c r="E63" s="5"/>
    </row>
    <row r="64" spans="1:5" ht="14.25" customHeight="1">
      <c r="A64" s="42"/>
      <c r="B64" s="10"/>
      <c r="C64" s="10"/>
      <c r="D64" s="10" t="s">
        <v>5576</v>
      </c>
      <c r="E64" s="5"/>
    </row>
    <row r="65" spans="1:5" ht="14.25" customHeight="1">
      <c r="A65" s="42"/>
      <c r="B65" s="10"/>
      <c r="C65" s="10"/>
      <c r="D65" s="10"/>
      <c r="E65" s="5"/>
    </row>
    <row r="66" spans="1:5" ht="14.25" customHeight="1">
      <c r="A66" s="42"/>
      <c r="B66" s="10"/>
      <c r="C66" s="10"/>
      <c r="D66" s="10" t="s">
        <v>5577</v>
      </c>
      <c r="E66" s="5"/>
    </row>
    <row r="67" spans="1:5" ht="14.25" customHeight="1">
      <c r="A67" s="42"/>
      <c r="B67" s="10"/>
      <c r="C67" s="10"/>
      <c r="D67" s="10"/>
      <c r="E67" s="5"/>
    </row>
    <row r="68" spans="1:5" ht="14.25" customHeight="1">
      <c r="A68" s="42"/>
      <c r="B68" s="10"/>
      <c r="C68" s="10"/>
      <c r="D68" s="10" t="s">
        <v>5578</v>
      </c>
      <c r="E68" s="5"/>
    </row>
    <row r="69" spans="1:5" ht="14.25" customHeight="1">
      <c r="A69" s="42"/>
      <c r="B69" s="10"/>
      <c r="C69" s="10"/>
      <c r="D69" s="10"/>
      <c r="E69" s="5"/>
    </row>
    <row r="70" spans="1:5" ht="14.25" customHeight="1">
      <c r="A70" s="42"/>
      <c r="B70" s="10"/>
      <c r="C70" s="10"/>
      <c r="D70" s="10" t="s">
        <v>5579</v>
      </c>
      <c r="E70" s="5"/>
    </row>
    <row r="71" spans="1:5" ht="14.25" customHeight="1">
      <c r="A71" s="42"/>
      <c r="B71" s="10"/>
      <c r="C71" s="10"/>
      <c r="D71" s="10"/>
      <c r="E71" s="5"/>
    </row>
    <row r="72" spans="1:5" ht="14.25" customHeight="1">
      <c r="A72" s="42"/>
      <c r="B72" s="10"/>
      <c r="C72" s="10"/>
      <c r="D72" s="10" t="s">
        <v>5580</v>
      </c>
      <c r="E72" s="5"/>
    </row>
    <row r="73" spans="1:5" ht="14.25" customHeight="1">
      <c r="A73" s="42"/>
      <c r="B73" s="10"/>
      <c r="C73" s="10"/>
      <c r="D73" s="10"/>
      <c r="E73" s="5"/>
    </row>
    <row r="74" spans="1:5" ht="14.25" customHeight="1">
      <c r="A74" s="42"/>
      <c r="B74" s="10"/>
      <c r="C74" s="10"/>
      <c r="D74" s="10" t="s">
        <v>1158</v>
      </c>
      <c r="E74" s="5"/>
    </row>
    <row r="75" spans="1:5" ht="14.25" customHeight="1">
      <c r="A75" s="42"/>
      <c r="B75" s="10"/>
      <c r="C75" s="10"/>
      <c r="D75" s="10"/>
      <c r="E75" s="5"/>
    </row>
    <row r="76" spans="1:5" ht="14.25" customHeight="1">
      <c r="A76" s="42"/>
      <c r="B76" s="10"/>
      <c r="C76" s="10"/>
      <c r="D76" s="10" t="s">
        <v>5581</v>
      </c>
      <c r="E76" s="5"/>
    </row>
    <row r="77" spans="1:5" ht="14.25" customHeight="1">
      <c r="A77" s="42"/>
      <c r="B77" s="10"/>
      <c r="C77" s="10"/>
      <c r="D77" s="10"/>
      <c r="E77" s="5"/>
    </row>
    <row r="78" spans="1:5" ht="14.25" customHeight="1">
      <c r="A78" s="42"/>
      <c r="B78" s="10"/>
      <c r="C78" s="10"/>
      <c r="D78" s="10" t="s">
        <v>5582</v>
      </c>
      <c r="E78" s="5"/>
    </row>
    <row r="79" spans="1:5" ht="14.25" customHeight="1">
      <c r="A79" s="42"/>
      <c r="B79" s="10"/>
      <c r="C79" s="10"/>
      <c r="D79" s="10"/>
      <c r="E79" s="5"/>
    </row>
    <row r="80" spans="1:5" ht="14.25" customHeight="1">
      <c r="A80" s="42"/>
      <c r="B80" s="10"/>
      <c r="C80" s="10"/>
      <c r="D80" s="10" t="s">
        <v>5583</v>
      </c>
      <c r="E80" s="5"/>
    </row>
    <row r="81" spans="1:5" ht="14.25" customHeight="1">
      <c r="A81" s="42"/>
      <c r="B81" s="10"/>
      <c r="C81" s="10"/>
      <c r="D81" s="10"/>
      <c r="E81" s="5"/>
    </row>
    <row r="82" spans="1:5" ht="14.25" customHeight="1">
      <c r="A82" s="42"/>
      <c r="B82" s="10"/>
      <c r="C82" s="10"/>
      <c r="D82" s="10" t="s">
        <v>5584</v>
      </c>
      <c r="E82" s="5"/>
    </row>
    <row r="83" spans="1:5" ht="14.25" customHeight="1">
      <c r="A83" s="42"/>
      <c r="B83" s="10"/>
      <c r="C83" s="10"/>
      <c r="D83" s="10"/>
      <c r="E83" s="5"/>
    </row>
    <row r="84" spans="1:5" ht="14.25" customHeight="1">
      <c r="A84" s="42"/>
      <c r="B84" s="10"/>
      <c r="C84" s="10"/>
      <c r="D84" s="10" t="s">
        <v>5585</v>
      </c>
      <c r="E84" s="5"/>
    </row>
    <row r="85" spans="1:5" ht="14.25" customHeight="1">
      <c r="A85" s="42"/>
      <c r="B85" s="10"/>
      <c r="C85" s="10"/>
      <c r="D85" s="10"/>
      <c r="E85" s="5"/>
    </row>
    <row r="86" spans="1:5" ht="14.25" customHeight="1">
      <c r="A86" s="42"/>
      <c r="B86" s="10"/>
      <c r="C86" s="10"/>
      <c r="D86" s="10" t="s">
        <v>5586</v>
      </c>
      <c r="E86" s="5"/>
    </row>
    <row r="87" spans="1:5" ht="14.25" customHeight="1">
      <c r="A87" s="42"/>
      <c r="B87" s="10"/>
      <c r="C87" s="10"/>
      <c r="D87" s="10"/>
      <c r="E87" s="5"/>
    </row>
    <row r="88" spans="1:5" ht="14.25" customHeight="1">
      <c r="A88" s="42"/>
      <c r="B88" s="10"/>
      <c r="C88" s="10"/>
      <c r="D88" s="10" t="s">
        <v>5587</v>
      </c>
      <c r="E88" s="5"/>
    </row>
    <row r="89" spans="1:5" ht="14.25" customHeight="1">
      <c r="A89" s="42"/>
      <c r="B89" s="10"/>
      <c r="C89" s="10"/>
      <c r="D89" s="10"/>
      <c r="E89" s="5"/>
    </row>
    <row r="90" spans="1:5" ht="14.25" customHeight="1">
      <c r="A90" s="42"/>
      <c r="B90" s="10"/>
      <c r="C90" s="10"/>
      <c r="D90" s="10" t="s">
        <v>5588</v>
      </c>
      <c r="E90" s="5"/>
    </row>
    <row r="91" spans="1:5" ht="14.25" customHeight="1">
      <c r="A91" s="42"/>
      <c r="B91" s="10"/>
      <c r="C91" s="10"/>
      <c r="D91" s="10"/>
      <c r="E91" s="5"/>
    </row>
    <row r="92" spans="1:5" ht="14.25" customHeight="1">
      <c r="A92" s="42"/>
      <c r="B92" s="10"/>
      <c r="C92" s="10"/>
      <c r="D92" s="10" t="s">
        <v>5589</v>
      </c>
      <c r="E92" s="5"/>
    </row>
    <row r="93" spans="1:5" ht="14.25" customHeight="1">
      <c r="A93" s="42"/>
      <c r="B93" s="10"/>
      <c r="C93" s="10"/>
      <c r="D93" s="10"/>
      <c r="E93" s="5"/>
    </row>
    <row r="94" spans="1:5" ht="14.25" customHeight="1">
      <c r="A94" s="42"/>
      <c r="B94" s="10"/>
      <c r="C94" s="10"/>
      <c r="D94" s="10" t="s">
        <v>5590</v>
      </c>
      <c r="E94" s="5"/>
    </row>
    <row r="95" spans="1:5" ht="14.25" customHeight="1">
      <c r="A95" s="42"/>
      <c r="B95" s="10"/>
      <c r="C95" s="10"/>
      <c r="D95" s="10"/>
      <c r="E95" s="5"/>
    </row>
    <row r="96" spans="1:5" ht="14.25" customHeight="1">
      <c r="A96" s="42"/>
      <c r="B96" s="10"/>
      <c r="C96" s="10"/>
      <c r="D96" s="10" t="s">
        <v>5591</v>
      </c>
      <c r="E96" s="5"/>
    </row>
    <row r="97" spans="1:5" ht="14.25" customHeight="1">
      <c r="A97" s="42"/>
      <c r="B97" s="10"/>
      <c r="C97" s="10"/>
      <c r="D97" s="10"/>
      <c r="E97" s="5"/>
    </row>
    <row r="98" spans="1:5" ht="14.25" customHeight="1">
      <c r="A98" s="42"/>
      <c r="B98" s="10"/>
      <c r="C98" s="10"/>
      <c r="D98" s="10" t="s">
        <v>5592</v>
      </c>
      <c r="E98" s="5"/>
    </row>
    <row r="99" spans="1:5" ht="14.25" customHeight="1">
      <c r="A99" s="42"/>
      <c r="B99" s="10"/>
      <c r="C99" s="10"/>
      <c r="D99" s="10"/>
      <c r="E99" s="5"/>
    </row>
    <row r="100" spans="1:5" ht="14.25" customHeight="1">
      <c r="A100" s="42"/>
      <c r="B100" s="10"/>
      <c r="C100" s="10"/>
      <c r="D100" s="10" t="s">
        <v>5593</v>
      </c>
      <c r="E100" s="5"/>
    </row>
  </sheetData>
  <pageMargins left="0.75" right="0.75" top="1" bottom="1"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2" width="56.5546875" customWidth="1"/>
    <col min="3" max="3" width="19" customWidth="1"/>
    <col min="4" max="4" width="56.5546875" customWidth="1"/>
    <col min="5" max="5" width="56.88671875" customWidth="1"/>
  </cols>
  <sheetData>
    <row r="1" spans="1:5" ht="14.25" customHeight="1">
      <c r="A1" s="12" t="s">
        <v>5594</v>
      </c>
      <c r="E1" s="2"/>
    </row>
    <row r="2" spans="1:5" ht="14.25" customHeight="1">
      <c r="A2" s="41" t="s">
        <v>5595</v>
      </c>
      <c r="B2" s="41" t="s">
        <v>5596</v>
      </c>
      <c r="C2" s="42"/>
      <c r="D2" s="42" t="s">
        <v>5597</v>
      </c>
      <c r="E2" s="5" t="str">
        <f ca="1">IFERROR(__xludf.DUMMYFUNCTION("FILTER(D1:D1004,D1:D1004&lt;&gt; """")"),"Wǒ fēicháng xǐhuān dòngwù.")</f>
        <v>Wǒ fēicháng xǐhuān dòngwù.</v>
      </c>
    </row>
    <row r="3" spans="1:5" ht="14.25" customHeight="1">
      <c r="A3" s="41" t="s">
        <v>5598</v>
      </c>
      <c r="B3" s="41" t="s">
        <v>5599</v>
      </c>
      <c r="C3" s="42"/>
      <c r="D3" s="42"/>
      <c r="E3" s="6" t="str">
        <f ca="1">IFERROR(__xludf.DUMMYFUNCTION("""COMPUTED_VALUE"""),"Gǒu gǒu zài yáo wěibā.")</f>
        <v>Gǒu gǒu zài yáo wěibā.</v>
      </c>
    </row>
    <row r="4" spans="1:5" ht="14.25" customHeight="1">
      <c r="A4" s="41" t="s">
        <v>5600</v>
      </c>
      <c r="B4" s="41" t="s">
        <v>5601</v>
      </c>
      <c r="C4" s="42"/>
      <c r="D4" s="42" t="s">
        <v>5602</v>
      </c>
      <c r="E4" s="5" t="str">
        <f ca="1">IFERROR(__xludf.DUMMYFUNCTION("""COMPUTED_VALUE"""),"Māomī zài miāo miāo jiào.")</f>
        <v>Māomī zài miāo miāo jiào.</v>
      </c>
    </row>
    <row r="5" spans="1:5" ht="14.25" customHeight="1">
      <c r="A5" s="41" t="s">
        <v>5603</v>
      </c>
      <c r="B5" s="41" t="s">
        <v>5604</v>
      </c>
      <c r="C5" s="42"/>
      <c r="D5" s="42"/>
      <c r="E5" s="5" t="str">
        <f ca="1">IFERROR(__xludf.DUMMYFUNCTION("""COMPUTED_VALUE"""),"Gōngjī zài dàshēng tí jiào.")</f>
        <v>Gōngjī zài dàshēng tí jiào.</v>
      </c>
    </row>
    <row r="6" spans="1:5" ht="14.25" customHeight="1">
      <c r="A6" s="41" t="s">
        <v>5605</v>
      </c>
      <c r="B6" s="41" t="s">
        <v>5606</v>
      </c>
      <c r="C6" s="42"/>
      <c r="D6" s="42" t="s">
        <v>5607</v>
      </c>
      <c r="E6" s="5" t="str">
        <f ca="1">IFERROR(__xludf.DUMMYFUNCTION("""COMPUTED_VALUE"""),"Mǔ jī zài xiàdàn.")</f>
        <v>Mǔ jī zài xiàdàn.</v>
      </c>
    </row>
    <row r="7" spans="1:5" ht="14.25" customHeight="1">
      <c r="A7" s="41" t="s">
        <v>5608</v>
      </c>
      <c r="B7" s="41" t="s">
        <v>5609</v>
      </c>
      <c r="C7" s="42"/>
      <c r="D7" s="42"/>
      <c r="E7" s="5" t="str">
        <f ca="1">IFERROR(__xludf.DUMMYFUNCTION("""COMPUTED_VALUE"""),"Xiǎo jī zhēn kě'ài.")</f>
        <v>Xiǎo jī zhēn kě'ài.</v>
      </c>
    </row>
    <row r="8" spans="1:5" ht="14.25" customHeight="1">
      <c r="A8" s="41" t="s">
        <v>5610</v>
      </c>
      <c r="B8" s="41" t="s">
        <v>5611</v>
      </c>
      <c r="C8" s="42"/>
      <c r="D8" s="42" t="s">
        <v>5612</v>
      </c>
      <c r="E8" s="5" t="str">
        <f ca="1">IFERROR(__xludf.DUMMYFUNCTION("""COMPUTED_VALUE"""),"Yāzǐ zài chítáng lǐ yóuyǒng.")</f>
        <v>Yāzǐ zài chítáng lǐ yóuyǒng.</v>
      </c>
    </row>
    <row r="9" spans="1:5" ht="14.25" customHeight="1">
      <c r="A9" s="41" t="s">
        <v>5613</v>
      </c>
      <c r="B9" s="41" t="s">
        <v>5614</v>
      </c>
      <c r="C9" s="42"/>
      <c r="D9" s="42"/>
      <c r="E9" s="5" t="str">
        <f ca="1">IFERROR(__xludf.DUMMYFUNCTION("""COMPUTED_VALUE"""),"Niú zài chī cǎo.")</f>
        <v>Niú zài chī cǎo.</v>
      </c>
    </row>
    <row r="10" spans="1:5" ht="14.25" customHeight="1">
      <c r="A10" s="41" t="s">
        <v>5615</v>
      </c>
      <c r="B10" s="41" t="s">
        <v>5616</v>
      </c>
      <c r="C10" s="42"/>
      <c r="D10" s="42" t="s">
        <v>5617</v>
      </c>
      <c r="E10" s="5" t="str">
        <f ca="1">IFERROR(__xludf.DUMMYFUNCTION("""COMPUTED_VALUE"""),"Shuǐniú shì nóngmín de péngyǒu.")</f>
        <v>Shuǐniú shì nóngmín de péngyǒu.</v>
      </c>
    </row>
    <row r="11" spans="1:5" ht="14.25" customHeight="1">
      <c r="A11" s="41" t="s">
        <v>5618</v>
      </c>
      <c r="B11" s="41" t="s">
        <v>5619</v>
      </c>
      <c r="C11" s="42"/>
      <c r="D11" s="42"/>
      <c r="E11" s="5" t="str">
        <f ca="1">IFERROR(__xludf.DUMMYFUNCTION("""COMPUTED_VALUE"""),"Mǎ pǎo dé hěn kuài.")</f>
        <v>Mǎ pǎo dé hěn kuài.</v>
      </c>
    </row>
    <row r="12" spans="1:5" ht="14.25" customHeight="1">
      <c r="A12" s="41" t="s">
        <v>5620</v>
      </c>
      <c r="B12" s="41" t="s">
        <v>5621</v>
      </c>
      <c r="C12" s="42"/>
      <c r="D12" s="42" t="s">
        <v>5622</v>
      </c>
      <c r="E12" s="6" t="str">
        <f ca="1">IFERROR(__xludf.DUMMYFUNCTION("""COMPUTED_VALUE"""),"Wǒ xiǎng qímǎ.")</f>
        <v>Wǒ xiǎng qímǎ.</v>
      </c>
    </row>
    <row r="13" spans="1:5" ht="14.25" customHeight="1">
      <c r="A13" s="41" t="s">
        <v>5623</v>
      </c>
      <c r="B13" s="41" t="s">
        <v>5624</v>
      </c>
      <c r="C13" s="42"/>
      <c r="D13" s="42"/>
      <c r="E13" s="6" t="str">
        <f ca="1">IFERROR(__xludf.DUMMYFUNCTION("""COMPUTED_VALUE"""),"Zhū de bízǐ hěn yǒuqù.")</f>
        <v>Zhū de bízǐ hěn yǒuqù.</v>
      </c>
    </row>
    <row r="14" spans="1:5" ht="14.25" customHeight="1">
      <c r="A14" s="41" t="s">
        <v>5625</v>
      </c>
      <c r="B14" s="41" t="s">
        <v>5626</v>
      </c>
      <c r="C14" s="42"/>
      <c r="D14" s="42" t="s">
        <v>5627</v>
      </c>
      <c r="E14" s="6" t="str">
        <f ca="1">IFERROR(__xludf.DUMMYFUNCTION("""COMPUTED_VALUE"""),"Shānyáng zài miē miē jiào.")</f>
        <v>Shānyáng zài miē miē jiào.</v>
      </c>
    </row>
    <row r="15" spans="1:5" ht="14.25" customHeight="1">
      <c r="A15" s="41" t="s">
        <v>5628</v>
      </c>
      <c r="B15" s="41" t="s">
        <v>5629</v>
      </c>
      <c r="C15" s="42"/>
      <c r="D15" s="42"/>
      <c r="E15" s="6" t="str">
        <f ca="1">IFERROR(__xludf.DUMMYFUNCTION("""COMPUTED_VALUE"""),"Tùzǐ yǒu zhǎng zhǎng de ěrduǒ.")</f>
        <v>Tùzǐ yǒu zhǎng zhǎng de ěrduǒ.</v>
      </c>
    </row>
    <row r="16" spans="1:5" ht="14.25" customHeight="1">
      <c r="A16" s="41" t="s">
        <v>5630</v>
      </c>
      <c r="B16" s="41" t="s">
        <v>5631</v>
      </c>
      <c r="C16" s="42"/>
      <c r="D16" s="42" t="s">
        <v>5632</v>
      </c>
      <c r="E16" s="6" t="str">
        <f ca="1">IFERROR(__xludf.DUMMYFUNCTION("""COMPUTED_VALUE"""),"Lǎoshǔ zài chúfáng lǐ pǎo lái pǎo qù.")</f>
        <v>Lǎoshǔ zài chúfáng lǐ pǎo lái pǎo qù.</v>
      </c>
    </row>
    <row r="17" spans="1:5" ht="14.25" customHeight="1">
      <c r="A17" s="41" t="s">
        <v>5633</v>
      </c>
      <c r="B17" s="41" t="s">
        <v>5634</v>
      </c>
      <c r="C17" s="42"/>
      <c r="D17" s="42"/>
      <c r="E17" s="6" t="str">
        <f ca="1">IFERROR(__xludf.DUMMYFUNCTION("""COMPUTED_VALUE"""),"Niǎo er zài tiānshàng fēixiáng.")</f>
        <v>Niǎo er zài tiānshàng fēixiáng.</v>
      </c>
    </row>
    <row r="18" spans="1:5" ht="14.25" customHeight="1">
      <c r="A18" s="41" t="s">
        <v>5635</v>
      </c>
      <c r="B18" s="41" t="s">
        <v>5636</v>
      </c>
      <c r="C18" s="42"/>
      <c r="D18" s="42" t="s">
        <v>5637</v>
      </c>
      <c r="E18" s="5" t="str">
        <f ca="1">IFERROR(__xludf.DUMMYFUNCTION("""COMPUTED_VALUE"""),"Yīngwǔ huì mófǎng rén shuōhuà.")</f>
        <v>Yīngwǔ huì mófǎng rén shuōhuà.</v>
      </c>
    </row>
    <row r="19" spans="1:5" ht="14.25" customHeight="1">
      <c r="A19" s="41" t="s">
        <v>5638</v>
      </c>
      <c r="B19" s="41" t="s">
        <v>5639</v>
      </c>
      <c r="C19" s="42"/>
      <c r="D19" s="42"/>
      <c r="E19" s="4" t="str">
        <f ca="1">IFERROR(__xludf.DUMMYFUNCTION("""COMPUTED_VALUE"""),"Yú zài bōlí gāng lǐ yóu lái yóu qù.")</f>
        <v>Yú zài bōlí gāng lǐ yóu lái yóu qù.</v>
      </c>
    </row>
    <row r="20" spans="1:5" ht="14.25" customHeight="1">
      <c r="A20" s="41" t="s">
        <v>5640</v>
      </c>
      <c r="B20" s="41" t="s">
        <v>5641</v>
      </c>
      <c r="C20" s="42"/>
      <c r="D20" s="42" t="s">
        <v>5642</v>
      </c>
      <c r="E20" s="5" t="str">
        <f ca="1">IFERROR(__xludf.DUMMYFUNCTION("""COMPUTED_VALUE"""),"Wǒ xiǎng wèi yú.")</f>
        <v>Wǒ xiǎng wèi yú.</v>
      </c>
    </row>
    <row r="21" spans="1:5" ht="14.25" customHeight="1">
      <c r="A21" s="41" t="s">
        <v>5643</v>
      </c>
      <c r="B21" s="41" t="s">
        <v>5644</v>
      </c>
      <c r="C21" s="42"/>
      <c r="D21" s="42"/>
      <c r="E21" s="6" t="str">
        <f ca="1">IFERROR(__xludf.DUMMYFUNCTION("""COMPUTED_VALUE"""),"Lǎohǔ shēnshang yǒu fēicháng piàoliang de tiáowén.")</f>
        <v>Lǎohǔ shēnshang yǒu fēicháng piàoliang de tiáowén.</v>
      </c>
    </row>
    <row r="22" spans="1:5" ht="14.25" customHeight="1">
      <c r="A22" s="41" t="s">
        <v>5645</v>
      </c>
      <c r="B22" s="41" t="s">
        <v>5646</v>
      </c>
      <c r="C22" s="42"/>
      <c r="D22" s="42" t="s">
        <v>5647</v>
      </c>
      <c r="E22" s="6" t="str">
        <f ca="1">IFERROR(__xludf.DUMMYFUNCTION("""COMPUTED_VALUE"""),"Shīzǐ shì cónglín zhī wáng.")</f>
        <v>Shīzǐ shì cónglín zhī wáng.</v>
      </c>
    </row>
    <row r="23" spans="1:5" ht="14.25" customHeight="1">
      <c r="A23" s="41" t="s">
        <v>5648</v>
      </c>
      <c r="B23" s="41" t="s">
        <v>5649</v>
      </c>
      <c r="C23" s="42"/>
      <c r="D23" s="42"/>
      <c r="E23" s="6" t="str">
        <f ca="1">IFERROR(__xludf.DUMMYFUNCTION("""COMPUTED_VALUE"""),"Dà xiàng yǒu hěn zhǎng de bízǐ.")</f>
        <v>Dà xiàng yǒu hěn zhǎng de bízǐ.</v>
      </c>
    </row>
    <row r="24" spans="1:5" ht="14.25" customHeight="1">
      <c r="A24" s="41" t="s">
        <v>5650</v>
      </c>
      <c r="B24" s="41" t="s">
        <v>5651</v>
      </c>
      <c r="C24" s="42"/>
      <c r="D24" s="42" t="s">
        <v>5652</v>
      </c>
      <c r="E24" s="6" t="str">
        <f ca="1">IFERROR(__xludf.DUMMYFUNCTION("""COMPUTED_VALUE"""),"Chángjǐnglù yǒu hěn zhǎng de bózǐ!")</f>
        <v>Chángjǐnglù yǒu hěn zhǎng de bózǐ!</v>
      </c>
    </row>
    <row r="25" spans="1:5" ht="14.25" customHeight="1">
      <c r="A25" s="41" t="s">
        <v>5653</v>
      </c>
      <c r="B25" s="41" t="s">
        <v>5654</v>
      </c>
      <c r="C25" s="42"/>
      <c r="D25" s="42"/>
      <c r="E25" s="6" t="str">
        <f ca="1">IFERROR(__xludf.DUMMYFUNCTION("""COMPUTED_VALUE"""),"Hóuzǐ xǐhuān chī xiāngjiāo.")</f>
        <v>Hóuzǐ xǐhuān chī xiāngjiāo.</v>
      </c>
    </row>
    <row r="26" spans="1:5" ht="14.25" customHeight="1">
      <c r="A26" s="41" t="s">
        <v>5655</v>
      </c>
      <c r="B26" s="41" t="s">
        <v>5656</v>
      </c>
      <c r="C26" s="42"/>
      <c r="D26" s="42" t="s">
        <v>5657</v>
      </c>
      <c r="E26" s="6" t="str">
        <f ca="1">IFERROR(__xludf.DUMMYFUNCTION("""COMPUTED_VALUE"""),"Xióngmāo zhèngzài chī zhúzǐ.")</f>
        <v>Xióngmāo zhèngzài chī zhúzǐ.</v>
      </c>
    </row>
    <row r="27" spans="1:5" ht="14.25" customHeight="1">
      <c r="A27" s="41" t="s">
        <v>5658</v>
      </c>
      <c r="B27" s="41" t="s">
        <v>5659</v>
      </c>
      <c r="C27" s="42"/>
      <c r="D27" s="42"/>
      <c r="E27" s="6" t="str">
        <f ca="1">IFERROR(__xludf.DUMMYFUNCTION("""COMPUTED_VALUE"""),"Shé zài dìshàng páxíng.")</f>
        <v>Shé zài dìshàng páxíng.</v>
      </c>
    </row>
    <row r="28" spans="1:5" ht="14.25" customHeight="1">
      <c r="A28" s="41" t="s">
        <v>5660</v>
      </c>
      <c r="B28" s="41" t="s">
        <v>5661</v>
      </c>
      <c r="C28" s="42"/>
      <c r="D28" s="42" t="s">
        <v>5662</v>
      </c>
      <c r="E28" s="6" t="str">
        <f ca="1">IFERROR(__xludf.DUMMYFUNCTION("""COMPUTED_VALUE"""),"Wǒ hěn hàipà shé.")</f>
        <v>Wǒ hěn hàipà shé.</v>
      </c>
    </row>
    <row r="29" spans="1:5" ht="14.25" customHeight="1">
      <c r="A29" s="41" t="s">
        <v>5663</v>
      </c>
      <c r="B29" s="41" t="s">
        <v>5664</v>
      </c>
      <c r="C29" s="42"/>
      <c r="D29" s="42"/>
      <c r="E29" s="37" t="str">
        <f ca="1">IFERROR(__xludf.DUMMYFUNCTION("""COMPUTED_VALUE"""),"Èyú yǒu fēnglì de yáchǐ.")</f>
        <v>Èyú yǒu fēnglì de yáchǐ.</v>
      </c>
    </row>
    <row r="30" spans="1:5" ht="14.25" customHeight="1">
      <c r="A30" s="41" t="s">
        <v>5665</v>
      </c>
      <c r="B30" s="41" t="s">
        <v>5666</v>
      </c>
      <c r="C30" s="42"/>
      <c r="D30" s="42" t="s">
        <v>5667</v>
      </c>
      <c r="E30" s="6" t="str">
        <f ca="1">IFERROR(__xludf.DUMMYFUNCTION("""COMPUTED_VALUE"""),"Wūguī pá dé hěn màn.")</f>
        <v>Wūguī pá dé hěn màn.</v>
      </c>
    </row>
    <row r="31" spans="1:5" ht="14.25" customHeight="1">
      <c r="A31" s="41" t="s">
        <v>5668</v>
      </c>
      <c r="B31" s="41" t="s">
        <v>5669</v>
      </c>
      <c r="C31" s="42"/>
      <c r="D31" s="42"/>
      <c r="E31" s="4" t="str">
        <f ca="1">IFERROR(__xludf.DUMMYFUNCTION("""COMPUTED_VALUE"""),"Qīngwā zài yǔzhōng tiàoyuè.")</f>
        <v>Qīngwā zài yǔzhōng tiàoyuè.</v>
      </c>
    </row>
    <row r="32" spans="1:5" ht="14.25" customHeight="1">
      <c r="A32" s="41" t="s">
        <v>5670</v>
      </c>
      <c r="B32" s="41" t="s">
        <v>5671</v>
      </c>
      <c r="C32" s="42"/>
      <c r="D32" s="42" t="s">
        <v>5672</v>
      </c>
      <c r="E32" s="4" t="str">
        <f ca="1">IFERROR(__xludf.DUMMYFUNCTION("""COMPUTED_VALUE"""),"Pángxiè yǒu liǎng zhī dà áo.")</f>
        <v>Pángxiè yǒu liǎng zhī dà áo.</v>
      </c>
    </row>
    <row r="33" spans="1:5" ht="14.25" customHeight="1">
      <c r="A33" s="41" t="s">
        <v>5673</v>
      </c>
      <c r="B33" s="41" t="s">
        <v>5674</v>
      </c>
      <c r="C33" s="42"/>
      <c r="D33" s="42"/>
      <c r="E33" s="4" t="str">
        <f ca="1">IFERROR(__xludf.DUMMYFUNCTION("""COMPUTED_VALUE"""),"Xiā zài dàozhe yóu.")</f>
        <v>Xiā zài dàozhe yóu.</v>
      </c>
    </row>
    <row r="34" spans="1:5" ht="14.25" customHeight="1">
      <c r="A34" s="41" t="s">
        <v>5675</v>
      </c>
      <c r="B34" s="41" t="s">
        <v>5676</v>
      </c>
      <c r="C34" s="42"/>
      <c r="D34" s="42" t="s">
        <v>5677</v>
      </c>
      <c r="E34" s="4" t="str">
        <f ca="1">IFERROR(__xludf.DUMMYFUNCTION("""COMPUTED_VALUE"""),"Yóuyú pēn hēisè de mòzhī.")</f>
        <v>Yóuyú pēn hēisè de mòzhī.</v>
      </c>
    </row>
    <row r="35" spans="1:5" ht="14.25" customHeight="1">
      <c r="A35" s="41" t="s">
        <v>5678</v>
      </c>
      <c r="B35" s="41" t="s">
        <v>5679</v>
      </c>
      <c r="C35" s="42"/>
      <c r="D35" s="42"/>
      <c r="E35" s="8" t="str">
        <f ca="1">IFERROR(__xludf.DUMMYFUNCTION("""COMPUTED_VALUE"""),"Shāyú hěn kěpà.")</f>
        <v>Shāyú hěn kěpà.</v>
      </c>
    </row>
    <row r="36" spans="1:5" ht="14.25" customHeight="1">
      <c r="A36" s="41" t="s">
        <v>5680</v>
      </c>
      <c r="B36" s="41" t="s">
        <v>5681</v>
      </c>
      <c r="C36" s="42"/>
      <c r="D36" s="42" t="s">
        <v>5682</v>
      </c>
      <c r="E36" s="5" t="str">
        <f ca="1">IFERROR(__xludf.DUMMYFUNCTION("""COMPUTED_VALUE"""),"Hǎitún hěn cōngmíng.")</f>
        <v>Hǎitún hěn cōngmíng.</v>
      </c>
    </row>
    <row r="37" spans="1:5" ht="14.25" customHeight="1">
      <c r="A37" s="41" t="s">
        <v>5683</v>
      </c>
      <c r="B37" s="41" t="s">
        <v>5684</v>
      </c>
      <c r="C37" s="42"/>
      <c r="D37" s="42"/>
      <c r="E37" s="8" t="str">
        <f ca="1">IFERROR(__xludf.DUMMYFUNCTION("""COMPUTED_VALUE"""),"Jīngyú zài hǎilǐ tǐxíng jùdà.")</f>
        <v>Jīngyú zài hǎilǐ tǐxíng jùdà.</v>
      </c>
    </row>
    <row r="38" spans="1:5" ht="14.25" customHeight="1">
      <c r="A38" s="41" t="s">
        <v>5685</v>
      </c>
      <c r="B38" s="41" t="s">
        <v>5686</v>
      </c>
      <c r="C38" s="42"/>
      <c r="D38" s="42" t="s">
        <v>5687</v>
      </c>
      <c r="E38" s="5" t="str">
        <f ca="1">IFERROR(__xludf.DUMMYFUNCTION("""COMPUTED_VALUE"""),"Qì'é shēnghuó zài hánlěng dì dìfāng.")</f>
        <v>Qì'é shēnghuó zài hánlěng dì dìfāng.</v>
      </c>
    </row>
    <row r="39" spans="1:5" ht="14.25" customHeight="1">
      <c r="A39" s="41" t="s">
        <v>5688</v>
      </c>
      <c r="B39" s="41" t="s">
        <v>5689</v>
      </c>
      <c r="C39" s="42"/>
      <c r="D39" s="42"/>
      <c r="E39" s="6" t="str">
        <f ca="1">IFERROR(__xludf.DUMMYFUNCTION("""COMPUTED_VALUE"""),"Luòtuó shēnghuó zài shāmò lǐ.")</f>
        <v>Luòtuó shēnghuó zài shāmò lǐ.</v>
      </c>
    </row>
    <row r="40" spans="1:5" ht="14.25" customHeight="1">
      <c r="A40" s="41" t="s">
        <v>5690</v>
      </c>
      <c r="B40" s="41" t="s">
        <v>5691</v>
      </c>
      <c r="C40" s="42"/>
      <c r="D40" s="42" t="s">
        <v>5692</v>
      </c>
      <c r="E40" s="6" t="str">
        <f ca="1">IFERROR(__xludf.DUMMYFUNCTION("""COMPUTED_VALUE"""),"Dàishǔ de dùzǐ shàng yǒu yīgè yù'ér dài.")</f>
        <v>Dàishǔ de dùzǐ shàng yǒu yīgè yù'ér dài.</v>
      </c>
    </row>
    <row r="41" spans="1:5" ht="14.25" customHeight="1">
      <c r="A41" s="41" t="s">
        <v>5693</v>
      </c>
      <c r="B41" s="41" t="s">
        <v>5694</v>
      </c>
      <c r="C41" s="42"/>
      <c r="D41" s="42"/>
      <c r="E41" s="5" t="str">
        <f ca="1">IFERROR(__xludf.DUMMYFUNCTION("""COMPUTED_VALUE"""),"Bānmǎ yǒu liǎng zhǒng yánsè, hēisè hé báisè.")</f>
        <v>Bānmǎ yǒu liǎng zhǒng yánsè, hēisè hé báisè.</v>
      </c>
    </row>
    <row r="42" spans="1:5" ht="14.25" customHeight="1">
      <c r="A42" s="41" t="s">
        <v>5695</v>
      </c>
      <c r="B42" s="41" t="s">
        <v>5696</v>
      </c>
      <c r="C42" s="42"/>
      <c r="D42" s="42" t="s">
        <v>5697</v>
      </c>
      <c r="E42" s="4" t="str">
        <f ca="1">IFERROR(__xludf.DUMMYFUNCTION("""COMPUTED_VALUE"""),"Wǒ xǐhuān qù dòngwùyuán.")</f>
        <v>Wǒ xǐhuān qù dòngwùyuán.</v>
      </c>
    </row>
    <row r="43" spans="1:5" ht="14.25" customHeight="1">
      <c r="A43" s="41" t="s">
        <v>5698</v>
      </c>
      <c r="B43" s="41" t="s">
        <v>5699</v>
      </c>
      <c r="C43" s="42"/>
      <c r="D43" s="42"/>
      <c r="E43" s="5" t="str">
        <f ca="1">IFERROR(__xludf.DUMMYFUNCTION("""COMPUTED_VALUE"""),"Bùyào xìnòng dòngwù.")</f>
        <v>Bùyào xìnòng dòngwù.</v>
      </c>
    </row>
    <row r="44" spans="1:5" ht="14.25" customHeight="1">
      <c r="A44" s="41" t="s">
        <v>5700</v>
      </c>
      <c r="B44" s="41" t="s">
        <v>5701</v>
      </c>
      <c r="C44" s="42"/>
      <c r="D44" s="42" t="s">
        <v>5702</v>
      </c>
      <c r="E44" s="4" t="str">
        <f ca="1">IFERROR(__xludf.DUMMYFUNCTION("""COMPUTED_VALUE"""),"Zhàogù hǎo nǐ de chǒngwù.")</f>
        <v>Zhàogù hǎo nǐ de chǒngwù.</v>
      </c>
    </row>
    <row r="45" spans="1:5" ht="14.25" customHeight="1">
      <c r="A45" s="41" t="s">
        <v>5703</v>
      </c>
      <c r="B45" s="41" t="s">
        <v>5704</v>
      </c>
      <c r="C45" s="42"/>
      <c r="D45" s="42"/>
      <c r="E45" s="5" t="str">
        <f ca="1">IFERROR(__xludf.DUMMYFUNCTION("""COMPUTED_VALUE"""),"Gǒu shì zhōngchéng de péngyǒu.")</f>
        <v>Gǒu shì zhōngchéng de péngyǒu.</v>
      </c>
    </row>
    <row r="46" spans="1:5" ht="14.25" customHeight="1">
      <c r="A46" s="41" t="s">
        <v>5705</v>
      </c>
      <c r="B46" s="41" t="s">
        <v>5706</v>
      </c>
      <c r="C46" s="42"/>
      <c r="D46" s="42" t="s">
        <v>5707</v>
      </c>
      <c r="E46" s="4" t="str">
        <f ca="1">IFERROR(__xludf.DUMMYFUNCTION("""COMPUTED_VALUE"""),"Māo xǐhuān zhuā lǎoshǔ.")</f>
        <v>Māo xǐhuān zhuā lǎoshǔ.</v>
      </c>
    </row>
    <row r="47" spans="1:5" ht="14.25" customHeight="1">
      <c r="A47" s="41" t="s">
        <v>5708</v>
      </c>
      <c r="B47" s="41" t="s">
        <v>5709</v>
      </c>
      <c r="C47" s="42"/>
      <c r="D47" s="42"/>
      <c r="E47" s="4" t="str">
        <f ca="1">IFERROR(__xludf.DUMMYFUNCTION("""COMPUTED_VALUE"""),"Wǒ xiǎng yǎng yī zhǐ xiǎo gǒu.")</f>
        <v>Wǒ xiǎng yǎng yī zhǐ xiǎo gǒu.</v>
      </c>
    </row>
    <row r="48" spans="1:5" ht="14.25" customHeight="1">
      <c r="A48" s="41" t="s">
        <v>5710</v>
      </c>
      <c r="B48" s="41" t="s">
        <v>5711</v>
      </c>
      <c r="C48" s="42"/>
      <c r="D48" s="42" t="s">
        <v>5712</v>
      </c>
      <c r="E48" s="4" t="str">
        <f ca="1">IFERROR(__xludf.DUMMYFUNCTION("""COMPUTED_VALUE"""),"Zhè zhǐ niǎo de gēshēng zhēnměi.")</f>
        <v>Zhè zhǐ niǎo de gēshēng zhēnměi.</v>
      </c>
    </row>
    <row r="49" spans="1:5" ht="14.25" customHeight="1">
      <c r="A49" s="41" t="s">
        <v>5713</v>
      </c>
      <c r="B49" s="41" t="s">
        <v>5714</v>
      </c>
      <c r="C49" s="42"/>
      <c r="D49" s="42"/>
      <c r="E49" s="5" t="str">
        <f ca="1">IFERROR(__xludf.DUMMYFUNCTION("""COMPUTED_VALUE"""),"Dòngwù yě huì bēishāng.")</f>
        <v>Dòngwù yě huì bēishāng.</v>
      </c>
    </row>
    <row r="50" spans="1:5" ht="14.25" customHeight="1">
      <c r="A50" s="41" t="s">
        <v>5715</v>
      </c>
      <c r="B50" s="41" t="s">
        <v>5716</v>
      </c>
      <c r="C50" s="42"/>
      <c r="D50" s="42" t="s">
        <v>5717</v>
      </c>
      <c r="E50" s="6" t="str">
        <f ca="1">IFERROR(__xludf.DUMMYFUNCTION("""COMPUTED_VALUE"""),"Ràng wǒmen bǎohù tāmen.")</f>
        <v>Ràng wǒmen bǎohù tāmen.</v>
      </c>
    </row>
    <row r="51" spans="1:5" ht="14.25" customHeight="1">
      <c r="A51" s="41" t="s">
        <v>5718</v>
      </c>
      <c r="B51" s="41" t="s">
        <v>5719</v>
      </c>
      <c r="C51" s="42"/>
      <c r="D51" s="42"/>
      <c r="E51" s="6" t="str">
        <f ca="1">IFERROR(__xludf.DUMMYFUNCTION("""COMPUTED_VALUE"""),"Dòngwù shìjiè zhēn qímiào.")</f>
        <v>Dòngwù shìjiè zhēn qímiào.</v>
      </c>
    </row>
    <row r="52" spans="1:5" ht="14.25" customHeight="1">
      <c r="A52" s="42"/>
      <c r="B52" s="42"/>
      <c r="C52" s="42"/>
      <c r="D52" s="42" t="s">
        <v>5720</v>
      </c>
    </row>
    <row r="53" spans="1:5" ht="14.25" customHeight="1">
      <c r="A53" s="42"/>
      <c r="B53" s="42"/>
      <c r="C53" s="42"/>
      <c r="D53" s="42"/>
      <c r="E53" s="5"/>
    </row>
    <row r="54" spans="1:5" ht="14.25" customHeight="1">
      <c r="A54" s="42"/>
      <c r="B54" s="42"/>
      <c r="C54" s="42"/>
      <c r="D54" s="42" t="s">
        <v>5721</v>
      </c>
      <c r="E54" s="5"/>
    </row>
    <row r="55" spans="1:5" ht="14.25" customHeight="1">
      <c r="A55" s="42"/>
      <c r="B55" s="42"/>
      <c r="C55" s="42"/>
      <c r="D55" s="42"/>
      <c r="E55" s="5"/>
    </row>
    <row r="56" spans="1:5" ht="14.25" customHeight="1">
      <c r="A56" s="42"/>
      <c r="B56" s="42"/>
      <c r="C56" s="42"/>
      <c r="D56" s="42" t="s">
        <v>5722</v>
      </c>
      <c r="E56" s="5"/>
    </row>
    <row r="57" spans="1:5" ht="14.25" customHeight="1">
      <c r="A57" s="42"/>
      <c r="B57" s="42"/>
      <c r="C57" s="42"/>
      <c r="D57" s="42"/>
      <c r="E57" s="5"/>
    </row>
    <row r="58" spans="1:5" ht="14.25" customHeight="1">
      <c r="A58" s="42"/>
      <c r="B58" s="42"/>
      <c r="C58" s="42"/>
      <c r="D58" s="42" t="s">
        <v>5723</v>
      </c>
      <c r="E58" s="5"/>
    </row>
    <row r="59" spans="1:5" ht="14.25" customHeight="1">
      <c r="A59" s="42"/>
      <c r="B59" s="42"/>
      <c r="C59" s="42"/>
      <c r="D59" s="42"/>
    </row>
    <row r="60" spans="1:5" ht="14.25" customHeight="1">
      <c r="A60" s="42"/>
      <c r="B60" s="42"/>
      <c r="C60" s="42"/>
      <c r="D60" s="42" t="s">
        <v>5724</v>
      </c>
      <c r="E60" s="5"/>
    </row>
    <row r="61" spans="1:5" ht="14.25" customHeight="1">
      <c r="A61" s="42"/>
      <c r="B61" s="42"/>
      <c r="C61" s="42"/>
      <c r="D61" s="42"/>
      <c r="E61" s="5"/>
    </row>
    <row r="62" spans="1:5" ht="14.25" customHeight="1">
      <c r="A62" s="42"/>
      <c r="B62" s="42"/>
      <c r="C62" s="42"/>
      <c r="D62" s="42" t="s">
        <v>5725</v>
      </c>
      <c r="E62" s="5"/>
    </row>
    <row r="63" spans="1:5" ht="14.25" customHeight="1">
      <c r="A63" s="42"/>
      <c r="B63" s="42"/>
      <c r="C63" s="42"/>
      <c r="D63" s="42"/>
      <c r="E63" s="5"/>
    </row>
    <row r="64" spans="1:5" ht="14.25" customHeight="1">
      <c r="A64" s="42"/>
      <c r="B64" s="42"/>
      <c r="C64" s="42"/>
      <c r="D64" s="42" t="s">
        <v>5726</v>
      </c>
      <c r="E64" s="5"/>
    </row>
    <row r="65" spans="1:5" ht="14.25" customHeight="1">
      <c r="A65" s="42"/>
      <c r="B65" s="42"/>
      <c r="C65" s="42"/>
      <c r="D65" s="42"/>
      <c r="E65" s="5"/>
    </row>
    <row r="66" spans="1:5" ht="14.25" customHeight="1">
      <c r="A66" s="42"/>
      <c r="B66" s="42"/>
      <c r="C66" s="42"/>
      <c r="D66" s="42" t="s">
        <v>5727</v>
      </c>
      <c r="E66" s="5"/>
    </row>
    <row r="67" spans="1:5" ht="14.25" customHeight="1">
      <c r="A67" s="42"/>
      <c r="B67" s="42"/>
      <c r="C67" s="42"/>
      <c r="D67" s="42"/>
      <c r="E67" s="5"/>
    </row>
    <row r="68" spans="1:5" ht="14.25" customHeight="1">
      <c r="A68" s="42"/>
      <c r="B68" s="42"/>
      <c r="C68" s="42"/>
      <c r="D68" s="42" t="s">
        <v>5728</v>
      </c>
      <c r="E68" s="5"/>
    </row>
    <row r="69" spans="1:5" ht="14.25" customHeight="1">
      <c r="A69" s="42"/>
      <c r="B69" s="42"/>
      <c r="C69" s="42"/>
      <c r="D69" s="42"/>
      <c r="E69" s="5"/>
    </row>
    <row r="70" spans="1:5" ht="14.25" customHeight="1">
      <c r="A70" s="42"/>
      <c r="B70" s="42"/>
      <c r="C70" s="42"/>
      <c r="D70" s="42" t="s">
        <v>5729</v>
      </c>
      <c r="E70" s="5"/>
    </row>
    <row r="71" spans="1:5" ht="14.25" customHeight="1">
      <c r="A71" s="42"/>
      <c r="B71" s="42"/>
      <c r="C71" s="42"/>
      <c r="D71" s="42"/>
      <c r="E71" s="5"/>
    </row>
    <row r="72" spans="1:5" ht="14.25" customHeight="1">
      <c r="A72" s="42"/>
      <c r="B72" s="42"/>
      <c r="C72" s="42"/>
      <c r="D72" s="42" t="s">
        <v>5730</v>
      </c>
      <c r="E72" s="5"/>
    </row>
    <row r="73" spans="1:5" ht="14.25" customHeight="1">
      <c r="A73" s="42"/>
      <c r="B73" s="42"/>
      <c r="C73" s="42"/>
      <c r="D73" s="42"/>
      <c r="E73" s="5"/>
    </row>
    <row r="74" spans="1:5" ht="14.25" customHeight="1">
      <c r="A74" s="42"/>
      <c r="B74" s="42"/>
      <c r="C74" s="42"/>
      <c r="D74" s="42" t="s">
        <v>5731</v>
      </c>
      <c r="E74" s="5"/>
    </row>
    <row r="75" spans="1:5" ht="14.25" customHeight="1">
      <c r="A75" s="42"/>
      <c r="B75" s="42"/>
      <c r="C75" s="42"/>
      <c r="D75" s="42"/>
      <c r="E75" s="5"/>
    </row>
    <row r="76" spans="1:5" ht="14.25" customHeight="1">
      <c r="A76" s="42"/>
      <c r="B76" s="42"/>
      <c r="C76" s="42"/>
      <c r="D76" s="42" t="s">
        <v>5732</v>
      </c>
      <c r="E76" s="5"/>
    </row>
    <row r="77" spans="1:5" ht="14.25" customHeight="1">
      <c r="A77" s="42"/>
      <c r="B77" s="42"/>
      <c r="C77" s="42"/>
      <c r="D77" s="42"/>
      <c r="E77" s="5"/>
    </row>
    <row r="78" spans="1:5" ht="14.25" customHeight="1">
      <c r="A78" s="42"/>
      <c r="B78" s="42"/>
      <c r="C78" s="42"/>
      <c r="D78" s="42" t="s">
        <v>5733</v>
      </c>
      <c r="E78" s="5"/>
    </row>
    <row r="79" spans="1:5" ht="14.25" customHeight="1">
      <c r="A79" s="42"/>
      <c r="B79" s="42"/>
      <c r="C79" s="42"/>
      <c r="D79" s="42"/>
      <c r="E79" s="5"/>
    </row>
    <row r="80" spans="1:5" ht="14.25" customHeight="1">
      <c r="A80" s="42"/>
      <c r="B80" s="42"/>
      <c r="C80" s="42"/>
      <c r="D80" s="42" t="s">
        <v>5734</v>
      </c>
      <c r="E80" s="5"/>
    </row>
    <row r="81" spans="1:5" ht="14.25" customHeight="1">
      <c r="A81" s="42"/>
      <c r="B81" s="42"/>
      <c r="C81" s="42"/>
      <c r="D81" s="42"/>
      <c r="E81" s="5"/>
    </row>
    <row r="82" spans="1:5" ht="14.25" customHeight="1">
      <c r="A82" s="42"/>
      <c r="B82" s="42"/>
      <c r="C82" s="42"/>
      <c r="D82" s="42" t="s">
        <v>5735</v>
      </c>
      <c r="E82" s="5"/>
    </row>
    <row r="83" spans="1:5" ht="14.25" customHeight="1">
      <c r="A83" s="42"/>
      <c r="B83" s="42"/>
      <c r="C83" s="42"/>
      <c r="D83" s="42"/>
      <c r="E83" s="5"/>
    </row>
    <row r="84" spans="1:5" ht="14.25" customHeight="1">
      <c r="A84" s="42"/>
      <c r="B84" s="42"/>
      <c r="C84" s="42"/>
      <c r="D84" s="42" t="s">
        <v>5736</v>
      </c>
      <c r="E84" s="5"/>
    </row>
    <row r="85" spans="1:5" ht="14.25" customHeight="1">
      <c r="A85" s="42"/>
      <c r="B85" s="42"/>
      <c r="C85" s="42"/>
      <c r="D85" s="42"/>
      <c r="E85" s="5"/>
    </row>
    <row r="86" spans="1:5" ht="14.25" customHeight="1">
      <c r="A86" s="42"/>
      <c r="B86" s="42"/>
      <c r="C86" s="42"/>
      <c r="D86" s="42" t="s">
        <v>5737</v>
      </c>
      <c r="E86" s="5"/>
    </row>
    <row r="87" spans="1:5" ht="14.25" customHeight="1">
      <c r="A87" s="42"/>
      <c r="B87" s="42"/>
      <c r="C87" s="42"/>
      <c r="D87" s="42"/>
      <c r="E87" s="5"/>
    </row>
    <row r="88" spans="1:5" ht="14.25" customHeight="1">
      <c r="A88" s="42"/>
      <c r="B88" s="42"/>
      <c r="C88" s="42"/>
      <c r="D88" s="42" t="s">
        <v>5738</v>
      </c>
      <c r="E88" s="5"/>
    </row>
    <row r="89" spans="1:5" ht="14.25" customHeight="1">
      <c r="A89" s="42"/>
      <c r="B89" s="42"/>
      <c r="C89" s="42"/>
      <c r="D89" s="42"/>
      <c r="E89" s="5"/>
    </row>
    <row r="90" spans="1:5" ht="14.25" customHeight="1">
      <c r="A90" s="42"/>
      <c r="B90" s="42"/>
      <c r="C90" s="42"/>
      <c r="D90" s="42" t="s">
        <v>5739</v>
      </c>
      <c r="E90" s="5"/>
    </row>
    <row r="91" spans="1:5" ht="14.25" customHeight="1">
      <c r="A91" s="42"/>
      <c r="B91" s="42"/>
      <c r="C91" s="42"/>
      <c r="D91" s="42"/>
      <c r="E91" s="5"/>
    </row>
    <row r="92" spans="1:5" ht="14.25" customHeight="1">
      <c r="A92" s="42"/>
      <c r="B92" s="42"/>
      <c r="C92" s="42"/>
      <c r="D92" s="42" t="s">
        <v>5740</v>
      </c>
      <c r="E92" s="5"/>
    </row>
    <row r="93" spans="1:5" ht="14.25" customHeight="1">
      <c r="A93" s="42"/>
      <c r="B93" s="42"/>
      <c r="C93" s="42"/>
      <c r="D93" s="42"/>
      <c r="E93" s="5"/>
    </row>
    <row r="94" spans="1:5" ht="14.25" customHeight="1">
      <c r="A94" s="42"/>
      <c r="B94" s="42"/>
      <c r="C94" s="42"/>
      <c r="D94" s="42" t="s">
        <v>5741</v>
      </c>
      <c r="E94" s="5"/>
    </row>
    <row r="95" spans="1:5" ht="14.25" customHeight="1">
      <c r="A95" s="42"/>
      <c r="B95" s="42"/>
      <c r="C95" s="42"/>
      <c r="D95" s="42"/>
      <c r="E95" s="5"/>
    </row>
    <row r="96" spans="1:5" ht="14.25" customHeight="1">
      <c r="A96" s="42"/>
      <c r="B96" s="42"/>
      <c r="C96" s="42"/>
      <c r="D96" s="42" t="s">
        <v>5742</v>
      </c>
      <c r="E96" s="5"/>
    </row>
    <row r="97" spans="1:5" ht="14.25" customHeight="1">
      <c r="A97" s="42"/>
      <c r="B97" s="42"/>
      <c r="C97" s="42"/>
      <c r="D97" s="42"/>
      <c r="E97" s="5"/>
    </row>
    <row r="98" spans="1:5" ht="14.25" customHeight="1">
      <c r="A98" s="42"/>
      <c r="B98" s="42"/>
      <c r="C98" s="42"/>
      <c r="D98" s="42" t="s">
        <v>5743</v>
      </c>
      <c r="E98" s="5"/>
    </row>
    <row r="99" spans="1:5" ht="14.25" customHeight="1">
      <c r="A99" s="42"/>
      <c r="B99" s="42"/>
      <c r="C99" s="42"/>
      <c r="D99" s="42"/>
      <c r="E99" s="5"/>
    </row>
    <row r="100" spans="1:5" ht="14.25" customHeight="1">
      <c r="A100" s="42"/>
      <c r="B100" s="42"/>
      <c r="C100" s="42"/>
      <c r="D100" s="42" t="s">
        <v>5744</v>
      </c>
      <c r="E100" s="5"/>
    </row>
  </sheetData>
  <pageMargins left="0.75" right="0.75" top="1" bottom="1"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topLeftCell="B19" workbookViewId="0">
      <selection activeCell="B43" sqref="B43"/>
    </sheetView>
  </sheetViews>
  <sheetFormatPr defaultColWidth="14.44140625" defaultRowHeight="15" customHeight="1"/>
  <cols>
    <col min="1" max="1" width="38.109375" customWidth="1"/>
    <col min="2" max="2" width="64.88671875" customWidth="1"/>
    <col min="3" max="3" width="17.5546875" customWidth="1"/>
    <col min="4" max="4" width="64.88671875" customWidth="1"/>
    <col min="5" max="5" width="56.88671875" customWidth="1"/>
  </cols>
  <sheetData>
    <row r="1" spans="1:5" ht="14.25" customHeight="1">
      <c r="A1" s="12" t="s">
        <v>5745</v>
      </c>
      <c r="E1" s="2"/>
    </row>
    <row r="2" spans="1:5" ht="14.25" customHeight="1">
      <c r="A2" s="41" t="s">
        <v>5746</v>
      </c>
      <c r="B2" s="43" t="s">
        <v>5747</v>
      </c>
      <c r="C2" s="46"/>
      <c r="D2" s="46" t="s">
        <v>5748</v>
      </c>
      <c r="E2" s="5" t="str">
        <f ca="1">IFERROR(__xludf.DUMMYFUNCTION("FILTER(D1:D1002,D1:D1002&lt;&gt; """")"),"Zhuōzǐ shàng yǒuyī zhǐ mǎyǐ.")</f>
        <v>Zhuōzǐ shàng yǒuyī zhǐ mǎyǐ.</v>
      </c>
    </row>
    <row r="3" spans="1:5" ht="14.25" customHeight="1">
      <c r="A3" s="41" t="s">
        <v>5749</v>
      </c>
      <c r="B3" s="43" t="s">
        <v>5750</v>
      </c>
      <c r="C3" s="46"/>
      <c r="D3" s="46"/>
      <c r="E3" s="6" t="str">
        <f ca="1">IFERROR(__xludf.DUMMYFUNCTION("""COMPUTED_VALUE"""),"Mǎyǐ zhèngzài bānyùn tā de lièwù.")</f>
        <v>Mǎyǐ zhèngzài bānyùn tā de lièwù.</v>
      </c>
    </row>
    <row r="4" spans="1:5" ht="14.25" customHeight="1">
      <c r="A4" s="41" t="s">
        <v>5751</v>
      </c>
      <c r="B4" s="43" t="s">
        <v>5752</v>
      </c>
      <c r="C4" s="46"/>
      <c r="D4" s="46" t="s">
        <v>5753</v>
      </c>
      <c r="E4" s="5" t="str">
        <f ca="1">IFERROR(__xludf.DUMMYFUNCTION("""COMPUTED_VALUE"""),"Húdié de chìbǎng zhēn piàoliang.")</f>
        <v>Húdié de chìbǎng zhēn piàoliang.</v>
      </c>
    </row>
    <row r="5" spans="1:5" ht="14.25" customHeight="1">
      <c r="A5" s="41" t="s">
        <v>5754</v>
      </c>
      <c r="B5" s="43" t="s">
        <v>5755</v>
      </c>
      <c r="C5" s="46"/>
      <c r="D5" s="46"/>
      <c r="E5" s="5" t="str">
        <f ca="1">IFERROR(__xludf.DUMMYFUNCTION("""COMPUTED_VALUE"""),"Mìfēng zhèngzài xīshí huāmì.")</f>
        <v>Mìfēng zhèngzài xīshí huāmì.</v>
      </c>
    </row>
    <row r="6" spans="1:5" ht="14.25" customHeight="1">
      <c r="A6" s="41" t="s">
        <v>5756</v>
      </c>
      <c r="B6" s="43" t="s">
        <v>5757</v>
      </c>
      <c r="C6" s="46"/>
      <c r="D6" s="46" t="s">
        <v>5758</v>
      </c>
      <c r="E6" s="5" t="str">
        <f ca="1">IFERROR(__xludf.DUMMYFUNCTION("""COMPUTED_VALUE"""),"Xiǎoxīn bié bèi zhēle.")</f>
        <v>Xiǎoxīn bié bèi zhēle.</v>
      </c>
    </row>
    <row r="7" spans="1:5" ht="14.25" customHeight="1">
      <c r="A7" s="41" t="s">
        <v>5759</v>
      </c>
      <c r="B7" s="43" t="s">
        <v>5760</v>
      </c>
      <c r="C7" s="46"/>
      <c r="D7" s="46"/>
      <c r="E7" s="5" t="str">
        <f ca="1">IFERROR(__xludf.DUMMYFUNCTION("""COMPUTED_VALUE"""),"Yī zhǐ wénzǐ zài wǒ zhōuwéi fēi lái fēi qù.")</f>
        <v>Yī zhǐ wénzǐ zài wǒ zhōuwéi fēi lái fēi qù.</v>
      </c>
    </row>
    <row r="8" spans="1:5" ht="14.25" customHeight="1">
      <c r="A8" s="41" t="s">
        <v>5761</v>
      </c>
      <c r="B8" s="43" t="s">
        <v>5762</v>
      </c>
      <c r="C8" s="46"/>
      <c r="D8" s="46" t="s">
        <v>5763</v>
      </c>
      <c r="E8" s="5" t="str">
        <f ca="1">IFERROR(__xludf.DUMMYFUNCTION("""COMPUTED_VALUE"""),"Wǒ bèi wénzǐ yǎole, hǎo yǎng a.")</f>
        <v>Wǒ bèi wénzǐ yǎole, hǎo yǎng a.</v>
      </c>
    </row>
    <row r="9" spans="1:5" ht="14.25" customHeight="1">
      <c r="A9" s="41" t="s">
        <v>5764</v>
      </c>
      <c r="B9" s="43" t="s">
        <v>5765</v>
      </c>
      <c r="C9" s="46"/>
      <c r="D9" s="46"/>
      <c r="E9" s="5" t="str">
        <f ca="1">IFERROR(__xludf.DUMMYFUNCTION("""COMPUTED_VALUE"""),"Shūshu, qǐng bǎ cāngyíng gǎn zǒu.")</f>
        <v>Shūshu, qǐng bǎ cāngyíng gǎn zǒu.</v>
      </c>
    </row>
    <row r="10" spans="1:5" ht="14.25" customHeight="1">
      <c r="A10" s="41" t="s">
        <v>5766</v>
      </c>
      <c r="B10" s="43" t="s">
        <v>5767</v>
      </c>
      <c r="C10" s="46"/>
      <c r="D10" s="46" t="s">
        <v>5768</v>
      </c>
      <c r="E10" s="5" t="str">
        <f ca="1">IFERROR(__xludf.DUMMYFUNCTION("""COMPUTED_VALUE"""),"Cāngyíng hěn bù wèishēng.")</f>
        <v>Cāngyíng hěn bù wèishēng.</v>
      </c>
    </row>
    <row r="11" spans="1:5" ht="14.25" customHeight="1">
      <c r="A11" s="41" t="s">
        <v>5769</v>
      </c>
      <c r="B11" s="43" t="s">
        <v>5770</v>
      </c>
      <c r="C11" s="46"/>
      <c r="D11" s="46"/>
      <c r="E11" s="5" t="str">
        <f ca="1">IFERROR(__xludf.DUMMYFUNCTION("""COMPUTED_VALUE"""),"Yī zhǐ zhāngláng zhèngzài wūzǐ de jiǎoluò lǐ pá lái pá qù.")</f>
        <v>Yī zhǐ zhāngláng zhèngzài wūzǐ de jiǎoluò lǐ pá lái pá qù.</v>
      </c>
    </row>
    <row r="12" spans="1:5" ht="14.25" customHeight="1">
      <c r="A12" s="41" t="s">
        <v>5771</v>
      </c>
      <c r="B12" s="43" t="s">
        <v>5772</v>
      </c>
      <c r="C12" s="46"/>
      <c r="D12" s="46" t="s">
        <v>5773</v>
      </c>
      <c r="E12" s="6" t="str">
        <f ca="1">IFERROR(__xludf.DUMMYFUNCTION("""COMPUTED_VALUE"""),"Wǒ fēicháng hàipà zhāngláng!")</f>
        <v>Wǒ fēicháng hàipà zhāngláng!</v>
      </c>
    </row>
    <row r="13" spans="1:5" ht="14.25" customHeight="1">
      <c r="A13" s="41" t="s">
        <v>5774</v>
      </c>
      <c r="B13" s="43" t="s">
        <v>5775</v>
      </c>
      <c r="C13" s="46"/>
      <c r="D13" s="46"/>
      <c r="E13" s="6" t="str">
        <f ca="1">IFERROR(__xludf.DUMMYFUNCTION("""COMPUTED_VALUE"""),"Yī zhǐ zhīzhū zhèngzài zhī wǎng.")</f>
        <v>Yī zhǐ zhīzhū zhèngzài zhī wǎng.</v>
      </c>
    </row>
    <row r="14" spans="1:5" ht="14.25" customHeight="1">
      <c r="A14" s="41" t="s">
        <v>5776</v>
      </c>
      <c r="B14" s="43" t="s">
        <v>5777</v>
      </c>
      <c r="C14" s="46"/>
      <c r="D14" s="46" t="s">
        <v>5778</v>
      </c>
      <c r="E14" s="6" t="str">
        <f ca="1">IFERROR(__xludf.DUMMYFUNCTION("""COMPUTED_VALUE"""),"Zhīzhū yǒu bātiáo tuǐ.")</f>
        <v>Zhīzhū yǒu bātiáo tuǐ.</v>
      </c>
    </row>
    <row r="15" spans="1:5" ht="14.25" customHeight="1">
      <c r="A15" s="41" t="s">
        <v>5779</v>
      </c>
      <c r="B15" s="43" t="s">
        <v>5780</v>
      </c>
      <c r="C15" s="46"/>
      <c r="D15" s="46"/>
      <c r="E15" s="6" t="str">
        <f ca="1">IFERROR(__xludf.DUMMYFUNCTION("""COMPUTED_VALUE"""),"Qīngtíng dīkōng fēixíng yìwèizhe yào xià yǔle.")</f>
        <v>Qīngtíng dīkōng fēixíng yìwèizhe yào xià yǔle.</v>
      </c>
    </row>
    <row r="16" spans="1:5" ht="14.25" customHeight="1">
      <c r="A16" s="41" t="s">
        <v>5781</v>
      </c>
      <c r="B16" s="43" t="s">
        <v>5782</v>
      </c>
      <c r="C16" s="46"/>
      <c r="D16" s="46" t="s">
        <v>5783</v>
      </c>
      <c r="E16" s="6" t="str">
        <f ca="1">IFERROR(__xludf.DUMMYFUNCTION("""COMPUTED_VALUE"""),"Yínghuǒchóng zài yèlǐ fāguāng.")</f>
        <v>Yínghuǒchóng zài yèlǐ fāguāng.</v>
      </c>
    </row>
    <row r="17" spans="1:5" ht="14.25" customHeight="1">
      <c r="A17" s="41" t="s">
        <v>5784</v>
      </c>
      <c r="B17" s="43" t="s">
        <v>5785</v>
      </c>
      <c r="C17" s="46"/>
      <c r="D17" s="46"/>
      <c r="E17" s="6" t="str">
        <f ca="1">IFERROR(__xludf.DUMMYFUNCTION("""COMPUTED_VALUE"""),"Kàn, yī zhǐ piáo chóng!")</f>
        <v>Kàn, yī zhǐ piáo chóng!</v>
      </c>
    </row>
    <row r="18" spans="1:5" ht="14.25" customHeight="1">
      <c r="A18" s="41" t="s">
        <v>5786</v>
      </c>
      <c r="B18" s="43" t="s">
        <v>5787</v>
      </c>
      <c r="C18" s="46"/>
      <c r="D18" s="46" t="s">
        <v>5788</v>
      </c>
      <c r="E18" s="5" t="str">
        <f ca="1">IFERROR(__xludf.DUMMYFUNCTION("""COMPUTED_VALUE"""),"Tángláng yǒu liǎng bǎ “jiàn”.")</f>
        <v>Tángláng yǒu liǎng bǎ “jiàn”.</v>
      </c>
    </row>
    <row r="19" spans="1:5" ht="14.25" customHeight="1">
      <c r="A19" s="41" t="s">
        <v>5789</v>
      </c>
      <c r="B19" s="43" t="s">
        <v>5790</v>
      </c>
      <c r="C19" s="46"/>
      <c r="D19" s="46"/>
      <c r="E19" s="4" t="str">
        <f ca="1">IFERROR(__xludf.DUMMYFUNCTION("""COMPUTED_VALUE"""),"Máomao chóng zhèngzài chī shùyè.")</f>
        <v>Máomao chóng zhèngzài chī shùyè.</v>
      </c>
    </row>
    <row r="20" spans="1:5" ht="14.25" customHeight="1">
      <c r="A20" s="41" t="s">
        <v>5791</v>
      </c>
      <c r="B20" s="43" t="s">
        <v>5792</v>
      </c>
      <c r="C20" s="46"/>
      <c r="D20" s="46" t="s">
        <v>5793</v>
      </c>
      <c r="E20" s="5" t="str">
        <f ca="1">IFERROR(__xludf.DUMMYFUNCTION("""COMPUTED_VALUE"""),"Wǒ fēicháng hàipà máoróngróng de máomao chóng.")</f>
        <v>Wǒ fēicháng hàipà máoróngróng de máomao chóng.</v>
      </c>
    </row>
    <row r="21" spans="1:5" ht="14.25" customHeight="1">
      <c r="A21" s="41" t="s">
        <v>5794</v>
      </c>
      <c r="B21" s="43" t="s">
        <v>5795</v>
      </c>
      <c r="C21" s="46"/>
      <c r="D21" s="46"/>
      <c r="E21" s="6" t="str">
        <f ca="1">IFERROR(__xludf.DUMMYFUNCTION("""COMPUTED_VALUE"""),"Yī zhǐ zhàměng tiào dé hěn gāo.")</f>
        <v>Yī zhǐ zhàměng tiào dé hěn gāo.</v>
      </c>
    </row>
    <row r="22" spans="1:5" ht="14.25" customHeight="1">
      <c r="A22" s="41" t="s">
        <v>5796</v>
      </c>
      <c r="B22" s="43" t="s">
        <v>5797</v>
      </c>
      <c r="C22" s="46"/>
      <c r="D22" s="46" t="s">
        <v>5798</v>
      </c>
      <c r="E22" s="6" t="str">
        <f ca="1">IFERROR(__xludf.DUMMYFUNCTION("""COMPUTED_VALUE"""),"Xīshuài míngjiào.")</f>
        <v>Xīshuài míngjiào.</v>
      </c>
    </row>
    <row r="23" spans="1:5" ht="14.25" customHeight="1">
      <c r="A23" s="41" t="s">
        <v>5799</v>
      </c>
      <c r="B23" s="43" t="s">
        <v>5800</v>
      </c>
      <c r="C23" s="46"/>
      <c r="D23" s="46"/>
      <c r="E23" s="6" t="str">
        <f ca="1">IFERROR(__xludf.DUMMYFUNCTION("""COMPUTED_VALUE"""),"Wōniú zài qiáng shàng màn man páxíng.")</f>
        <v>Wōniú zài qiáng shàng màn man páxíng.</v>
      </c>
    </row>
    <row r="24" spans="1:5" ht="14.25" customHeight="1">
      <c r="A24" s="41" t="s">
        <v>5801</v>
      </c>
      <c r="B24" s="43" t="s">
        <v>5802</v>
      </c>
      <c r="C24" s="46"/>
      <c r="D24" s="46" t="s">
        <v>5803</v>
      </c>
      <c r="E24" s="6" t="str">
        <f ca="1">IFERROR(__xludf.DUMMYFUNCTION("""COMPUTED_VALUE"""),"Qiānzú chóng quánsuōzhe.")</f>
        <v>Qiānzú chóng quánsuōzhe.</v>
      </c>
    </row>
    <row r="25" spans="1:5" ht="14.25" customHeight="1">
      <c r="A25" s="41" t="s">
        <v>5804</v>
      </c>
      <c r="B25" s="43" t="s">
        <v>5805</v>
      </c>
      <c r="C25" s="46"/>
      <c r="D25" s="46"/>
      <c r="E25" s="6" t="str">
        <f ca="1">IFERROR(__xludf.DUMMYFUNCTION("""COMPUTED_VALUE"""),"Wúgōng yǒu hěnduō tuǐ.")</f>
        <v>Wúgōng yǒu hěnduō tuǐ.</v>
      </c>
    </row>
    <row r="26" spans="1:5" ht="14.25" customHeight="1">
      <c r="A26" s="41" t="s">
        <v>5806</v>
      </c>
      <c r="B26" s="43" t="s">
        <v>5807</v>
      </c>
      <c r="C26" s="46"/>
      <c r="D26" s="46" t="s">
        <v>5808</v>
      </c>
      <c r="E26" s="7" t="str">
        <f ca="1">IFERROR(__xludf.DUMMYFUNCTION("""COMPUTED_VALUE"""),"Xiǎoxīn, wúgōng yǒudú. ")</f>
        <v xml:space="preserve">Xiǎoxīn, wúgōng yǒudú. </v>
      </c>
    </row>
    <row r="27" spans="1:5" ht="14.25" customHeight="1">
      <c r="A27" s="41" t="s">
        <v>5809</v>
      </c>
      <c r="B27" s="43" t="s">
        <v>5810</v>
      </c>
      <c r="C27" s="46"/>
      <c r="D27" s="46"/>
      <c r="E27" s="6" t="str">
        <f ca="1">IFERROR(__xludf.DUMMYFUNCTION("""COMPUTED_VALUE"""),"Chán zài xiàtiān míngjiào dé hěn xiǎngliàng.")</f>
        <v>Chán zài xiàtiān míngjiào dé hěn xiǎngliàng.</v>
      </c>
    </row>
    <row r="28" spans="1:5" ht="14.25" customHeight="1">
      <c r="A28" s="41" t="s">
        <v>5811</v>
      </c>
      <c r="B28" s="43" t="s">
        <v>5812</v>
      </c>
      <c r="C28" s="46"/>
      <c r="D28" s="46" t="s">
        <v>5813</v>
      </c>
      <c r="E28" s="6" t="str">
        <f ca="1">IFERROR(__xludf.DUMMYFUNCTION("""COMPUTED_VALUE"""),"Jiǎchóng zhèngzài gǔndòng yī tuán nítǔ.")</f>
        <v>Jiǎchóng zhèngzài gǔndòng yī tuán nítǔ.</v>
      </c>
    </row>
    <row r="29" spans="1:5" ht="14.25" customHeight="1">
      <c r="A29" s="41" t="s">
        <v>5814</v>
      </c>
      <c r="B29" s="43" t="s">
        <v>5815</v>
      </c>
      <c r="C29" s="46"/>
      <c r="D29" s="46"/>
      <c r="E29" s="37" t="str">
        <f ca="1">IFERROR(__xludf.DUMMYFUNCTION("""COMPUTED_VALUE"""),"Wǒ xǐhuān guānchá xiǎo kūnchóng.")</f>
        <v>Wǒ xǐhuān guānchá xiǎo kūnchóng.</v>
      </c>
    </row>
    <row r="30" spans="1:5" ht="14.25" customHeight="1">
      <c r="A30" s="41" t="s">
        <v>5816</v>
      </c>
      <c r="B30" s="43" t="s">
        <v>7723</v>
      </c>
      <c r="C30" s="46"/>
      <c r="D30" s="46" t="s">
        <v>5817</v>
      </c>
      <c r="E30" s="6" t="str">
        <f ca="1">IFERROR(__xludf.DUMMYFUNCTION("""COMPUTED_VALUE"""),"Kūnchóng duì zìránjiè yě hěn yǒuyòng.")</f>
        <v>Kūnchóng duì zìránjiè yě hěn yǒuyòng.</v>
      </c>
    </row>
    <row r="31" spans="1:5" ht="14.25" customHeight="1">
      <c r="A31" s="41" t="s">
        <v>5818</v>
      </c>
      <c r="B31" s="43" t="s">
        <v>5819</v>
      </c>
      <c r="C31" s="46"/>
      <c r="D31" s="46"/>
      <c r="E31" s="4" t="str">
        <f ca="1">IFERROR(__xludf.DUMMYFUNCTION("""COMPUTED_VALUE"""),"Bùyào cǎi dào tāmen.")</f>
        <v>Bùyào cǎi dào tāmen.</v>
      </c>
    </row>
    <row r="32" spans="1:5" ht="14.25" customHeight="1">
      <c r="A32" s="41" t="s">
        <v>5820</v>
      </c>
      <c r="B32" s="43" t="s">
        <v>5821</v>
      </c>
      <c r="C32" s="46"/>
      <c r="D32" s="46" t="s">
        <v>5822</v>
      </c>
      <c r="E32" s="4" t="str">
        <f ca="1">IFERROR(__xludf.DUMMYFUNCTION("""COMPUTED_VALUE"""),"Zhù mù chóng zhèngzài chī mùtou.")</f>
        <v>Zhù mù chóng zhèngzài chī mùtou.</v>
      </c>
    </row>
    <row r="33" spans="1:5" ht="14.25" customHeight="1">
      <c r="A33" s="41" t="s">
        <v>5823</v>
      </c>
      <c r="B33" s="43" t="s">
        <v>5824</v>
      </c>
      <c r="C33" s="46"/>
      <c r="D33" s="46"/>
      <c r="E33" s="4" t="str">
        <f ca="1">IFERROR(__xludf.DUMMYFUNCTION("""COMPUTED_VALUE"""),"Wǒmen jiā yǒu báiyǐ ma?")</f>
        <v>Wǒmen jiā yǒu báiyǐ ma?</v>
      </c>
    </row>
    <row r="34" spans="1:5" ht="14.25" customHeight="1">
      <c r="A34" s="41" t="s">
        <v>5825</v>
      </c>
      <c r="B34" s="43" t="s">
        <v>5826</v>
      </c>
      <c r="C34" s="46"/>
      <c r="D34" s="46" t="s">
        <v>5827</v>
      </c>
      <c r="E34" s="4" t="str">
        <f ca="1">IFERROR(__xludf.DUMMYFUNCTION("""COMPUTED_VALUE"""),"Gǒu bèi shàng de tiàozǎo.")</f>
        <v>Gǒu bèi shàng de tiàozǎo.</v>
      </c>
    </row>
    <row r="35" spans="1:5" ht="14.25" customHeight="1">
      <c r="A35" s="41" t="s">
        <v>5828</v>
      </c>
      <c r="B35" s="43" t="s">
        <v>5829</v>
      </c>
      <c r="C35" s="46"/>
      <c r="D35" s="46"/>
      <c r="E35" s="8" t="str">
        <f ca="1">IFERROR(__xludf.DUMMYFUNCTION("""COMPUTED_VALUE"""),"Yīng'ér tóu shàng de shīzǐ.")</f>
        <v>Yīng'ér tóu shàng de shīzǐ.</v>
      </c>
    </row>
    <row r="36" spans="1:5" ht="14.25" customHeight="1">
      <c r="A36" s="41" t="s">
        <v>5830</v>
      </c>
      <c r="B36" s="43" t="s">
        <v>5831</v>
      </c>
      <c r="C36" s="46"/>
      <c r="D36" s="46" t="s">
        <v>5832</v>
      </c>
      <c r="E36" s="5" t="str">
        <f ca="1">IFERROR(__xludf.DUMMYFUNCTION("""COMPUTED_VALUE"""),"Nǐ bìxū chèdǐ xǐ tóu.")</f>
        <v>Nǐ bìxū chèdǐ xǐ tóu.</v>
      </c>
    </row>
    <row r="37" spans="1:5" ht="14.25" customHeight="1">
      <c r="A37" s="41" t="s">
        <v>5833</v>
      </c>
      <c r="B37" s="43" t="s">
        <v>5834</v>
      </c>
      <c r="C37" s="46"/>
      <c r="D37" s="46"/>
      <c r="E37" s="8" t="str">
        <f ca="1">IFERROR(__xludf.DUMMYFUNCTION("""COMPUTED_VALUE"""),"Chòuchóng wén qǐlái hěn chòu.")</f>
        <v>Chòuchóng wén qǐlái hěn chòu.</v>
      </c>
    </row>
    <row r="38" spans="1:5" ht="14.25" customHeight="1">
      <c r="A38" s="41" t="s">
        <v>5835</v>
      </c>
      <c r="B38" s="43" t="s">
        <v>5836</v>
      </c>
      <c r="C38" s="46"/>
      <c r="D38" s="46" t="s">
        <v>5837</v>
      </c>
      <c r="E38" s="5" t="str">
        <f ca="1">IFERROR(__xludf.DUMMYFUNCTION("""COMPUTED_VALUE"""),"Cán tǔ sī zhì sī.")</f>
        <v>Cán tǔ sī zhì sī.</v>
      </c>
    </row>
    <row r="39" spans="1:5" ht="14.25" customHeight="1">
      <c r="A39" s="41" t="s">
        <v>5838</v>
      </c>
      <c r="B39" s="43" t="s">
        <v>7724</v>
      </c>
      <c r="C39" s="46"/>
      <c r="D39" s="46"/>
      <c r="E39" s="6" t="str">
        <f ca="1">IFERROR(__xludf.DUMMYFUNCTION("""COMPUTED_VALUE"""),"Kūnchóng yǒu gǔtou ma?")</f>
        <v>Kūnchóng yǒu gǔtou ma?</v>
      </c>
    </row>
    <row r="40" spans="1:5" ht="14.25" customHeight="1">
      <c r="A40" s="41" t="s">
        <v>5839</v>
      </c>
      <c r="B40" s="43" t="s">
        <v>5840</v>
      </c>
      <c r="C40" s="46"/>
      <c r="D40" s="46" t="s">
        <v>5841</v>
      </c>
      <c r="E40" s="6" t="str">
        <f ca="1">IFERROR(__xludf.DUMMYFUNCTION("""COMPUTED_VALUE"""),"Tāmen yǒu jiānyìng de wàiké.")</f>
        <v>Tāmen yǒu jiānyìng de wàiké.</v>
      </c>
    </row>
    <row r="41" spans="1:5" ht="14.25" customHeight="1">
      <c r="A41" s="41" t="s">
        <v>5842</v>
      </c>
      <c r="B41" s="43" t="s">
        <v>7725</v>
      </c>
      <c r="C41" s="46"/>
      <c r="D41" s="46"/>
      <c r="E41" s="5" t="str">
        <f ca="1">IFERROR(__xludf.DUMMYFUNCTION("""COMPUTED_VALUE"""),"Wénzǐ de yòuchóng shēnghuó zài shuǐ xià.")</f>
        <v>Wénzǐ de yòuchóng shēnghuó zài shuǐ xià.</v>
      </c>
    </row>
    <row r="42" spans="1:5" ht="14.25" customHeight="1">
      <c r="A42" s="41" t="s">
        <v>5843</v>
      </c>
      <c r="B42" s="43" t="s">
        <v>7726</v>
      </c>
      <c r="C42" s="46"/>
      <c r="D42" s="46" t="s">
        <v>5844</v>
      </c>
      <c r="E42" s="4" t="str">
        <f ca="1">IFERROR(__xludf.DUMMYFUNCTION("""COMPUTED_VALUE"""),"Wǒmen bìxū pái gàn jī shuǐ cáinéng shā sǐ wénzǐ.")</f>
        <v>Wǒmen bìxū pái gàn jī shuǐ cáinéng shā sǐ wénzǐ.</v>
      </c>
    </row>
    <row r="43" spans="1:5" ht="14.25" customHeight="1">
      <c r="A43" s="41" t="s">
        <v>5845</v>
      </c>
      <c r="B43" s="43" t="s">
        <v>7727</v>
      </c>
      <c r="C43" s="46"/>
      <c r="D43" s="46"/>
      <c r="E43" s="5" t="str">
        <f ca="1">IFERROR(__xludf.DUMMYFUNCTION("""COMPUTED_VALUE"""),"Wǒ yòng fàngdàjìng guānchá mǎyǐ.")</f>
        <v>Wǒ yòng fàngdàjìng guānchá mǎyǐ.</v>
      </c>
    </row>
    <row r="44" spans="1:5" ht="14.25" customHeight="1">
      <c r="A44" s="41" t="s">
        <v>5846</v>
      </c>
      <c r="B44" s="43" t="s">
        <v>5847</v>
      </c>
      <c r="C44" s="46"/>
      <c r="D44" s="46" t="s">
        <v>5848</v>
      </c>
      <c r="E44" s="4" t="str">
        <f ca="1">IFERROR(__xludf.DUMMYFUNCTION("""COMPUTED_VALUE"""),"Yǐ cháo zài dìxià.")</f>
        <v>Yǐ cháo zài dìxià.</v>
      </c>
    </row>
    <row r="45" spans="1:5" ht="14.25" customHeight="1">
      <c r="A45" s="41" t="s">
        <v>5849</v>
      </c>
      <c r="B45" s="43" t="s">
        <v>5850</v>
      </c>
      <c r="C45" s="46"/>
      <c r="D45" s="46"/>
      <c r="E45" s="5" t="str">
        <f ca="1">IFERROR(__xludf.DUMMYFUNCTION("""COMPUTED_VALUE"""),"Mìfēng niàngzào de fēngmì fēicháng tián.")</f>
        <v>Mìfēng niàngzào de fēngmì fēicháng tián.</v>
      </c>
    </row>
    <row r="46" spans="1:5" ht="14.25" customHeight="1">
      <c r="A46" s="41" t="s">
        <v>5851</v>
      </c>
      <c r="B46" s="43" t="s">
        <v>5852</v>
      </c>
      <c r="C46" s="46"/>
      <c r="D46" s="46" t="s">
        <v>5853</v>
      </c>
      <c r="E46" s="4" t="str">
        <f ca="1">IFERROR(__xludf.DUMMYFUNCTION("""COMPUTED_VALUE"""),"Wǒ xǐhuān húdié de yánsè.")</f>
        <v>Wǒ xǐhuān húdié de yánsè.</v>
      </c>
    </row>
    <row r="47" spans="1:5" ht="14.25" customHeight="1">
      <c r="A47" s="41" t="s">
        <v>5854</v>
      </c>
      <c r="B47" s="43" t="s">
        <v>5855</v>
      </c>
      <c r="C47" s="46"/>
      <c r="D47" s="46"/>
      <c r="E47" s="4" t="str">
        <f ca="1">IFERROR(__xludf.DUMMYFUNCTION("""COMPUTED_VALUE"""),"Zhè zhǒng kūnchóng jiào shénme míngzì?")</f>
        <v>Zhè zhǒng kūnchóng jiào shénme míngzì?</v>
      </c>
    </row>
    <row r="48" spans="1:5" ht="14.25" customHeight="1">
      <c r="A48" s="41" t="s">
        <v>1285</v>
      </c>
      <c r="B48" s="43" t="s">
        <v>5856</v>
      </c>
      <c r="C48" s="46"/>
      <c r="D48" s="46" t="s">
        <v>5857</v>
      </c>
      <c r="E48" s="4" t="str">
        <f ca="1">IFERROR(__xludf.DUMMYFUNCTION("""COMPUTED_VALUE"""),"Tā huì yǎo rén ma?")</f>
        <v>Tā huì yǎo rén ma?</v>
      </c>
    </row>
    <row r="49" spans="1:5" ht="14.25" customHeight="1">
      <c r="A49" s="41" t="s">
        <v>5858</v>
      </c>
      <c r="B49" s="43" t="s">
        <v>5859</v>
      </c>
      <c r="C49" s="46"/>
      <c r="D49" s="46"/>
      <c r="E49" s="5" t="str">
        <f ca="1">IFERROR(__xludf.DUMMYFUNCTION("""COMPUTED_VALUE"""),"Wǒ yào bǎ tā fàngshēng dào huāyuán lǐ.")</f>
        <v>Wǒ yào bǎ tā fàngshēng dào huāyuán lǐ.</v>
      </c>
    </row>
    <row r="50" spans="1:5" ht="14.25" customHeight="1">
      <c r="A50" s="41" t="s">
        <v>5860</v>
      </c>
      <c r="B50" s="43" t="s">
        <v>5861</v>
      </c>
      <c r="C50" s="46"/>
      <c r="D50" s="46" t="s">
        <v>5862</v>
      </c>
      <c r="E50" s="6" t="str">
        <f ca="1">IFERROR(__xludf.DUMMYFUNCTION("""COMPUTED_VALUE"""),"Ràng tāmen zìyóu zìzài dì shēnghuó ba.")</f>
        <v>Ràng tāmen zìyóu zìzài dì shēnghuó ba.</v>
      </c>
    </row>
    <row r="51" spans="1:5" ht="14.25" customHeight="1">
      <c r="A51" s="41" t="s">
        <v>5863</v>
      </c>
      <c r="B51" s="43" t="s">
        <v>5864</v>
      </c>
      <c r="C51" s="46"/>
      <c r="D51" s="46" t="s">
        <v>5865</v>
      </c>
      <c r="E51" s="6" t="str">
        <f ca="1">IFERROR(__xludf.DUMMYFUNCTION("""COMPUTED_VALUE"""),"Wǒmen zhōuwéi de zìránjiè rúcǐ fēngfù duōcǎi.")</f>
        <v>Wǒmen zhōuwéi de zìránjiè rúcǐ fēngfù duōcǎi.</v>
      </c>
    </row>
    <row r="52" spans="1:5" ht="14.25" customHeight="1">
      <c r="A52" s="42"/>
      <c r="B52" s="46"/>
      <c r="C52" s="46"/>
      <c r="D52" s="46" t="s">
        <v>5866</v>
      </c>
    </row>
    <row r="53" spans="1:5" ht="14.25" customHeight="1">
      <c r="A53" s="42"/>
      <c r="B53" s="46"/>
      <c r="C53" s="46"/>
      <c r="D53" s="46"/>
      <c r="E53" s="5"/>
    </row>
    <row r="54" spans="1:5" ht="14.25" customHeight="1">
      <c r="A54" s="42"/>
      <c r="B54" s="46"/>
      <c r="C54" s="46"/>
      <c r="D54" s="46" t="s">
        <v>5867</v>
      </c>
      <c r="E54" s="5"/>
    </row>
    <row r="55" spans="1:5" ht="14.25" customHeight="1">
      <c r="A55" s="42"/>
      <c r="B55" s="46"/>
      <c r="C55" s="46"/>
      <c r="D55" s="46"/>
      <c r="E55" s="5"/>
    </row>
    <row r="56" spans="1:5" ht="14.25" customHeight="1">
      <c r="A56" s="42"/>
      <c r="B56" s="46"/>
      <c r="C56" s="46"/>
      <c r="D56" s="46" t="s">
        <v>5868</v>
      </c>
      <c r="E56" s="5"/>
    </row>
    <row r="57" spans="1:5" ht="14.25" customHeight="1">
      <c r="A57" s="42"/>
      <c r="B57" s="46"/>
      <c r="C57" s="46"/>
      <c r="D57" s="46"/>
      <c r="E57" s="5"/>
    </row>
    <row r="58" spans="1:5" ht="14.25" customHeight="1">
      <c r="A58" s="42"/>
      <c r="B58" s="46"/>
      <c r="C58" s="46"/>
      <c r="D58" s="46" t="s">
        <v>5869</v>
      </c>
      <c r="E58" s="5"/>
    </row>
    <row r="59" spans="1:5" ht="14.25" customHeight="1">
      <c r="A59" s="42"/>
      <c r="B59" s="46"/>
      <c r="C59" s="46"/>
      <c r="D59" s="46"/>
    </row>
    <row r="60" spans="1:5" ht="14.25" customHeight="1">
      <c r="A60" s="42"/>
      <c r="B60" s="46"/>
      <c r="C60" s="46"/>
      <c r="D60" s="46" t="s">
        <v>5870</v>
      </c>
      <c r="E60" s="5"/>
    </row>
    <row r="61" spans="1:5" ht="14.25" customHeight="1">
      <c r="A61" s="42"/>
      <c r="B61" s="46"/>
      <c r="C61" s="46"/>
      <c r="D61" s="46"/>
      <c r="E61" s="5"/>
    </row>
    <row r="62" spans="1:5" ht="14.25" customHeight="1">
      <c r="A62" s="42"/>
      <c r="B62" s="46"/>
      <c r="C62" s="46"/>
      <c r="D62" s="46" t="s">
        <v>5871</v>
      </c>
      <c r="E62" s="5"/>
    </row>
    <row r="63" spans="1:5" ht="14.25" customHeight="1">
      <c r="A63" s="42"/>
      <c r="B63" s="46"/>
      <c r="C63" s="46"/>
      <c r="D63" s="46"/>
      <c r="E63" s="5"/>
    </row>
    <row r="64" spans="1:5" ht="14.25" customHeight="1">
      <c r="A64" s="42"/>
      <c r="B64" s="46"/>
      <c r="C64" s="46"/>
      <c r="D64" s="46" t="s">
        <v>5872</v>
      </c>
      <c r="E64" s="5"/>
    </row>
    <row r="65" spans="1:5" ht="14.25" customHeight="1">
      <c r="A65" s="42"/>
      <c r="B65" s="46"/>
      <c r="C65" s="46"/>
      <c r="D65" s="46"/>
      <c r="E65" s="5"/>
    </row>
    <row r="66" spans="1:5" ht="14.25" customHeight="1">
      <c r="A66" s="42"/>
      <c r="B66" s="46"/>
      <c r="C66" s="46"/>
      <c r="D66" s="46" t="s">
        <v>5873</v>
      </c>
      <c r="E66" s="5"/>
    </row>
    <row r="67" spans="1:5" ht="14.25" customHeight="1">
      <c r="A67" s="42"/>
      <c r="B67" s="46"/>
      <c r="C67" s="46"/>
      <c r="D67" s="46"/>
      <c r="E67" s="5"/>
    </row>
    <row r="68" spans="1:5" ht="14.25" customHeight="1">
      <c r="A68" s="42"/>
      <c r="B68" s="46"/>
      <c r="C68" s="46"/>
      <c r="D68" s="46" t="s">
        <v>5874</v>
      </c>
      <c r="E68" s="5"/>
    </row>
    <row r="69" spans="1:5" ht="14.25" customHeight="1">
      <c r="A69" s="42"/>
      <c r="B69" s="46"/>
      <c r="C69" s="46"/>
      <c r="D69" s="46"/>
      <c r="E69" s="5"/>
    </row>
    <row r="70" spans="1:5" ht="14.25" customHeight="1">
      <c r="A70" s="42"/>
      <c r="B70" s="46"/>
      <c r="C70" s="46"/>
      <c r="D70" s="46" t="s">
        <v>5875</v>
      </c>
      <c r="E70" s="5"/>
    </row>
    <row r="71" spans="1:5" ht="14.25" customHeight="1">
      <c r="A71" s="42"/>
      <c r="B71" s="46"/>
      <c r="C71" s="46"/>
      <c r="D71" s="46"/>
      <c r="E71" s="5"/>
    </row>
    <row r="72" spans="1:5" ht="14.25" customHeight="1">
      <c r="A72" s="42"/>
      <c r="B72" s="46"/>
      <c r="C72" s="46"/>
      <c r="D72" s="46" t="s">
        <v>5876</v>
      </c>
      <c r="E72" s="5"/>
    </row>
    <row r="73" spans="1:5" ht="14.25" customHeight="1">
      <c r="A73" s="42"/>
      <c r="B73" s="46"/>
      <c r="C73" s="46"/>
      <c r="D73" s="46"/>
      <c r="E73" s="5"/>
    </row>
    <row r="74" spans="1:5" ht="14.25" customHeight="1">
      <c r="A74" s="42"/>
      <c r="B74" s="46"/>
      <c r="C74" s="46"/>
      <c r="D74" s="46" t="s">
        <v>5877</v>
      </c>
      <c r="E74" s="5"/>
    </row>
    <row r="75" spans="1:5" ht="14.25" customHeight="1">
      <c r="A75" s="42"/>
      <c r="B75" s="46"/>
      <c r="C75" s="46"/>
      <c r="D75" s="46"/>
      <c r="E75" s="5"/>
    </row>
    <row r="76" spans="1:5" ht="14.25" customHeight="1">
      <c r="A76" s="42"/>
      <c r="B76" s="46"/>
      <c r="C76" s="46"/>
      <c r="D76" s="46" t="s">
        <v>5878</v>
      </c>
      <c r="E76" s="5"/>
    </row>
    <row r="77" spans="1:5" ht="14.25" customHeight="1">
      <c r="A77" s="42"/>
      <c r="B77" s="46"/>
      <c r="C77" s="46"/>
      <c r="D77" s="46"/>
      <c r="E77" s="5"/>
    </row>
    <row r="78" spans="1:5" ht="14.25" customHeight="1">
      <c r="A78" s="42"/>
      <c r="B78" s="46"/>
      <c r="C78" s="46"/>
      <c r="D78" s="46" t="s">
        <v>5879</v>
      </c>
      <c r="E78" s="5"/>
    </row>
    <row r="79" spans="1:5" ht="14.25" customHeight="1">
      <c r="A79" s="42"/>
      <c r="B79" s="46"/>
      <c r="C79" s="46"/>
      <c r="D79" s="46"/>
      <c r="E79" s="5"/>
    </row>
    <row r="80" spans="1:5" ht="14.25" customHeight="1">
      <c r="A80" s="42"/>
      <c r="B80" s="46"/>
      <c r="C80" s="46"/>
      <c r="D80" s="46" t="s">
        <v>5880</v>
      </c>
      <c r="E80" s="5"/>
    </row>
    <row r="81" spans="1:5" ht="14.25" customHeight="1">
      <c r="A81" s="42"/>
      <c r="B81" s="46"/>
      <c r="C81" s="46"/>
      <c r="D81" s="46"/>
      <c r="E81" s="5"/>
    </row>
    <row r="82" spans="1:5" ht="14.25" customHeight="1">
      <c r="A82" s="42"/>
      <c r="B82" s="46"/>
      <c r="C82" s="46"/>
      <c r="D82" s="46" t="s">
        <v>5881</v>
      </c>
      <c r="E82" s="5"/>
    </row>
    <row r="83" spans="1:5" ht="14.25" customHeight="1">
      <c r="A83" s="42"/>
      <c r="B83" s="46"/>
      <c r="C83" s="46"/>
      <c r="D83" s="46"/>
      <c r="E83" s="5"/>
    </row>
    <row r="84" spans="1:5" ht="14.25" customHeight="1">
      <c r="A84" s="42"/>
      <c r="B84" s="46"/>
      <c r="C84" s="46"/>
      <c r="D84" s="46" t="s">
        <v>5882</v>
      </c>
      <c r="E84" s="5"/>
    </row>
    <row r="85" spans="1:5" ht="14.25" customHeight="1">
      <c r="A85" s="42"/>
      <c r="B85" s="46"/>
      <c r="C85" s="46"/>
      <c r="D85" s="46"/>
      <c r="E85" s="5"/>
    </row>
    <row r="86" spans="1:5" ht="14.25" customHeight="1">
      <c r="A86" s="42"/>
      <c r="B86" s="46"/>
      <c r="C86" s="46"/>
      <c r="D86" s="46" t="s">
        <v>5883</v>
      </c>
      <c r="E86" s="5"/>
    </row>
    <row r="87" spans="1:5" ht="14.25" customHeight="1">
      <c r="A87" s="42"/>
      <c r="B87" s="46"/>
      <c r="C87" s="46"/>
      <c r="D87" s="46"/>
      <c r="E87" s="5"/>
    </row>
    <row r="88" spans="1:5" ht="14.25" customHeight="1">
      <c r="A88" s="42"/>
      <c r="B88" s="46"/>
      <c r="C88" s="46"/>
      <c r="D88" s="46" t="s">
        <v>5884</v>
      </c>
      <c r="E88" s="5"/>
    </row>
    <row r="89" spans="1:5" ht="14.25" customHeight="1">
      <c r="A89" s="42"/>
      <c r="B89" s="46"/>
      <c r="C89" s="46"/>
      <c r="D89" s="46"/>
      <c r="E89" s="5"/>
    </row>
    <row r="90" spans="1:5" ht="14.25" customHeight="1">
      <c r="A90" s="42"/>
      <c r="B90" s="46"/>
      <c r="C90" s="46"/>
      <c r="D90" s="46" t="s">
        <v>5885</v>
      </c>
      <c r="E90" s="5"/>
    </row>
    <row r="91" spans="1:5" ht="14.25" customHeight="1">
      <c r="A91" s="42"/>
      <c r="B91" s="46"/>
      <c r="C91" s="46"/>
      <c r="D91" s="46"/>
      <c r="E91" s="5"/>
    </row>
    <row r="92" spans="1:5" ht="14.25" customHeight="1">
      <c r="A92" s="42"/>
      <c r="B92" s="46"/>
      <c r="C92" s="46"/>
      <c r="D92" s="46" t="s">
        <v>1323</v>
      </c>
      <c r="E92" s="5"/>
    </row>
    <row r="93" spans="1:5" ht="14.25" customHeight="1">
      <c r="A93" s="42"/>
      <c r="B93" s="46"/>
      <c r="C93" s="46"/>
      <c r="D93" s="46"/>
      <c r="E93" s="5"/>
    </row>
    <row r="94" spans="1:5" ht="14.25" customHeight="1">
      <c r="A94" s="42"/>
      <c r="B94" s="46"/>
      <c r="C94" s="46"/>
      <c r="D94" s="46" t="s">
        <v>5886</v>
      </c>
      <c r="E94" s="5"/>
    </row>
    <row r="95" spans="1:5" ht="14.25" customHeight="1">
      <c r="A95" s="42"/>
      <c r="B95" s="46"/>
      <c r="C95" s="46"/>
      <c r="D95" s="46"/>
      <c r="E95" s="5"/>
    </row>
    <row r="96" spans="1:5" ht="14.25" customHeight="1">
      <c r="A96" s="42"/>
      <c r="B96" s="46"/>
      <c r="C96" s="46"/>
      <c r="D96" s="46" t="s">
        <v>5887</v>
      </c>
      <c r="E96" s="5"/>
    </row>
    <row r="97" spans="1:5" ht="14.25" customHeight="1">
      <c r="A97" s="42"/>
      <c r="B97" s="46"/>
      <c r="C97" s="46"/>
      <c r="D97" s="46"/>
      <c r="E97" s="5"/>
    </row>
    <row r="98" spans="1:5" ht="14.25" customHeight="1">
      <c r="A98" s="42"/>
      <c r="B98" s="46"/>
      <c r="C98" s="46"/>
      <c r="D98" s="46" t="s">
        <v>5888</v>
      </c>
      <c r="E98" s="5"/>
    </row>
  </sheetData>
  <pageMargins left="0.75" right="0.75" top="1" bottom="1"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1" width="54.5546875" customWidth="1"/>
    <col min="2" max="2" width="65.33203125" customWidth="1"/>
    <col min="3" max="3" width="31.5546875" customWidth="1"/>
    <col min="4" max="4" width="65.33203125" customWidth="1"/>
    <col min="5" max="5" width="56.88671875" customWidth="1"/>
  </cols>
  <sheetData>
    <row r="1" spans="1:5" ht="14.25" customHeight="1">
      <c r="A1" s="54" t="s">
        <v>5889</v>
      </c>
      <c r="E1" s="2"/>
    </row>
    <row r="2" spans="1:5" ht="14.25" customHeight="1">
      <c r="A2" s="41" t="s">
        <v>3944</v>
      </c>
      <c r="B2" s="41" t="s">
        <v>5890</v>
      </c>
      <c r="C2" s="42"/>
      <c r="D2" s="42" t="s">
        <v>5891</v>
      </c>
      <c r="E2" s="5" t="str">
        <f ca="1">IFERROR(__xludf.DUMMYFUNCTION("FILTER(D1:D1002,D1:D1002&lt;&gt; """")"),"Wǒ xǐhuān zǎoshang duànliàn.")</f>
        <v>Wǒ xǐhuān zǎoshang duànliàn.</v>
      </c>
    </row>
    <row r="3" spans="1:5" ht="14.25" customHeight="1">
      <c r="A3" s="41" t="s">
        <v>5892</v>
      </c>
      <c r="B3" s="41" t="s">
        <v>5893</v>
      </c>
      <c r="C3" s="42"/>
      <c r="D3" s="42"/>
      <c r="E3" s="6" t="str">
        <f ca="1">IFERROR(__xludf.DUMMYFUNCTION("""COMPUTED_VALUE"""),"Wǒmen yīqǐ qù mànpǎo ba.")</f>
        <v>Wǒmen yīqǐ qù mànpǎo ba.</v>
      </c>
    </row>
    <row r="4" spans="1:5" ht="14.25" customHeight="1">
      <c r="A4" s="41" t="s">
        <v>5894</v>
      </c>
      <c r="B4" s="41" t="s">
        <v>5895</v>
      </c>
      <c r="C4" s="42"/>
      <c r="D4" s="42" t="s">
        <v>5896</v>
      </c>
      <c r="E4" s="5" t="str">
        <f ca="1">IFERROR(__xludf.DUMMYFUNCTION("""COMPUTED_VALUE"""),"Nǐ xǐhuān dǎ lánqiú ma?")</f>
        <v>Nǐ xǐhuān dǎ lánqiú ma?</v>
      </c>
    </row>
    <row r="5" spans="1:5" ht="14.25" customHeight="1">
      <c r="A5" s="41" t="s">
        <v>5897</v>
      </c>
      <c r="B5" s="41" t="s">
        <v>5898</v>
      </c>
      <c r="C5" s="42"/>
      <c r="D5" s="42"/>
      <c r="E5" s="5" t="str">
        <f ca="1">IFERROR(__xludf.DUMMYFUNCTION("""COMPUTED_VALUE"""),"Wǒ xiǎng bǎ qiú tóu jìn lán kuāng.")</f>
        <v>Wǒ xiǎng bǎ qiú tóu jìn lán kuāng.</v>
      </c>
    </row>
    <row r="6" spans="1:5" ht="14.25" customHeight="1">
      <c r="A6" s="41" t="s">
        <v>5899</v>
      </c>
      <c r="B6" s="41" t="s">
        <v>5900</v>
      </c>
      <c r="C6" s="42"/>
      <c r="D6" s="42" t="s">
        <v>5901</v>
      </c>
      <c r="E6" s="5" t="str">
        <f ca="1">IFERROR(__xludf.DUMMYFUNCTION("""COMPUTED_VALUE"""),"Wǒ xǐhuān tī zúqiú.")</f>
        <v>Wǒ xǐhuān tī zúqiú.</v>
      </c>
    </row>
    <row r="7" spans="1:5" ht="14.25" customHeight="1">
      <c r="A7" s="41" t="s">
        <v>5902</v>
      </c>
      <c r="B7" s="41" t="s">
        <v>5903</v>
      </c>
      <c r="C7" s="42"/>
      <c r="D7" s="42"/>
      <c r="E7" s="5" t="str">
        <f ca="1">IFERROR(__xludf.DUMMYFUNCTION("""COMPUTED_VALUE"""),"Wǒmen yīqǐ tī zúqiú ba!")</f>
        <v>Wǒmen yīqǐ tī zúqiú ba!</v>
      </c>
    </row>
    <row r="8" spans="1:5" ht="14.25" customHeight="1">
      <c r="A8" s="41" t="s">
        <v>5904</v>
      </c>
      <c r="B8" s="41" t="s">
        <v>5905</v>
      </c>
      <c r="C8" s="42"/>
      <c r="D8" s="42" t="s">
        <v>5906</v>
      </c>
      <c r="E8" s="5" t="str">
        <f ca="1">IFERROR(__xludf.DUMMYFUNCTION("""COMPUTED_VALUE"""),"Wǒ xiǎng dāng shǒuményuán.")</f>
        <v>Wǒ xiǎng dāng shǒuményuán.</v>
      </c>
    </row>
    <row r="9" spans="1:5" ht="14.25" customHeight="1">
      <c r="A9" s="41" t="s">
        <v>5907</v>
      </c>
      <c r="B9" s="41" t="s">
        <v>5908</v>
      </c>
      <c r="C9" s="42"/>
      <c r="D9" s="42"/>
      <c r="E9" s="5" t="str">
        <f ca="1">IFERROR(__xludf.DUMMYFUNCTION("""COMPUTED_VALUE"""),"Nǐ pǎo dé zhēn kuài!")</f>
        <v>Nǐ pǎo dé zhēn kuài!</v>
      </c>
    </row>
    <row r="10" spans="1:5" ht="14.25" customHeight="1">
      <c r="A10" s="41" t="s">
        <v>5909</v>
      </c>
      <c r="B10" s="41" t="s">
        <v>5910</v>
      </c>
      <c r="C10" s="42"/>
      <c r="D10" s="42" t="s">
        <v>136</v>
      </c>
      <c r="E10" s="5" t="str">
        <f ca="1">IFERROR(__xludf.DUMMYFUNCTION("""COMPUTED_VALUE"""),"Wǒ xǐhuān yóuyǒng.")</f>
        <v>Wǒ xǐhuān yóuyǒng.</v>
      </c>
    </row>
    <row r="11" spans="1:5" ht="14.25" customHeight="1">
      <c r="A11" s="41" t="s">
        <v>5911</v>
      </c>
      <c r="B11" s="41" t="s">
        <v>5912</v>
      </c>
      <c r="C11" s="42"/>
      <c r="D11" s="42"/>
      <c r="E11" s="5" t="str">
        <f ca="1">IFERROR(__xludf.DUMMYFUNCTION("""COMPUTED_VALUE"""),"Bié wàngle dài yǒng jìng.")</f>
        <v>Bié wàngle dài yǒng jìng.</v>
      </c>
    </row>
    <row r="12" spans="1:5" ht="14.25" customHeight="1">
      <c r="A12" s="41" t="s">
        <v>5913</v>
      </c>
      <c r="B12" s="41" t="s">
        <v>5914</v>
      </c>
      <c r="C12" s="42"/>
      <c r="D12" s="42" t="s">
        <v>5915</v>
      </c>
      <c r="E12" s="6" t="str">
        <f ca="1">IFERROR(__xludf.DUMMYFUNCTION("""COMPUTED_VALUE"""),"Yǒngchí lǐ de shuǐ zhēn liángshuǎng!")</f>
        <v>Yǒngchí lǐ de shuǐ zhēn liángshuǎng!</v>
      </c>
    </row>
    <row r="13" spans="1:5" ht="14.25" customHeight="1">
      <c r="A13" s="41" t="s">
        <v>5916</v>
      </c>
      <c r="B13" s="41" t="s">
        <v>5917</v>
      </c>
      <c r="C13" s="42"/>
      <c r="D13" s="42"/>
      <c r="E13" s="6" t="str">
        <f ca="1">IFERROR(__xludf.DUMMYFUNCTION("""COMPUTED_VALUE"""),"Wǒ huì wāyǒng.")</f>
        <v>Wǒ huì wāyǒng.</v>
      </c>
    </row>
    <row r="14" spans="1:5" ht="14.25" customHeight="1">
      <c r="A14" s="41" t="s">
        <v>5918</v>
      </c>
      <c r="B14" s="41" t="s">
        <v>5919</v>
      </c>
      <c r="C14" s="42"/>
      <c r="D14" s="42" t="s">
        <v>5920</v>
      </c>
      <c r="E14" s="6" t="str">
        <f ca="1">IFERROR(__xludf.DUMMYFUNCTION("""COMPUTED_VALUE"""),"Wǒ xiǎng xué dǎ yǔmáoqiú.")</f>
        <v>Wǒ xiǎng xué dǎ yǔmáoqiú.</v>
      </c>
    </row>
    <row r="15" spans="1:5" ht="14.25" customHeight="1">
      <c r="A15" s="41" t="s">
        <v>5921</v>
      </c>
      <c r="B15" s="41" t="s">
        <v>5922</v>
      </c>
      <c r="C15" s="42"/>
      <c r="D15" s="42"/>
      <c r="E15" s="6" t="str">
        <f ca="1">IFERROR(__xludf.DUMMYFUNCTION("""COMPUTED_VALUE"""),"Wǒ kěyǐ jiè nǐ de qiúpāi ma?")</f>
        <v>Wǒ kěyǐ jiè nǐ de qiúpāi ma?</v>
      </c>
    </row>
    <row r="16" spans="1:5" ht="14.25" customHeight="1">
      <c r="A16" s="41" t="s">
        <v>5923</v>
      </c>
      <c r="B16" s="41" t="s">
        <v>5924</v>
      </c>
      <c r="C16" s="42"/>
      <c r="D16" s="42" t="s">
        <v>5925</v>
      </c>
      <c r="E16" s="6" t="str">
        <f ca="1">IFERROR(__xludf.DUMMYFUNCTION("""COMPUTED_VALUE"""),"Yǔmáoqiú fēi dé hào gāo a!")</f>
        <v>Yǔmáoqiú fēi dé hào gāo a!</v>
      </c>
    </row>
    <row r="17" spans="1:5" ht="14.25" customHeight="1">
      <c r="A17" s="41" t="s">
        <v>5926</v>
      </c>
      <c r="B17" s="41" t="s">
        <v>5927</v>
      </c>
      <c r="C17" s="42"/>
      <c r="D17" s="42"/>
      <c r="E17" s="6" t="str">
        <f ca="1">IFERROR(__xludf.DUMMYFUNCTION("""COMPUTED_VALUE"""),"Wǒ xǐhuān zài gōngyuán qí zìxíngchē.")</f>
        <v>Wǒ xǐhuān zài gōngyuán qí zìxíngchē.</v>
      </c>
    </row>
    <row r="18" spans="1:5" ht="14.25" customHeight="1">
      <c r="A18" s="41" t="s">
        <v>5928</v>
      </c>
      <c r="B18" s="41" t="s">
        <v>5929</v>
      </c>
      <c r="C18" s="42"/>
      <c r="D18" s="42" t="s">
        <v>2476</v>
      </c>
      <c r="E18" s="5" t="str">
        <f ca="1">IFERROR(__xludf.DUMMYFUNCTION("""COMPUTED_VALUE"""),"Dài shàng tou kuī, hǎo ma?")</f>
        <v>Dài shàng tou kuī, hǎo ma?</v>
      </c>
    </row>
    <row r="19" spans="1:5" ht="14.25" customHeight="1">
      <c r="A19" s="41" t="s">
        <v>5930</v>
      </c>
      <c r="B19" s="41" t="s">
        <v>5931</v>
      </c>
      <c r="C19" s="42"/>
      <c r="D19" s="42"/>
      <c r="E19" s="4" t="str">
        <f ca="1">IFERROR(__xludf.DUMMYFUNCTION("""COMPUTED_VALUE"""),"Wǒ xiǎng wán qiāoqiāobǎn.")</f>
        <v>Wǒ xiǎng wán qiāoqiāobǎn.</v>
      </c>
    </row>
    <row r="20" spans="1:5" ht="14.25" customHeight="1">
      <c r="A20" s="41" t="s">
        <v>5932</v>
      </c>
      <c r="B20" s="41" t="s">
        <v>5933</v>
      </c>
      <c r="C20" s="42"/>
      <c r="D20" s="42" t="s">
        <v>5934</v>
      </c>
      <c r="E20" s="5" t="str">
        <f ca="1">IFERROR(__xludf.DUMMYFUNCTION("""COMPUTED_VALUE"""),"Wǒ xǐhuān zuò zài qiūqiān shàng.")</f>
        <v>Wǒ xǐhuān zuò zài qiūqiān shàng.</v>
      </c>
    </row>
    <row r="21" spans="1:5" ht="14.25" customHeight="1">
      <c r="A21" s="41" t="s">
        <v>5935</v>
      </c>
      <c r="B21" s="41" t="s">
        <v>5936</v>
      </c>
      <c r="C21" s="42"/>
      <c r="D21" s="42"/>
      <c r="E21" s="6" t="str">
        <f ca="1">IFERROR(__xludf.DUMMYFUNCTION("""COMPUTED_VALUE"""),"Qǐng bāng wǒ tuī yīxià qiūqiān.")</f>
        <v>Qǐng bāng wǒ tuī yīxià qiūqiān.</v>
      </c>
    </row>
    <row r="22" spans="1:5" ht="14.25" customHeight="1">
      <c r="A22" s="41" t="s">
        <v>5937</v>
      </c>
      <c r="B22" s="41" t="s">
        <v>5938</v>
      </c>
      <c r="C22" s="42"/>
      <c r="D22" s="42" t="s">
        <v>5939</v>
      </c>
      <c r="E22" s="6" t="str">
        <f ca="1">IFERROR(__xludf.DUMMYFUNCTION("""COMPUTED_VALUE"""),"Wǒ zài wán huátī.")</f>
        <v>Wǒ zài wán huátī.</v>
      </c>
    </row>
    <row r="23" spans="1:5" ht="14.25" customHeight="1">
      <c r="A23" s="41" t="s">
        <v>5940</v>
      </c>
      <c r="B23" s="41" t="s">
        <v>5941</v>
      </c>
      <c r="C23" s="42"/>
      <c r="D23" s="42"/>
      <c r="E23" s="6" t="str">
        <f ca="1">IFERROR(__xludf.DUMMYFUNCTION("""COMPUTED_VALUE"""),"Zhēn hǎowán!")</f>
        <v>Zhēn hǎowán!</v>
      </c>
    </row>
    <row r="24" spans="1:5" ht="14.25" customHeight="1">
      <c r="A24" s="41" t="s">
        <v>5942</v>
      </c>
      <c r="B24" s="41" t="s">
        <v>5943</v>
      </c>
      <c r="C24" s="42"/>
      <c r="D24" s="42" t="s">
        <v>5944</v>
      </c>
      <c r="E24" s="6" t="str">
        <f ca="1">IFERROR(__xludf.DUMMYFUNCTION("""COMPUTED_VALUE"""),"Wǒ xiǎng wán zhuōmícáng.")</f>
        <v>Wǒ xiǎng wán zhuōmícáng.</v>
      </c>
    </row>
    <row r="25" spans="1:5" ht="14.25" customHeight="1">
      <c r="A25" s="41" t="s">
        <v>5945</v>
      </c>
      <c r="B25" s="41" t="s">
        <v>5946</v>
      </c>
      <c r="C25" s="42"/>
      <c r="D25" s="42"/>
      <c r="E25" s="6" t="str">
        <f ca="1">IFERROR(__xludf.DUMMYFUNCTION("""COMPUTED_VALUE"""),"Wǒ yào duǒ qǐlái, nǐ lái zhǎo wǒ!")</f>
        <v>Wǒ yào duǒ qǐlái, nǐ lái zhǎo wǒ!</v>
      </c>
    </row>
    <row r="26" spans="1:5" ht="14.25" customHeight="1">
      <c r="A26" s="41" t="s">
        <v>5947</v>
      </c>
      <c r="B26" s="41" t="s">
        <v>5948</v>
      </c>
      <c r="C26" s="42"/>
      <c r="D26" s="42" t="s">
        <v>5949</v>
      </c>
      <c r="E26" s="6" t="str">
        <f ca="1">IFERROR(__xludf.DUMMYFUNCTION("""COMPUTED_VALUE""")," Wǒ zhǎodào wǒ de péngyǒule!")</f>
        <v xml:space="preserve"> Wǒ zhǎodào wǒ de péngyǒule!</v>
      </c>
    </row>
    <row r="27" spans="1:5" ht="14.25" customHeight="1">
      <c r="A27" s="41" t="s">
        <v>5950</v>
      </c>
      <c r="B27" s="41" t="s">
        <v>5951</v>
      </c>
      <c r="C27" s="42"/>
      <c r="D27" s="42"/>
      <c r="E27" s="6" t="str">
        <f ca="1">IFERROR(__xludf.DUMMYFUNCTION("""COMPUTED_VALUE"""),"Wǒ xiǎng wán zhuōmícáng.")</f>
        <v>Wǒ xiǎng wán zhuōmícáng.</v>
      </c>
    </row>
    <row r="28" spans="1:5" ht="14.25" customHeight="1">
      <c r="A28" s="41" t="s">
        <v>5952</v>
      </c>
      <c r="B28" s="41" t="s">
        <v>5953</v>
      </c>
      <c r="C28" s="42"/>
      <c r="D28" s="42" t="s">
        <v>5954</v>
      </c>
      <c r="E28" s="6" t="str">
        <f ca="1">IFERROR(__xludf.DUMMYFUNCTION("""COMPUTED_VALUE"""),"Bié pǎo tài kuài, bùrán nǐ huì shuāi dǎo de!")</f>
        <v>Bié pǎo tài kuài, bùrán nǐ huì shuāi dǎo de!</v>
      </c>
    </row>
    <row r="29" spans="1:5" ht="14.25" customHeight="1">
      <c r="A29" s="41" t="s">
        <v>5955</v>
      </c>
      <c r="B29" s="41" t="s">
        <v>5956</v>
      </c>
      <c r="C29" s="42"/>
      <c r="D29" s="42"/>
      <c r="E29" s="37" t="str">
        <f ca="1">IFERROR(__xludf.DUMMYFUNCTION("""COMPUTED_VALUE"""),"Wǒ xǐhuān dēngshān.")</f>
        <v>Wǒ xǐhuān dēngshān.</v>
      </c>
    </row>
    <row r="30" spans="1:5" ht="14.25" customHeight="1">
      <c r="A30" s="41" t="s">
        <v>5957</v>
      </c>
      <c r="B30" s="41" t="s">
        <v>5958</v>
      </c>
      <c r="C30" s="42"/>
      <c r="D30" s="42" t="s">
        <v>5959</v>
      </c>
      <c r="E30" s="6" t="str">
        <f ca="1">IFERROR(__xludf.DUMMYFUNCTION("""COMPUTED_VALUE"""),"Shāndǐng de jǐngsè zhēnshi tàiměile!")</f>
        <v>Shāndǐng de jǐngsè zhēnshi tàiměile!</v>
      </c>
    </row>
    <row r="31" spans="1:5" ht="14.25" customHeight="1">
      <c r="A31" s="41" t="s">
        <v>5960</v>
      </c>
      <c r="B31" s="41" t="s">
        <v>3933</v>
      </c>
      <c r="C31" s="42"/>
      <c r="D31" s="42"/>
      <c r="E31" s="4" t="str">
        <f ca="1">IFERROR(__xludf.DUMMYFUNCTION("""COMPUTED_VALUE"""),"Wǒ xiǎng qù lùyíng.")</f>
        <v>Wǒ xiǎng qù lùyíng.</v>
      </c>
    </row>
    <row r="32" spans="1:5" ht="14.25" customHeight="1">
      <c r="A32" s="41" t="s">
        <v>5961</v>
      </c>
      <c r="B32" s="41" t="s">
        <v>5962</v>
      </c>
      <c r="C32" s="42"/>
      <c r="D32" s="42" t="s">
        <v>5963</v>
      </c>
      <c r="E32" s="4" t="str">
        <f ca="1">IFERROR(__xludf.DUMMYFUNCTION("""COMPUTED_VALUE"""),"Wǒmen huì shuì zài zhàngpéng lǐ ma?")</f>
        <v>Wǒmen huì shuì zài zhàngpéng lǐ ma?</v>
      </c>
    </row>
    <row r="33" spans="1:5" ht="14.25" customHeight="1">
      <c r="A33" s="41" t="s">
        <v>5964</v>
      </c>
      <c r="B33" s="41" t="s">
        <v>5965</v>
      </c>
      <c r="C33" s="42"/>
      <c r="D33" s="42"/>
      <c r="E33" s="4" t="str">
        <f ca="1">IFERROR(__xludf.DUMMYFUNCTION("""COMPUTED_VALUE"""),"Wǒ xǐhuān kǎo xiāngcháng.")</f>
        <v>Wǒ xǐhuān kǎo xiāngcháng.</v>
      </c>
    </row>
    <row r="34" spans="1:5" ht="14.25" customHeight="1">
      <c r="A34" s="41" t="s">
        <v>5966</v>
      </c>
      <c r="B34" s="41" t="s">
        <v>5967</v>
      </c>
      <c r="C34" s="42"/>
      <c r="D34" s="42" t="s">
        <v>5968</v>
      </c>
      <c r="E34" s="4" t="str">
        <f ca="1">IFERROR(__xludf.DUMMYFUNCTION("""COMPUTED_VALUE"""),"Wǒ xiǎng fàng fēngzhēng.")</f>
        <v>Wǒ xiǎng fàng fēngzhēng.</v>
      </c>
    </row>
    <row r="35" spans="1:5" ht="14.25" customHeight="1">
      <c r="A35" s="41" t="s">
        <v>5969</v>
      </c>
      <c r="B35" s="41" t="s">
        <v>5970</v>
      </c>
      <c r="C35" s="42"/>
      <c r="D35" s="42"/>
      <c r="E35" s="8" t="str">
        <f ca="1">IFERROR(__xludf.DUMMYFUNCTION("""COMPUTED_VALUE"""),"Fēng huì hěn dà, bǎ fēngzhēng chuī dé hěn gāo.")</f>
        <v>Fēng huì hěn dà, bǎ fēngzhēng chuī dé hěn gāo.</v>
      </c>
    </row>
    <row r="36" spans="1:5" ht="14.25" customHeight="1">
      <c r="A36" s="41" t="s">
        <v>5971</v>
      </c>
      <c r="B36" s="41" t="s">
        <v>5972</v>
      </c>
      <c r="C36" s="42"/>
      <c r="D36" s="42" t="s">
        <v>5973</v>
      </c>
      <c r="E36" s="5" t="str">
        <f ca="1">IFERROR(__xludf.DUMMYFUNCTION("""COMPUTED_VALUE"""),"Wǒ xǐhuān dǎ pīngpāng qiú.")</f>
        <v>Wǒ xǐhuān dǎ pīngpāng qiú.</v>
      </c>
    </row>
    <row r="37" spans="1:5" ht="14.25" customHeight="1">
      <c r="A37" s="41" t="s">
        <v>5974</v>
      </c>
      <c r="B37" s="41" t="s">
        <v>5975</v>
      </c>
      <c r="C37" s="42"/>
      <c r="D37" s="42"/>
      <c r="E37" s="8" t="str">
        <f ca="1">IFERROR(__xludf.DUMMYFUNCTION("""COMPUTED_VALUE"""),"Wǒ xiǎng liànxí táiquándào.")</f>
        <v>Wǒ xiǎng liànxí táiquándào.</v>
      </c>
    </row>
    <row r="38" spans="1:5" ht="14.25" customHeight="1">
      <c r="A38" s="41" t="s">
        <v>5976</v>
      </c>
      <c r="B38" s="41" t="s">
        <v>5977</v>
      </c>
      <c r="C38" s="42"/>
      <c r="D38" s="42" t="s">
        <v>5978</v>
      </c>
      <c r="E38" s="5" t="str">
        <f ca="1">IFERROR(__xludf.DUMMYFUNCTION("""COMPUTED_VALUE"""),"Wǒ huì biàn dé gèng qiángzhuàng.")</f>
        <v>Wǒ huì biàn dé gèng qiángzhuàng.</v>
      </c>
    </row>
    <row r="39" spans="1:5" ht="14.25" customHeight="1">
      <c r="A39" s="41" t="s">
        <v>5979</v>
      </c>
      <c r="B39" s="41" t="s">
        <v>5980</v>
      </c>
      <c r="C39" s="42"/>
      <c r="D39" s="42"/>
      <c r="E39" s="6" t="str">
        <f ca="1">IFERROR(__xludf.DUMMYFUNCTION("""COMPUTED_VALUE"""),"Nǐ xǐhuān tiàoshéng ma?")</f>
        <v>Nǐ xǐhuān tiàoshéng ma?</v>
      </c>
    </row>
    <row r="40" spans="1:5" ht="14.25" customHeight="1">
      <c r="A40" s="41" t="s">
        <v>5981</v>
      </c>
      <c r="B40" s="41" t="s">
        <v>5982</v>
      </c>
      <c r="C40" s="42"/>
      <c r="D40" s="42" t="s">
        <v>5983</v>
      </c>
      <c r="E40" s="6" t="str">
        <f ca="1">IFERROR(__xludf.DUMMYFUNCTION("""COMPUTED_VALUE"""),"Wǒ yǐjīng kěyǐ tiào 10 cìle.")</f>
        <v>Wǒ yǐjīng kěyǐ tiào 10 cìle.</v>
      </c>
    </row>
    <row r="41" spans="1:5" ht="14.25" customHeight="1">
      <c r="A41" s="41" t="s">
        <v>5984</v>
      </c>
      <c r="B41" s="41" t="s">
        <v>5985</v>
      </c>
      <c r="C41" s="42"/>
      <c r="D41" s="42"/>
      <c r="E41" s="5" t="str">
        <f ca="1">IFERROR(__xludf.DUMMYFUNCTION("""COMPUTED_VALUE"""),"Wǒ xǐhuān lúnhuá.")</f>
        <v>Wǒ xǐhuān lúnhuá.</v>
      </c>
    </row>
    <row r="42" spans="1:5" ht="14.25" customHeight="1">
      <c r="A42" s="41" t="s">
        <v>5986</v>
      </c>
      <c r="B42" s="41" t="s">
        <v>5987</v>
      </c>
      <c r="C42" s="42"/>
      <c r="D42" s="42" t="s">
        <v>5988</v>
      </c>
      <c r="E42" s="4" t="str">
        <f ca="1">IFERROR(__xludf.DUMMYFUNCTION("""COMPUTED_VALUE"""),"Bǎochí pínghéng!")</f>
        <v>Bǎochí pínghéng!</v>
      </c>
    </row>
    <row r="43" spans="1:5" ht="14.25" customHeight="1">
      <c r="A43" s="41" t="s">
        <v>5989</v>
      </c>
      <c r="B43" s="41" t="s">
        <v>5990</v>
      </c>
      <c r="C43" s="42"/>
      <c r="D43" s="42"/>
      <c r="E43" s="5" t="str">
        <f ca="1">IFERROR(__xludf.DUMMYFUNCTION("""COMPUTED_VALUE"""),"Wǒ xiǎng cānjiā yùndònghuì.")</f>
        <v>Wǒ xiǎng cānjiā yùndònghuì.</v>
      </c>
    </row>
    <row r="44" spans="1:5" ht="14.25" customHeight="1">
      <c r="A44" s="41" t="s">
        <v>5991</v>
      </c>
      <c r="B44" s="41" t="s">
        <v>5992</v>
      </c>
      <c r="C44" s="42"/>
      <c r="D44" s="42" t="s">
        <v>5993</v>
      </c>
      <c r="E44" s="4" t="str">
        <f ca="1">IFERROR(__xludf.DUMMYFUNCTION("""COMPUTED_VALUE"""),"Wǒ xiǎng yíngdé jīnpái.")</f>
        <v>Wǒ xiǎng yíngdé jīnpái.</v>
      </c>
    </row>
    <row r="45" spans="1:5" ht="14.25" customHeight="1">
      <c r="A45" s="41" t="s">
        <v>5994</v>
      </c>
      <c r="B45" s="41" t="s">
        <v>5995</v>
      </c>
      <c r="C45" s="42"/>
      <c r="D45" s="42"/>
      <c r="E45" s="5" t="str">
        <f ca="1">IFERROR(__xludf.DUMMYFUNCTION("""COMPUTED_VALUE"""),"Jiāyóu! Nǐ néng xíng de!")</f>
        <v>Jiāyóu! Nǐ néng xíng de!</v>
      </c>
    </row>
    <row r="46" spans="1:5" ht="14.25" customHeight="1">
      <c r="A46" s="41" t="s">
        <v>5996</v>
      </c>
      <c r="B46" s="41" t="s">
        <v>2426</v>
      </c>
      <c r="C46" s="42"/>
      <c r="D46" s="42" t="s">
        <v>5997</v>
      </c>
      <c r="E46" s="4" t="str">
        <f ca="1">IFERROR(__xludf.DUMMYFUNCTION("""COMPUTED_VALUE"""),"Wǒ yǒudiǎn lèile, kěyǐ xiūxí yīhuǐ'er ma?")</f>
        <v>Wǒ yǒudiǎn lèile, kěyǐ xiūxí yīhuǐ'er ma?</v>
      </c>
    </row>
    <row r="47" spans="1:5" ht="14.25" customHeight="1">
      <c r="A47" s="41" t="s">
        <v>5998</v>
      </c>
      <c r="B47" s="41" t="s">
        <v>5999</v>
      </c>
      <c r="C47" s="42"/>
      <c r="D47" s="42"/>
      <c r="E47" s="4" t="str">
        <f ca="1">IFERROR(__xludf.DUMMYFUNCTION("""COMPUTED_VALUE"""),"Hē diǎn shuǐ huīfù tǐlì.")</f>
        <v>Hē diǎn shuǐ huīfù tǐlì.</v>
      </c>
    </row>
    <row r="48" spans="1:5" ht="14.25" customHeight="1">
      <c r="A48" s="41" t="s">
        <v>6000</v>
      </c>
      <c r="B48" s="41" t="s">
        <v>6001</v>
      </c>
      <c r="C48" s="42"/>
      <c r="D48" s="42" t="s">
        <v>6002</v>
      </c>
      <c r="E48" s="4" t="str">
        <f ca="1">IFERROR(__xludf.DUMMYFUNCTION("""COMPUTED_VALUE"""),"Yùndòng yǒu zhù yú wǒmen bǎochí jiànkāng.")</f>
        <v>Yùndòng yǒu zhù yú wǒmen bǎochí jiànkāng.</v>
      </c>
    </row>
    <row r="49" spans="1:5" ht="14.25" customHeight="1">
      <c r="A49" s="41" t="s">
        <v>6003</v>
      </c>
      <c r="B49" s="41" t="s">
        <v>6004</v>
      </c>
      <c r="C49" s="42"/>
      <c r="D49" s="42" t="s">
        <v>6005</v>
      </c>
      <c r="E49" s="5" t="str">
        <f ca="1">IFERROR(__xludf.DUMMYFUNCTION("""COMPUTED_VALUE"""),"Wǒ xǐhuān měitiān duànliàn.")</f>
        <v>Wǒ xǐhuān měitiān duànliàn.</v>
      </c>
    </row>
    <row r="50" spans="1:5" ht="14.25" customHeight="1">
      <c r="A50" s="41" t="s">
        <v>6006</v>
      </c>
      <c r="B50" s="41" t="s">
        <v>6007</v>
      </c>
      <c r="C50" s="42"/>
      <c r="D50" s="42" t="s">
        <v>5997</v>
      </c>
      <c r="E50" s="6" t="str">
        <f ca="1">IFERROR(__xludf.DUMMYFUNCTION("""COMPUTED_VALUE"""),"Xièxiè nǐ péi wǒ wán.")</f>
        <v>Xièxiè nǐ péi wǒ wán.</v>
      </c>
    </row>
    <row r="51" spans="1:5" ht="14.25" customHeight="1">
      <c r="A51" s="41" t="s">
        <v>6008</v>
      </c>
      <c r="B51" s="41" t="s">
        <v>6009</v>
      </c>
      <c r="C51" s="42"/>
      <c r="D51" s="42"/>
      <c r="E51" s="6" t="str">
        <f ca="1">IFERROR(__xludf.DUMMYFUNCTION("""COMPUTED_VALUE"""),"Míngtiān zài wán ba!")</f>
        <v>Míngtiān zài wán ba!</v>
      </c>
    </row>
    <row r="52" spans="1:5" ht="14.25" customHeight="1">
      <c r="A52" s="42"/>
      <c r="B52" s="42"/>
      <c r="C52" s="42"/>
      <c r="D52" s="42" t="s">
        <v>6010</v>
      </c>
    </row>
    <row r="53" spans="1:5" ht="14.25" customHeight="1">
      <c r="A53" s="42"/>
      <c r="B53" s="42"/>
      <c r="C53" s="42"/>
      <c r="D53" s="42"/>
      <c r="E53" s="5"/>
    </row>
    <row r="54" spans="1:5" ht="14.25" customHeight="1">
      <c r="A54" s="42"/>
      <c r="B54" s="42"/>
      <c r="C54" s="42"/>
      <c r="D54" s="42" t="s">
        <v>6011</v>
      </c>
      <c r="E54" s="5"/>
    </row>
    <row r="55" spans="1:5" ht="14.25" customHeight="1">
      <c r="A55" s="42"/>
      <c r="B55" s="42"/>
      <c r="C55" s="42"/>
      <c r="D55" s="42"/>
      <c r="E55" s="5"/>
    </row>
    <row r="56" spans="1:5" ht="14.25" customHeight="1">
      <c r="A56" s="42"/>
      <c r="B56" s="42"/>
      <c r="C56" s="42"/>
      <c r="D56" s="42" t="s">
        <v>6012</v>
      </c>
      <c r="E56" s="5"/>
    </row>
    <row r="57" spans="1:5" ht="14.25" customHeight="1">
      <c r="A57" s="42"/>
      <c r="B57" s="42"/>
      <c r="C57" s="42"/>
      <c r="D57" s="42"/>
      <c r="E57" s="5"/>
    </row>
    <row r="58" spans="1:5" ht="14.25" customHeight="1">
      <c r="A58" s="42"/>
      <c r="B58" s="42"/>
      <c r="C58" s="42"/>
      <c r="D58" s="42" t="s">
        <v>6013</v>
      </c>
      <c r="E58" s="5"/>
    </row>
    <row r="59" spans="1:5" ht="14.25" customHeight="1">
      <c r="A59" s="42"/>
      <c r="B59" s="42"/>
      <c r="C59" s="42"/>
      <c r="D59" s="42"/>
    </row>
    <row r="60" spans="1:5" ht="14.25" customHeight="1">
      <c r="A60" s="42"/>
      <c r="B60" s="42"/>
      <c r="C60" s="42"/>
      <c r="D60" s="42" t="s">
        <v>6014</v>
      </c>
      <c r="E60" s="5"/>
    </row>
    <row r="61" spans="1:5" ht="14.25" customHeight="1">
      <c r="A61" s="42"/>
      <c r="B61" s="42"/>
      <c r="C61" s="42"/>
      <c r="D61" s="42"/>
      <c r="E61" s="5"/>
    </row>
    <row r="62" spans="1:5" ht="14.25" customHeight="1">
      <c r="A62" s="42"/>
      <c r="B62" s="42"/>
      <c r="C62" s="42"/>
      <c r="D62" s="42" t="s">
        <v>6015</v>
      </c>
      <c r="E62" s="5"/>
    </row>
    <row r="63" spans="1:5" ht="14.25" customHeight="1">
      <c r="A63" s="42"/>
      <c r="B63" s="42"/>
      <c r="C63" s="42"/>
      <c r="D63" s="42"/>
      <c r="E63" s="5"/>
    </row>
    <row r="64" spans="1:5" ht="14.25" customHeight="1">
      <c r="A64" s="42"/>
      <c r="B64" s="42"/>
      <c r="C64" s="42"/>
      <c r="D64" s="42" t="s">
        <v>6016</v>
      </c>
      <c r="E64" s="5"/>
    </row>
    <row r="65" spans="1:5" ht="14.25" customHeight="1">
      <c r="A65" s="42"/>
      <c r="B65" s="42"/>
      <c r="C65" s="42"/>
      <c r="D65" s="42"/>
      <c r="E65" s="5"/>
    </row>
    <row r="66" spans="1:5" ht="14.25" customHeight="1">
      <c r="A66" s="42"/>
      <c r="B66" s="42"/>
      <c r="C66" s="42"/>
      <c r="D66" s="42" t="s">
        <v>6017</v>
      </c>
      <c r="E66" s="5"/>
    </row>
    <row r="67" spans="1:5" ht="14.25" customHeight="1">
      <c r="A67" s="42"/>
      <c r="B67" s="42"/>
      <c r="C67" s="42"/>
      <c r="D67" s="42"/>
      <c r="E67" s="5"/>
    </row>
    <row r="68" spans="1:5" ht="14.25" customHeight="1">
      <c r="A68" s="42"/>
      <c r="B68" s="42"/>
      <c r="C68" s="42"/>
      <c r="D68" s="42" t="s">
        <v>6018</v>
      </c>
      <c r="E68" s="5"/>
    </row>
    <row r="69" spans="1:5" ht="14.25" customHeight="1">
      <c r="A69" s="42"/>
      <c r="B69" s="42"/>
      <c r="C69" s="42"/>
      <c r="D69" s="42"/>
      <c r="E69" s="5"/>
    </row>
    <row r="70" spans="1:5" ht="14.25" customHeight="1">
      <c r="A70" s="42"/>
      <c r="B70" s="42"/>
      <c r="C70" s="42"/>
      <c r="D70" s="42" t="s">
        <v>6019</v>
      </c>
      <c r="E70" s="5"/>
    </row>
    <row r="71" spans="1:5" ht="14.25" customHeight="1">
      <c r="A71" s="42"/>
      <c r="B71" s="42"/>
      <c r="C71" s="42"/>
      <c r="D71" s="42"/>
      <c r="E71" s="5"/>
    </row>
    <row r="72" spans="1:5" ht="14.25" customHeight="1">
      <c r="A72" s="42"/>
      <c r="B72" s="42"/>
      <c r="C72" s="42"/>
      <c r="D72" s="42" t="s">
        <v>6020</v>
      </c>
      <c r="E72" s="5"/>
    </row>
    <row r="73" spans="1:5" ht="14.25" customHeight="1">
      <c r="A73" s="42"/>
      <c r="B73" s="42"/>
      <c r="C73" s="42"/>
      <c r="D73" s="42"/>
      <c r="E73" s="5"/>
    </row>
    <row r="74" spans="1:5" ht="14.25" customHeight="1">
      <c r="A74" s="42"/>
      <c r="B74" s="42"/>
      <c r="C74" s="42"/>
      <c r="D74" s="42" t="s">
        <v>6021</v>
      </c>
      <c r="E74" s="5"/>
    </row>
    <row r="75" spans="1:5" ht="14.25" customHeight="1">
      <c r="A75" s="42"/>
      <c r="B75" s="42"/>
      <c r="C75" s="42"/>
      <c r="D75" s="42"/>
      <c r="E75" s="5"/>
    </row>
    <row r="76" spans="1:5" ht="14.25" customHeight="1">
      <c r="A76" s="42"/>
      <c r="B76" s="42"/>
      <c r="C76" s="42"/>
      <c r="D76" s="42" t="s">
        <v>6022</v>
      </c>
      <c r="E76" s="5"/>
    </row>
    <row r="77" spans="1:5" ht="14.25" customHeight="1">
      <c r="A77" s="42"/>
      <c r="B77" s="42"/>
      <c r="C77" s="42"/>
      <c r="D77" s="42"/>
      <c r="E77" s="5"/>
    </row>
    <row r="78" spans="1:5" ht="14.25" customHeight="1">
      <c r="A78" s="42"/>
      <c r="B78" s="42"/>
      <c r="C78" s="42"/>
      <c r="D78" s="42" t="s">
        <v>6023</v>
      </c>
      <c r="E78" s="5"/>
    </row>
    <row r="79" spans="1:5" ht="14.25" customHeight="1">
      <c r="A79" s="42"/>
      <c r="B79" s="42"/>
      <c r="C79" s="42"/>
      <c r="D79" s="42"/>
      <c r="E79" s="5"/>
    </row>
    <row r="80" spans="1:5" ht="14.25" customHeight="1">
      <c r="A80" s="42"/>
      <c r="B80" s="42"/>
      <c r="C80" s="42"/>
      <c r="D80" s="42" t="s">
        <v>6024</v>
      </c>
      <c r="E80" s="5"/>
    </row>
    <row r="81" spans="1:5" ht="14.25" customHeight="1">
      <c r="A81" s="42"/>
      <c r="B81" s="42"/>
      <c r="C81" s="42"/>
      <c r="D81" s="42"/>
      <c r="E81" s="5"/>
    </row>
    <row r="82" spans="1:5" ht="14.25" customHeight="1">
      <c r="A82" s="42"/>
      <c r="B82" s="42"/>
      <c r="C82" s="42"/>
      <c r="D82" s="42" t="s">
        <v>6025</v>
      </c>
      <c r="E82" s="5"/>
    </row>
    <row r="83" spans="1:5" ht="14.25" customHeight="1">
      <c r="A83" s="42"/>
      <c r="B83" s="42"/>
      <c r="C83" s="42"/>
      <c r="D83" s="42"/>
      <c r="E83" s="5"/>
    </row>
    <row r="84" spans="1:5" ht="14.25" customHeight="1">
      <c r="A84" s="42"/>
      <c r="B84" s="42"/>
      <c r="C84" s="42"/>
      <c r="D84" s="42" t="s">
        <v>6026</v>
      </c>
      <c r="E84" s="5"/>
    </row>
    <row r="85" spans="1:5" ht="14.25" customHeight="1">
      <c r="A85" s="42"/>
      <c r="B85" s="42"/>
      <c r="C85" s="42"/>
      <c r="D85" s="42"/>
      <c r="E85" s="5"/>
    </row>
    <row r="86" spans="1:5" ht="14.25" customHeight="1">
      <c r="A86" s="42"/>
      <c r="B86" s="42"/>
      <c r="C86" s="42"/>
      <c r="D86" s="42" t="s">
        <v>6027</v>
      </c>
      <c r="E86" s="5"/>
    </row>
    <row r="87" spans="1:5" ht="14.25" customHeight="1">
      <c r="A87" s="42"/>
      <c r="B87" s="42"/>
      <c r="C87" s="42"/>
      <c r="D87" s="42"/>
      <c r="E87" s="5"/>
    </row>
    <row r="88" spans="1:5" ht="14.25" customHeight="1">
      <c r="A88" s="42"/>
      <c r="B88" s="42"/>
      <c r="C88" s="42"/>
      <c r="D88" s="42" t="s">
        <v>6028</v>
      </c>
      <c r="E88" s="5"/>
    </row>
    <row r="89" spans="1:5" ht="14.25" customHeight="1">
      <c r="A89" s="42"/>
      <c r="B89" s="42"/>
      <c r="C89" s="42"/>
      <c r="D89" s="42"/>
      <c r="E89" s="5"/>
    </row>
    <row r="90" spans="1:5" ht="14.25" customHeight="1">
      <c r="A90" s="42"/>
      <c r="B90" s="42"/>
      <c r="C90" s="42"/>
      <c r="D90" s="42" t="s">
        <v>6029</v>
      </c>
      <c r="E90" s="5"/>
    </row>
    <row r="91" spans="1:5" ht="14.25" customHeight="1">
      <c r="A91" s="42"/>
      <c r="B91" s="42"/>
      <c r="C91" s="42"/>
      <c r="D91" s="42"/>
      <c r="E91" s="5"/>
    </row>
    <row r="92" spans="1:5" ht="14.25" customHeight="1">
      <c r="A92" s="42"/>
      <c r="B92" s="42"/>
      <c r="C92" s="42"/>
      <c r="D92" s="42" t="s">
        <v>6030</v>
      </c>
      <c r="E92" s="5"/>
    </row>
    <row r="93" spans="1:5" ht="14.25" customHeight="1">
      <c r="A93" s="42"/>
      <c r="B93" s="42"/>
      <c r="C93" s="42"/>
      <c r="D93" s="42"/>
      <c r="E93" s="5"/>
    </row>
    <row r="94" spans="1:5" ht="14.25" customHeight="1">
      <c r="A94" s="42"/>
      <c r="B94" s="42"/>
      <c r="C94" s="42"/>
      <c r="D94" s="42" t="s">
        <v>6031</v>
      </c>
      <c r="E94" s="5"/>
    </row>
    <row r="95" spans="1:5" ht="14.25" customHeight="1">
      <c r="A95" s="42"/>
      <c r="B95" s="42"/>
      <c r="C95" s="42"/>
      <c r="D95" s="42"/>
      <c r="E95" s="5"/>
    </row>
    <row r="96" spans="1:5" ht="14.25" customHeight="1">
      <c r="A96" s="42"/>
      <c r="B96" s="42"/>
      <c r="C96" s="42"/>
      <c r="D96" s="42" t="s">
        <v>6032</v>
      </c>
      <c r="E96" s="5"/>
    </row>
    <row r="97" spans="1:5" ht="14.25" customHeight="1">
      <c r="A97" s="42"/>
      <c r="B97" s="42"/>
      <c r="C97" s="42"/>
      <c r="D97" s="42"/>
      <c r="E97" s="5"/>
    </row>
    <row r="98" spans="1:5" ht="14.25" customHeight="1">
      <c r="A98" s="42"/>
      <c r="B98" s="42"/>
      <c r="C98" s="42"/>
      <c r="D98" s="42" t="s">
        <v>6033</v>
      </c>
      <c r="E98" s="5"/>
    </row>
  </sheetData>
  <pageMargins left="0.75" right="0.75" top="1" bottom="1"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2" width="56.88671875" customWidth="1"/>
    <col min="3" max="3" width="33.5546875" customWidth="1"/>
    <col min="4" max="5" width="56.88671875" customWidth="1"/>
  </cols>
  <sheetData>
    <row r="1" spans="1:5" ht="14.25" customHeight="1">
      <c r="A1" s="12" t="s">
        <v>6034</v>
      </c>
      <c r="E1" s="2"/>
    </row>
    <row r="2" spans="1:5" ht="14.25" customHeight="1">
      <c r="A2" s="41" t="s">
        <v>6035</v>
      </c>
      <c r="B2" s="43" t="s">
        <v>6036</v>
      </c>
      <c r="C2" s="46"/>
      <c r="D2" s="46" t="s">
        <v>6037</v>
      </c>
      <c r="E2" s="5" t="str">
        <f ca="1">IFERROR(__xludf.DUMMYFUNCTION("FILTER(D1:D1002,D1:D1002&lt;&gt; """")"),"Wǒ xǐhuān yìshù.")</f>
        <v>Wǒ xǐhuān yìshù.</v>
      </c>
    </row>
    <row r="3" spans="1:5" ht="14.25" customHeight="1">
      <c r="A3" s="41" t="s">
        <v>6038</v>
      </c>
      <c r="B3" s="43" t="s">
        <v>1218</v>
      </c>
      <c r="C3" s="46"/>
      <c r="D3" s="46"/>
      <c r="E3" s="6" t="str">
        <f ca="1">IFERROR(__xludf.DUMMYFUNCTION("""COMPUTED_VALUE"""),"Wǒ xiǎng huà yī fú huà.")</f>
        <v>Wǒ xiǎng huà yī fú huà.</v>
      </c>
    </row>
    <row r="4" spans="1:5" ht="14.25" customHeight="1">
      <c r="A4" s="41" t="s">
        <v>6039</v>
      </c>
      <c r="B4" s="43" t="s">
        <v>6040</v>
      </c>
      <c r="C4" s="46"/>
      <c r="D4" s="46" t="s">
        <v>6041</v>
      </c>
      <c r="E4" s="5" t="str">
        <f ca="1">IFERROR(__xludf.DUMMYFUNCTION("""COMPUTED_VALUE"""),"Qǐng gěi wǒ yī hé shuǐcǎi yánliào hǎo ma?")</f>
        <v>Qǐng gěi wǒ yī hé shuǐcǎi yánliào hǎo ma?</v>
      </c>
    </row>
    <row r="5" spans="1:5" ht="14.25" customHeight="1">
      <c r="A5" s="41" t="s">
        <v>6042</v>
      </c>
      <c r="B5" s="43" t="s">
        <v>6043</v>
      </c>
      <c r="C5" s="46"/>
      <c r="D5" s="46"/>
      <c r="E5" s="5" t="str">
        <f ca="1">IFERROR(__xludf.DUMMYFUNCTION("""COMPUTED_VALUE"""),"Wǒ zhèngzài huà yī fú quánjiāfú.")</f>
        <v>Wǒ zhèngzài huà yī fú quánjiāfú.</v>
      </c>
    </row>
    <row r="6" spans="1:5" ht="14.25" customHeight="1">
      <c r="A6" s="41" t="s">
        <v>6044</v>
      </c>
      <c r="B6" s="43" t="s">
        <v>6045</v>
      </c>
      <c r="C6" s="46"/>
      <c r="D6" s="46" t="s">
        <v>6046</v>
      </c>
      <c r="E6" s="5" t="str">
        <f ca="1">IFERROR(__xludf.DUMMYFUNCTION("""COMPUTED_VALUE"""),"Zhè fú huà sècǎi zhēn xiānyàn.")</f>
        <v>Zhè fú huà sècǎi zhēn xiānyàn.</v>
      </c>
    </row>
    <row r="7" spans="1:5" ht="14.25" customHeight="1">
      <c r="A7" s="41" t="s">
        <v>6047</v>
      </c>
      <c r="B7" s="43" t="s">
        <v>6048</v>
      </c>
      <c r="C7" s="46"/>
      <c r="D7" s="46"/>
      <c r="E7" s="5" t="str">
        <f ca="1">IFERROR(__xludf.DUMMYFUNCTION("""COMPUTED_VALUE"""),"Wǒ xǐhuān yòng làbǐ tú sè.")</f>
        <v>Wǒ xǐhuān yòng làbǐ tú sè.</v>
      </c>
    </row>
    <row r="8" spans="1:5" ht="14.25" customHeight="1">
      <c r="A8" s="41" t="s">
        <v>6049</v>
      </c>
      <c r="B8" s="43" t="s">
        <v>6050</v>
      </c>
      <c r="C8" s="46"/>
      <c r="D8" s="46" t="s">
        <v>6051</v>
      </c>
      <c r="E8" s="5" t="str">
        <f ca="1">IFERROR(__xludf.DUMMYFUNCTION("""COMPUTED_VALUE"""),"Wǒ xiǎng yòng niántǔ niē diāosù.")</f>
        <v>Wǒ xiǎng yòng niántǔ niē diāosù.</v>
      </c>
    </row>
    <row r="9" spans="1:5" ht="14.25" customHeight="1">
      <c r="A9" s="41" t="s">
        <v>6052</v>
      </c>
      <c r="B9" s="43" t="s">
        <v>6053</v>
      </c>
      <c r="C9" s="46"/>
      <c r="D9" s="46"/>
      <c r="E9" s="5" t="str">
        <f ca="1">IFERROR(__xludf.DUMMYFUNCTION("""COMPUTED_VALUE"""),"Wǒ niēle yī zhǐ xiǎo māo.")</f>
        <v>Wǒ niēle yī zhǐ xiǎo māo.</v>
      </c>
    </row>
    <row r="10" spans="1:5" ht="14.25" customHeight="1">
      <c r="A10" s="41" t="s">
        <v>3942</v>
      </c>
      <c r="B10" s="43" t="s">
        <v>3943</v>
      </c>
      <c r="C10" s="46"/>
      <c r="D10" s="46" t="s">
        <v>6054</v>
      </c>
      <c r="E10" s="5" t="str">
        <f ca="1">IFERROR(__xludf.DUMMYFUNCTION("""COMPUTED_VALUE"""),"Wǒ xǐhuān zhézhǐ.")</f>
        <v>Wǒ xǐhuān zhézhǐ.</v>
      </c>
    </row>
    <row r="11" spans="1:5" ht="14.25" customHeight="1">
      <c r="A11" s="41" t="s">
        <v>6055</v>
      </c>
      <c r="B11" s="43" t="s">
        <v>6056</v>
      </c>
      <c r="C11" s="46"/>
      <c r="D11" s="46"/>
      <c r="E11" s="5" t="str">
        <f ca="1">IFERROR(__xludf.DUMMYFUNCTION("""COMPUTED_VALUE"""),"Wǒ gānggāng zhé hǎole yī zhǐ tiān'é.")</f>
        <v>Wǒ gānggāng zhé hǎole yī zhǐ tiān'é.</v>
      </c>
    </row>
    <row r="12" spans="1:5" ht="14.25" customHeight="1">
      <c r="A12" s="41" t="s">
        <v>6057</v>
      </c>
      <c r="B12" s="43" t="s">
        <v>3874</v>
      </c>
      <c r="C12" s="46"/>
      <c r="D12" s="46" t="s">
        <v>6058</v>
      </c>
      <c r="E12" s="6" t="str">
        <f ca="1">IFERROR(__xludf.DUMMYFUNCTION("""COMPUTED_VALUE"""),"Wǒ xiǎng zuò shǒugōng.")</f>
        <v>Wǒ xiǎng zuò shǒugōng.</v>
      </c>
    </row>
    <row r="13" spans="1:5" ht="14.25" customHeight="1">
      <c r="A13" s="41" t="s">
        <v>6059</v>
      </c>
      <c r="B13" s="43" t="s">
        <v>6060</v>
      </c>
      <c r="C13" s="46"/>
      <c r="D13" s="46"/>
      <c r="E13" s="6" t="str">
        <f ca="1">IFERROR(__xludf.DUMMYFUNCTION("""COMPUTED_VALUE"""),"Wǒ yòng zhūzǐ zuòle yīgè shǒuliàn.")</f>
        <v>Wǒ yòng zhūzǐ zuòle yīgè shǒuliàn.</v>
      </c>
    </row>
    <row r="14" spans="1:5" ht="14.25" customHeight="1">
      <c r="A14" s="41" t="s">
        <v>6061</v>
      </c>
      <c r="B14" s="43" t="s">
        <v>6062</v>
      </c>
      <c r="C14" s="46"/>
      <c r="D14" s="46" t="s">
        <v>6063</v>
      </c>
      <c r="E14" s="6" t="str">
        <f ca="1">IFERROR(__xludf.DUMMYFUNCTION("""COMPUTED_VALUE"""),"Nǎinai, wǒ bǎ zhège shǒuliàn sòng gěi nín.")</f>
        <v>Nǎinai, wǒ bǎ zhège shǒuliàn sòng gěi nín.</v>
      </c>
    </row>
    <row r="15" spans="1:5" ht="14.25" customHeight="1">
      <c r="A15" s="41" t="s">
        <v>6064</v>
      </c>
      <c r="B15" s="43" t="s">
        <v>6065</v>
      </c>
      <c r="C15" s="46"/>
      <c r="D15" s="46"/>
      <c r="E15" s="6" t="str">
        <f ca="1">IFERROR(__xludf.DUMMYFUNCTION("""COMPUTED_VALUE"""),"Wǒ xǐhuān tīng gǔdiǎn yīnyuè.")</f>
        <v>Wǒ xǐhuān tīng gǔdiǎn yīnyuè.</v>
      </c>
    </row>
    <row r="16" spans="1:5" ht="14.25" customHeight="1">
      <c r="A16" s="41" t="s">
        <v>6066</v>
      </c>
      <c r="B16" s="43" t="s">
        <v>6067</v>
      </c>
      <c r="C16" s="46"/>
      <c r="D16" s="46" t="s">
        <v>6068</v>
      </c>
      <c r="E16" s="6" t="str">
        <f ca="1">IFERROR(__xludf.DUMMYFUNCTION("""COMPUTED_VALUE"""),"Wǒ xiǎng xué dàn yóu kè lǐ lǐ.")</f>
        <v>Wǒ xiǎng xué dàn yóu kè lǐ lǐ.</v>
      </c>
    </row>
    <row r="17" spans="1:5" ht="14.25" customHeight="1">
      <c r="A17" s="41" t="s">
        <v>6069</v>
      </c>
      <c r="B17" s="43" t="s">
        <v>6070</v>
      </c>
      <c r="C17" s="46"/>
      <c r="D17" s="46"/>
      <c r="E17" s="6" t="str">
        <f ca="1">IFERROR(__xludf.DUMMYFUNCTION("""COMPUTED_VALUE"""),"Yóu kè lǐ lǐ de shēngyīn zhēn shūhuǎn.")</f>
        <v>Yóu kè lǐ lǐ de shēngyīn zhēn shūhuǎn.</v>
      </c>
    </row>
    <row r="18" spans="1:5" ht="14.25" customHeight="1">
      <c r="A18" s="41" t="s">
        <v>6071</v>
      </c>
      <c r="B18" s="43" t="s">
        <v>6072</v>
      </c>
      <c r="C18" s="46"/>
      <c r="D18" s="46" t="s">
        <v>3970</v>
      </c>
      <c r="E18" s="5" t="str">
        <f ca="1">IFERROR(__xludf.DUMMYFUNCTION("""COMPUTED_VALUE"""),"Wǒ xǐhuān chàng tā jiā lù yǔ gēqǔ.")</f>
        <v>Wǒ xǐhuān chàng tā jiā lù yǔ gēqǔ.</v>
      </c>
    </row>
    <row r="19" spans="1:5" ht="14.25" customHeight="1">
      <c r="A19" s="41" t="s">
        <v>6073</v>
      </c>
      <c r="B19" s="43" t="s">
        <v>6074</v>
      </c>
      <c r="C19" s="46"/>
      <c r="D19" s="46"/>
      <c r="E19" s="4" t="str">
        <f ca="1">IFERROR(__xludf.DUMMYFUNCTION("""COMPUTED_VALUE"""),"Nǐ chàng dé zhēn hǎo, xiàng zhuānyè gēshǒu yīyàng!")</f>
        <v>Nǐ chàng dé zhēn hǎo, xiàng zhuānyè gēshǒu yīyàng!</v>
      </c>
    </row>
    <row r="20" spans="1:5" ht="14.25" customHeight="1">
      <c r="A20" s="41" t="s">
        <v>6075</v>
      </c>
      <c r="B20" s="43" t="s">
        <v>6076</v>
      </c>
      <c r="C20" s="46"/>
      <c r="D20" s="46" t="s">
        <v>6077</v>
      </c>
      <c r="E20" s="5" t="str">
        <f ca="1">IFERROR(__xludf.DUMMYFUNCTION("""COMPUTED_VALUE"""),"Wǒ xǐhuān qù yìshù zhǎnlǎn.")</f>
        <v>Wǒ xǐhuān qù yìshù zhǎnlǎn.</v>
      </c>
    </row>
    <row r="21" spans="1:5" ht="14.25" customHeight="1">
      <c r="A21" s="41" t="s">
        <v>6078</v>
      </c>
      <c r="B21" s="43" t="s">
        <v>6079</v>
      </c>
      <c r="C21" s="46"/>
      <c r="D21" s="46"/>
      <c r="E21" s="6" t="str">
        <f ca="1">IFERROR(__xludf.DUMMYFUNCTION("""COMPUTED_VALUE"""),"Huà zhè fú huà de yìshùjiā zhēnyǒu cáihuá.")</f>
        <v>Huà zhè fú huà de yìshùjiā zhēnyǒu cáihuá.</v>
      </c>
    </row>
    <row r="22" spans="1:5" ht="14.25" customHeight="1">
      <c r="A22" s="41" t="s">
        <v>6080</v>
      </c>
      <c r="B22" s="43" t="s">
        <v>6081</v>
      </c>
      <c r="C22" s="46"/>
      <c r="D22" s="46" t="s">
        <v>6082</v>
      </c>
      <c r="E22" s="6" t="str">
        <f ca="1">IFERROR(__xludf.DUMMYFUNCTION("""COMPUTED_VALUE"""),"Wǒ xiǎng zìjǐ zhìzuò míngxìnpiàn.")</f>
        <v>Wǒ xiǎng zìjǐ zhìzuò míngxìnpiàn.</v>
      </c>
    </row>
    <row r="23" spans="1:5" ht="14.25" customHeight="1">
      <c r="A23" s="41" t="s">
        <v>6083</v>
      </c>
      <c r="B23" s="43" t="s">
        <v>6084</v>
      </c>
      <c r="C23" s="46"/>
      <c r="D23" s="46"/>
      <c r="E23" s="6" t="str">
        <f ca="1">IFERROR(__xludf.DUMMYFUNCTION("""COMPUTED_VALUE"""),"Wǒ huì jiā xiē liàngpiàn ràng tāmen kàn qǐlái gèng piàoliang.")</f>
        <v>Wǒ huì jiā xiē liàngpiàn ràng tāmen kàn qǐlái gèng piàoliang.</v>
      </c>
    </row>
    <row r="24" spans="1:5" ht="14.25" customHeight="1">
      <c r="A24" s="41" t="s">
        <v>6085</v>
      </c>
      <c r="B24" s="43" t="s">
        <v>6086</v>
      </c>
      <c r="C24" s="46"/>
      <c r="D24" s="46" t="s">
        <v>6087</v>
      </c>
      <c r="E24" s="6" t="str">
        <f ca="1">IFERROR(__xludf.DUMMYFUNCTION("""COMPUTED_VALUE"""),"Wǒ xǐhuān pāi fēngjǐng zhào.")</f>
        <v>Wǒ xǐhuān pāi fēngjǐng zhào.</v>
      </c>
    </row>
    <row r="25" spans="1:5" ht="14.25" customHeight="1">
      <c r="A25" s="41" t="s">
        <v>6088</v>
      </c>
      <c r="B25" s="43" t="s">
        <v>6089</v>
      </c>
      <c r="C25" s="46"/>
      <c r="D25" s="46"/>
      <c r="E25" s="6" t="str">
        <f ca="1">IFERROR(__xludf.DUMMYFUNCTION("""COMPUTED_VALUE"""),"Zhè zhāng zhàopiàn kàn qǐlái zhēnyǒu yìshù gǎn.")</f>
        <v>Zhè zhāng zhàopiàn kàn qǐlái zhēnyǒu yìshù gǎn.</v>
      </c>
    </row>
    <row r="26" spans="1:5" ht="14.25" customHeight="1">
      <c r="A26" s="41" t="s">
        <v>6090</v>
      </c>
      <c r="B26" s="43" t="s">
        <v>6091</v>
      </c>
      <c r="C26" s="46"/>
      <c r="D26" s="46" t="s">
        <v>6092</v>
      </c>
      <c r="E26" s="6" t="str">
        <f ca="1">IFERROR(__xludf.DUMMYFUNCTION("""COMPUTED_VALUE"""),"Wǒ xiǎng xué xiàndài wǔ.")</f>
        <v>Wǒ xiǎng xué xiàndài wǔ.</v>
      </c>
    </row>
    <row r="27" spans="1:5" ht="14.25" customHeight="1">
      <c r="A27" s="41" t="s">
        <v>6093</v>
      </c>
      <c r="B27" s="43" t="s">
        <v>6094</v>
      </c>
      <c r="C27" s="46"/>
      <c r="D27" s="46"/>
      <c r="E27" s="6" t="str">
        <f ca="1">IFERROR(__xludf.DUMMYFUNCTION("""COMPUTED_VALUE""")," Wǒmen yīqǐ tiàowǔ ba!")</f>
        <v xml:space="preserve"> Wǒmen yīqǐ tiàowǔ ba!</v>
      </c>
    </row>
    <row r="28" spans="1:5" ht="14.25" customHeight="1">
      <c r="A28" s="41" t="s">
        <v>6095</v>
      </c>
      <c r="B28" s="43" t="s">
        <v>6096</v>
      </c>
      <c r="C28" s="46"/>
      <c r="D28" s="46" t="s">
        <v>6097</v>
      </c>
      <c r="E28" s="6" t="str">
        <f ca="1">IFERROR(__xludf.DUMMYFUNCTION("""COMPUTED_VALUE"""),"Wǒ xǐhuān biǎoyǎn.")</f>
        <v>Wǒ xǐhuān biǎoyǎn.</v>
      </c>
    </row>
    <row r="29" spans="1:5" ht="14.25" customHeight="1">
      <c r="A29" s="41" t="s">
        <v>6098</v>
      </c>
      <c r="B29" s="43" t="s">
        <v>6099</v>
      </c>
      <c r="C29" s="46"/>
      <c r="D29" s="46"/>
      <c r="E29" s="37" t="str">
        <f ca="1">IFERROR(__xludf.DUMMYFUNCTION("""COMPUTED_VALUE"""),"Wǒ yào bànyǎn wángzǐ/gōngzhǔ.")</f>
        <v>Wǒ yào bànyǎn wángzǐ/gōngzhǔ.</v>
      </c>
    </row>
    <row r="30" spans="1:5" ht="14.25" customHeight="1">
      <c r="A30" s="41" t="s">
        <v>6100</v>
      </c>
      <c r="B30" s="43" t="s">
        <v>6101</v>
      </c>
      <c r="C30" s="46"/>
      <c r="D30" s="46" t="s">
        <v>6102</v>
      </c>
      <c r="E30" s="6" t="str">
        <f ca="1">IFERROR(__xludf.DUMMYFUNCTION("""COMPUTED_VALUE"""),"Wǒ zhèngzài xiě yī shǒu duǎn shī.")</f>
        <v>Wǒ zhèngzài xiě yī shǒu duǎn shī.</v>
      </c>
    </row>
    <row r="31" spans="1:5" ht="14.25" customHeight="1">
      <c r="A31" s="41" t="s">
        <v>6103</v>
      </c>
      <c r="B31" s="43" t="s">
        <v>6104</v>
      </c>
      <c r="C31" s="46"/>
      <c r="D31" s="46"/>
      <c r="E31" s="4" t="str">
        <f ca="1">IFERROR(__xludf.DUMMYFUNCTION("""COMPUTED_VALUE"""),"Zhè shǒu shī shì guānyú àiqíng de.")</f>
        <v>Zhè shǒu shī shì guānyú àiqíng de.</v>
      </c>
    </row>
    <row r="32" spans="1:5" ht="14.25" customHeight="1">
      <c r="A32" s="41" t="s">
        <v>6105</v>
      </c>
      <c r="B32" s="43" t="s">
        <v>6106</v>
      </c>
      <c r="C32" s="46"/>
      <c r="D32" s="46" t="s">
        <v>6107</v>
      </c>
      <c r="E32" s="4" t="str">
        <f ca="1">IFERROR(__xludf.DUMMYFUNCTION("""COMPUTED_VALUE"""),"Wǒ xǐhuān dú tónghuà gùshì.")</f>
        <v>Wǒ xǐhuān dú tónghuà gùshì.</v>
      </c>
    </row>
    <row r="33" spans="1:5" ht="14.25" customHeight="1">
      <c r="A33" s="41" t="s">
        <v>6108</v>
      </c>
      <c r="B33" s="43" t="s">
        <v>6109</v>
      </c>
      <c r="C33" s="46"/>
      <c r="D33" s="46"/>
      <c r="E33" s="4" t="str">
        <f ca="1">IFERROR(__xludf.DUMMYFUNCTION("""COMPUTED_VALUE"""),"Xiǎngxiàng de shìjiè zhēn yǒuqù.")</f>
        <v>Xiǎngxiàng de shìjiè zhēn yǒuqù.</v>
      </c>
    </row>
    <row r="34" spans="1:5" ht="14.25" customHeight="1">
      <c r="A34" s="41" t="s">
        <v>6110</v>
      </c>
      <c r="B34" s="43" t="s">
        <v>6111</v>
      </c>
      <c r="C34" s="46"/>
      <c r="D34" s="46" t="s">
        <v>6112</v>
      </c>
      <c r="E34" s="4" t="str">
        <f ca="1">IFERROR(__xludf.DUMMYFUNCTION("""COMPUTED_VALUE"""),"Wǒ xiǎng yòng zhǐbǎn zuò yīgè fángzǐ.")</f>
        <v>Wǒ xiǎng yòng zhǐbǎn zuò yīgè fángzǐ.</v>
      </c>
    </row>
    <row r="35" spans="1:5" ht="14.25" customHeight="1">
      <c r="A35" s="41" t="s">
        <v>6113</v>
      </c>
      <c r="B35" s="43" t="s">
        <v>6114</v>
      </c>
      <c r="C35" s="46"/>
      <c r="D35" s="46"/>
      <c r="E35" s="8" t="str">
        <f ca="1">IFERROR(__xludf.DUMMYFUNCTION("""COMPUTED_VALUE"""),"Wǒ xūyào rè róng jiāo qiāng ma?")</f>
        <v>Wǒ xūyào rè róng jiāo qiāng ma?</v>
      </c>
    </row>
    <row r="36" spans="1:5" ht="14.25" customHeight="1">
      <c r="A36" s="41" t="s">
        <v>6115</v>
      </c>
      <c r="B36" s="43" t="s">
        <v>6116</v>
      </c>
      <c r="C36" s="46"/>
      <c r="D36" s="46" t="s">
        <v>6117</v>
      </c>
      <c r="E36" s="5" t="str">
        <f ca="1">IFERROR(__xludf.DUMMYFUNCTION("""COMPUTED_VALUE"""),"Nǐ néng bāng wǒ bǎ zhè bùfèn cái hǎo ma?")</f>
        <v>Nǐ néng bāng wǒ bǎ zhè bùfèn cái hǎo ma?</v>
      </c>
    </row>
    <row r="37" spans="1:5" ht="14.25" customHeight="1">
      <c r="A37" s="41" t="s">
        <v>6118</v>
      </c>
      <c r="B37" s="43" t="s">
        <v>6119</v>
      </c>
      <c r="C37" s="46"/>
      <c r="D37" s="46"/>
      <c r="E37" s="8" t="str">
        <f ca="1">IFERROR(__xludf.DUMMYFUNCTION("""COMPUTED_VALUE"""),"Wǒ xiǎng zhuāngshì wǒ de fángjiān.")</f>
        <v>Wǒ xiǎng zhuāngshì wǒ de fángjiān.</v>
      </c>
    </row>
    <row r="38" spans="1:5" ht="14.25" customHeight="1">
      <c r="A38" s="41" t="s">
        <v>6120</v>
      </c>
      <c r="B38" s="43" t="s">
        <v>6121</v>
      </c>
      <c r="C38" s="46"/>
      <c r="D38" s="46" t="s">
        <v>6122</v>
      </c>
      <c r="E38" s="5" t="str">
        <f ca="1">IFERROR(__xludf.DUMMYFUNCTION("""COMPUTED_VALUE"""),"Wǒ yào bǎ zhàopiàn guà zài qiáng shàng.")</f>
        <v>Wǒ yào bǎ zhàopiàn guà zài qiáng shàng.</v>
      </c>
    </row>
    <row r="39" spans="1:5" ht="14.25" customHeight="1">
      <c r="A39" s="41" t="s">
        <v>6123</v>
      </c>
      <c r="B39" s="43" t="s">
        <v>6124</v>
      </c>
      <c r="C39" s="46"/>
      <c r="D39" s="46"/>
      <c r="E39" s="6" t="str">
        <f ca="1">IFERROR(__xludf.DUMMYFUNCTION("""COMPUTED_VALUE"""),"Wǒ xǐhuān hé nǎinai yīqǐ zuò cìxiù.")</f>
        <v>Wǒ xǐhuān hé nǎinai yīqǐ zuò cìxiù.</v>
      </c>
    </row>
    <row r="40" spans="1:5" ht="14.25" customHeight="1">
      <c r="A40" s="41" t="s">
        <v>6125</v>
      </c>
      <c r="B40" s="43" t="s">
        <v>6126</v>
      </c>
      <c r="C40" s="46"/>
      <c r="D40" s="46" t="s">
        <v>6127</v>
      </c>
      <c r="E40" s="6" t="str">
        <f ca="1">IFERROR(__xludf.DUMMYFUNCTION("""COMPUTED_VALUE"""),"Tā de zhēnjiǎo zhēn piàoliang.")</f>
        <v>Tā de zhēnjiǎo zhēn piàoliang.</v>
      </c>
    </row>
    <row r="41" spans="1:5" ht="14.25" customHeight="1">
      <c r="A41" s="41" t="s">
        <v>6128</v>
      </c>
      <c r="B41" s="43" t="s">
        <v>6129</v>
      </c>
      <c r="C41" s="46"/>
      <c r="D41" s="46"/>
      <c r="E41" s="5" t="str">
        <f ca="1">IFERROR(__xludf.DUMMYFUNCTION("""COMPUTED_VALUE"""),"Wǒ xiǎng zuò yīgè jiǎntiē bù.")</f>
        <v>Wǒ xiǎng zuò yīgè jiǎntiē bù.</v>
      </c>
    </row>
    <row r="42" spans="1:5" ht="14.25" customHeight="1">
      <c r="A42" s="41" t="s">
        <v>6130</v>
      </c>
      <c r="B42" s="43" t="s">
        <v>6131</v>
      </c>
      <c r="C42" s="46"/>
      <c r="D42" s="46" t="s">
        <v>6132</v>
      </c>
      <c r="E42" s="4" t="str">
        <f ca="1">IFERROR(__xludf.DUMMYFUNCTION("""COMPUTED_VALUE"""),"Wǒ yào bǎ wǒ de huíyì tiē jìnqù.")</f>
        <v>Wǒ yào bǎ wǒ de huíyì tiē jìnqù.</v>
      </c>
    </row>
    <row r="43" spans="1:5" ht="14.25" customHeight="1">
      <c r="A43" s="41" t="s">
        <v>6133</v>
      </c>
      <c r="B43" s="43" t="s">
        <v>6134</v>
      </c>
      <c r="C43" s="46"/>
      <c r="D43" s="46"/>
      <c r="E43" s="5" t="str">
        <f ca="1">IFERROR(__xludf.DUMMYFUNCTION("""COMPUTED_VALUE"""),"Yìshù ràng wǒ kuàilè.")</f>
        <v>Yìshù ràng wǒ kuàilè.</v>
      </c>
    </row>
    <row r="44" spans="1:5" ht="14.25" customHeight="1">
      <c r="A44" s="41" t="s">
        <v>6135</v>
      </c>
      <c r="B44" s="43" t="s">
        <v>6136</v>
      </c>
      <c r="C44" s="46"/>
      <c r="D44" s="46" t="s">
        <v>6137</v>
      </c>
      <c r="E44" s="4" t="str">
        <f ca="1">IFERROR(__xludf.DUMMYFUNCTION("""COMPUTED_VALUE"""),"Měi gèrén dōu kěyǐ yǒu chuàngzào lì.")</f>
        <v>Měi gèrén dōu kěyǐ yǒu chuàngzào lì.</v>
      </c>
    </row>
    <row r="45" spans="1:5" ht="14.25" customHeight="1">
      <c r="A45" s="41" t="s">
        <v>6138</v>
      </c>
      <c r="B45" s="43" t="s">
        <v>6139</v>
      </c>
      <c r="C45" s="46"/>
      <c r="D45" s="46"/>
      <c r="E45" s="5" t="str">
        <f ca="1">IFERROR(__xludf.DUMMYFUNCTION("""COMPUTED_VALUE"""),"Wǒ xiǎng cānjiā huìhuà bǐsài.")</f>
        <v>Wǒ xiǎng cānjiā huìhuà bǐsài.</v>
      </c>
    </row>
    <row r="46" spans="1:5" ht="14.25" customHeight="1">
      <c r="A46" s="41" t="s">
        <v>6140</v>
      </c>
      <c r="B46" s="43" t="s">
        <v>6141</v>
      </c>
      <c r="C46" s="46"/>
      <c r="D46" s="46" t="s">
        <v>6142</v>
      </c>
      <c r="E46" s="4" t="str">
        <f ca="1">IFERROR(__xludf.DUMMYFUNCTION("""COMPUTED_VALUE"""),"Zhù nǐ qǔdé hǎo chéngjì!")</f>
        <v>Zhù nǐ qǔdé hǎo chéngjì!</v>
      </c>
    </row>
    <row r="47" spans="1:5" ht="14.25" customHeight="1">
      <c r="A47" s="41" t="s">
        <v>6143</v>
      </c>
      <c r="B47" s="43" t="s">
        <v>6144</v>
      </c>
      <c r="C47" s="46"/>
      <c r="D47" s="46"/>
      <c r="E47" s="4" t="str">
        <f ca="1">IFERROR(__xludf.DUMMYFUNCTION("""COMPUTED_VALUE"""),"Wǒ huì jǐn wǒ suǒ néng.")</f>
        <v>Wǒ huì jǐn wǒ suǒ néng.</v>
      </c>
    </row>
    <row r="48" spans="1:5" ht="14.25" customHeight="1">
      <c r="A48" s="41" t="s">
        <v>6145</v>
      </c>
      <c r="B48" s="43" t="s">
        <v>6146</v>
      </c>
      <c r="C48" s="46"/>
      <c r="D48" s="46" t="s">
        <v>6147</v>
      </c>
      <c r="E48" s="4" t="str">
        <f ca="1">IFERROR(__xludf.DUMMYFUNCTION("""COMPUTED_VALUE"""),"Yìshù méiyǒu jièxiàn.")</f>
        <v>Yìshù méiyǒu jièxiàn.</v>
      </c>
    </row>
    <row r="49" spans="1:5" ht="14.25" customHeight="1">
      <c r="A49" s="41" t="s">
        <v>6148</v>
      </c>
      <c r="B49" s="43" t="s">
        <v>6149</v>
      </c>
      <c r="C49" s="46"/>
      <c r="D49" s="46"/>
      <c r="E49" s="5" t="str">
        <f ca="1">IFERROR(__xludf.DUMMYFUNCTION("""COMPUTED_VALUE"""),"Wǒ xǐhuān jiāng duō zhǒng sècǎi rónghé zài yīqǐ.")</f>
        <v>Wǒ xǐhuān jiāng duō zhǒng sècǎi rónghé zài yīqǐ.</v>
      </c>
    </row>
    <row r="50" spans="1:5" ht="14.25" customHeight="1">
      <c r="A50" s="41" t="s">
        <v>6150</v>
      </c>
      <c r="B50" s="43" t="s">
        <v>6151</v>
      </c>
      <c r="C50" s="46"/>
      <c r="D50" s="46" t="s">
        <v>6152</v>
      </c>
      <c r="E50" s="6" t="str">
        <f ca="1">IFERROR(__xludf.DUMMYFUNCTION("""COMPUTED_VALUE"""),"Gǎnxiè nín zhīchí wǒ de àihào.")</f>
        <v>Gǎnxiè nín zhīchí wǒ de àihào.</v>
      </c>
    </row>
    <row r="51" spans="1:5" ht="14.25" customHeight="1">
      <c r="A51" s="41" t="s">
        <v>6153</v>
      </c>
      <c r="B51" s="43" t="s">
        <v>6154</v>
      </c>
      <c r="C51" s="46"/>
      <c r="D51" s="46" t="s">
        <v>6155</v>
      </c>
      <c r="E51" s="6" t="str">
        <f ca="1">IFERROR(__xludf.DUMMYFUNCTION("""COMPUTED_VALUE"""),"Yǒule yìshù, shēnghuó cái měihǎo!")</f>
        <v>Yǒule yìshù, shēnghuó cái měihǎo!</v>
      </c>
    </row>
    <row r="52" spans="1:5" ht="14.25" customHeight="1">
      <c r="A52" s="42"/>
      <c r="B52" s="46"/>
      <c r="C52" s="46"/>
      <c r="D52" s="46" t="s">
        <v>6156</v>
      </c>
    </row>
    <row r="53" spans="1:5" ht="14.25" customHeight="1">
      <c r="A53" s="42"/>
      <c r="B53" s="46"/>
      <c r="C53" s="46"/>
      <c r="D53" s="46"/>
      <c r="E53" s="5"/>
    </row>
    <row r="54" spans="1:5" ht="14.25" customHeight="1">
      <c r="A54" s="42"/>
      <c r="B54" s="46"/>
      <c r="C54" s="46"/>
      <c r="D54" s="46" t="s">
        <v>6157</v>
      </c>
      <c r="E54" s="5"/>
    </row>
    <row r="55" spans="1:5" ht="14.25" customHeight="1">
      <c r="A55" s="42"/>
      <c r="B55" s="46"/>
      <c r="C55" s="46"/>
      <c r="D55" s="46"/>
      <c r="E55" s="5"/>
    </row>
    <row r="56" spans="1:5" ht="14.25" customHeight="1">
      <c r="A56" s="42"/>
      <c r="B56" s="46"/>
      <c r="C56" s="46"/>
      <c r="D56" s="46" t="s">
        <v>6158</v>
      </c>
      <c r="E56" s="5"/>
    </row>
    <row r="57" spans="1:5" ht="14.25" customHeight="1">
      <c r="A57" s="42"/>
      <c r="B57" s="46"/>
      <c r="C57" s="46"/>
      <c r="D57" s="46"/>
      <c r="E57" s="5"/>
    </row>
    <row r="58" spans="1:5" ht="14.25" customHeight="1">
      <c r="A58" s="42"/>
      <c r="B58" s="46"/>
      <c r="C58" s="46"/>
      <c r="D58" s="46" t="s">
        <v>6159</v>
      </c>
      <c r="E58" s="5"/>
    </row>
    <row r="59" spans="1:5" ht="14.25" customHeight="1">
      <c r="A59" s="42"/>
      <c r="B59" s="46"/>
      <c r="C59" s="46"/>
      <c r="D59" s="46"/>
    </row>
    <row r="60" spans="1:5" ht="14.25" customHeight="1">
      <c r="A60" s="42"/>
      <c r="B60" s="46"/>
      <c r="C60" s="46"/>
      <c r="D60" s="46" t="s">
        <v>6160</v>
      </c>
      <c r="E60" s="5"/>
    </row>
    <row r="61" spans="1:5" ht="14.25" customHeight="1">
      <c r="A61" s="42"/>
      <c r="B61" s="46"/>
      <c r="C61" s="46"/>
      <c r="D61" s="46"/>
      <c r="E61" s="5"/>
    </row>
    <row r="62" spans="1:5" ht="14.25" customHeight="1">
      <c r="A62" s="42"/>
      <c r="B62" s="46"/>
      <c r="C62" s="46"/>
      <c r="D62" s="46" t="s">
        <v>6161</v>
      </c>
      <c r="E62" s="5"/>
    </row>
    <row r="63" spans="1:5" ht="14.25" customHeight="1">
      <c r="A63" s="42"/>
      <c r="B63" s="46"/>
      <c r="C63" s="46"/>
      <c r="D63" s="46"/>
      <c r="E63" s="5"/>
    </row>
    <row r="64" spans="1:5" ht="14.25" customHeight="1">
      <c r="A64" s="42"/>
      <c r="B64" s="46"/>
      <c r="C64" s="46"/>
      <c r="D64" s="46" t="s">
        <v>6162</v>
      </c>
      <c r="E64" s="5"/>
    </row>
    <row r="65" spans="1:5" ht="14.25" customHeight="1">
      <c r="A65" s="42"/>
      <c r="B65" s="46"/>
      <c r="C65" s="46"/>
      <c r="D65" s="46"/>
      <c r="E65" s="5"/>
    </row>
    <row r="66" spans="1:5" ht="14.25" customHeight="1">
      <c r="A66" s="42"/>
      <c r="B66" s="46"/>
      <c r="C66" s="46"/>
      <c r="D66" s="46" t="s">
        <v>6163</v>
      </c>
      <c r="E66" s="5"/>
    </row>
    <row r="67" spans="1:5" ht="14.25" customHeight="1">
      <c r="A67" s="42"/>
      <c r="B67" s="46"/>
      <c r="C67" s="46"/>
      <c r="D67" s="46"/>
      <c r="E67" s="5"/>
    </row>
    <row r="68" spans="1:5" ht="14.25" customHeight="1">
      <c r="A68" s="42"/>
      <c r="B68" s="46"/>
      <c r="C68" s="46"/>
      <c r="D68" s="46" t="s">
        <v>6164</v>
      </c>
      <c r="E68" s="5"/>
    </row>
    <row r="69" spans="1:5" ht="14.25" customHeight="1">
      <c r="A69" s="42"/>
      <c r="B69" s="46"/>
      <c r="C69" s="46"/>
      <c r="D69" s="46"/>
      <c r="E69" s="5"/>
    </row>
    <row r="70" spans="1:5" ht="14.25" customHeight="1">
      <c r="A70" s="42"/>
      <c r="B70" s="46"/>
      <c r="C70" s="46"/>
      <c r="D70" s="46" t="s">
        <v>6165</v>
      </c>
      <c r="E70" s="5"/>
    </row>
    <row r="71" spans="1:5" ht="14.25" customHeight="1">
      <c r="A71" s="42"/>
      <c r="B71" s="46"/>
      <c r="C71" s="46"/>
      <c r="D71" s="46"/>
      <c r="E71" s="5"/>
    </row>
    <row r="72" spans="1:5" ht="14.25" customHeight="1">
      <c r="A72" s="42"/>
      <c r="B72" s="46"/>
      <c r="C72" s="46"/>
      <c r="D72" s="46" t="s">
        <v>6166</v>
      </c>
      <c r="E72" s="5"/>
    </row>
    <row r="73" spans="1:5" ht="14.25" customHeight="1">
      <c r="A73" s="42"/>
      <c r="B73" s="46"/>
      <c r="C73" s="46"/>
      <c r="D73" s="46"/>
      <c r="E73" s="5"/>
    </row>
    <row r="74" spans="1:5" ht="14.25" customHeight="1">
      <c r="A74" s="42"/>
      <c r="B74" s="46"/>
      <c r="C74" s="46"/>
      <c r="D74" s="46" t="s">
        <v>6167</v>
      </c>
      <c r="E74" s="5"/>
    </row>
    <row r="75" spans="1:5" ht="14.25" customHeight="1">
      <c r="A75" s="42"/>
      <c r="B75" s="46"/>
      <c r="C75" s="46"/>
      <c r="D75" s="46"/>
      <c r="E75" s="5"/>
    </row>
    <row r="76" spans="1:5" ht="14.25" customHeight="1">
      <c r="A76" s="42"/>
      <c r="B76" s="46"/>
      <c r="C76" s="46"/>
      <c r="D76" s="46" t="s">
        <v>6168</v>
      </c>
      <c r="E76" s="5"/>
    </row>
    <row r="77" spans="1:5" ht="14.25" customHeight="1">
      <c r="A77" s="42"/>
      <c r="B77" s="46"/>
      <c r="C77" s="46"/>
      <c r="D77" s="46"/>
      <c r="E77" s="5"/>
    </row>
    <row r="78" spans="1:5" ht="14.25" customHeight="1">
      <c r="A78" s="42"/>
      <c r="B78" s="46"/>
      <c r="C78" s="46"/>
      <c r="D78" s="46" t="s">
        <v>6169</v>
      </c>
      <c r="E78" s="5"/>
    </row>
    <row r="79" spans="1:5" ht="14.25" customHeight="1">
      <c r="A79" s="42"/>
      <c r="B79" s="46"/>
      <c r="C79" s="46"/>
      <c r="D79" s="46"/>
      <c r="E79" s="5"/>
    </row>
    <row r="80" spans="1:5" ht="14.25" customHeight="1">
      <c r="A80" s="42"/>
      <c r="B80" s="46"/>
      <c r="C80" s="46"/>
      <c r="D80" s="46" t="s">
        <v>6170</v>
      </c>
      <c r="E80" s="5"/>
    </row>
    <row r="81" spans="1:5" ht="14.25" customHeight="1">
      <c r="A81" s="42"/>
      <c r="B81" s="46"/>
      <c r="C81" s="46"/>
      <c r="D81" s="46"/>
      <c r="E81" s="5"/>
    </row>
    <row r="82" spans="1:5" ht="14.25" customHeight="1">
      <c r="A82" s="42"/>
      <c r="B82" s="46"/>
      <c r="C82" s="46"/>
      <c r="D82" s="46" t="s">
        <v>6171</v>
      </c>
      <c r="E82" s="5"/>
    </row>
    <row r="83" spans="1:5" ht="14.25" customHeight="1">
      <c r="A83" s="42"/>
      <c r="B83" s="46"/>
      <c r="C83" s="46"/>
      <c r="D83" s="46"/>
      <c r="E83" s="5"/>
    </row>
    <row r="84" spans="1:5" ht="14.25" customHeight="1">
      <c r="A84" s="42"/>
      <c r="B84" s="46"/>
      <c r="C84" s="46"/>
      <c r="D84" s="46" t="s">
        <v>6172</v>
      </c>
      <c r="E84" s="5"/>
    </row>
    <row r="85" spans="1:5" ht="14.25" customHeight="1">
      <c r="A85" s="42"/>
      <c r="B85" s="46"/>
      <c r="C85" s="46"/>
      <c r="D85" s="46"/>
      <c r="E85" s="5"/>
    </row>
    <row r="86" spans="1:5" ht="14.25" customHeight="1">
      <c r="A86" s="42"/>
      <c r="B86" s="46"/>
      <c r="C86" s="46"/>
      <c r="D86" s="46" t="s">
        <v>6173</v>
      </c>
      <c r="E86" s="5"/>
    </row>
    <row r="87" spans="1:5" ht="14.25" customHeight="1">
      <c r="A87" s="42"/>
      <c r="B87" s="46"/>
      <c r="C87" s="46"/>
      <c r="D87" s="46"/>
      <c r="E87" s="5"/>
    </row>
    <row r="88" spans="1:5" ht="14.25" customHeight="1">
      <c r="A88" s="42"/>
      <c r="B88" s="46"/>
      <c r="C88" s="46"/>
      <c r="D88" s="46" t="s">
        <v>6174</v>
      </c>
      <c r="E88" s="5"/>
    </row>
    <row r="89" spans="1:5" ht="14.25" customHeight="1">
      <c r="A89" s="42"/>
      <c r="B89" s="46"/>
      <c r="C89" s="46"/>
      <c r="D89" s="46"/>
      <c r="E89" s="5"/>
    </row>
    <row r="90" spans="1:5" ht="14.25" customHeight="1">
      <c r="A90" s="42"/>
      <c r="B90" s="46"/>
      <c r="C90" s="46"/>
      <c r="D90" s="46" t="s">
        <v>6175</v>
      </c>
      <c r="E90" s="5"/>
    </row>
    <row r="91" spans="1:5" ht="14.25" customHeight="1">
      <c r="A91" s="42"/>
      <c r="B91" s="46"/>
      <c r="C91" s="46"/>
      <c r="D91" s="46"/>
      <c r="E91" s="5"/>
    </row>
    <row r="92" spans="1:5" ht="14.25" customHeight="1">
      <c r="A92" s="42"/>
      <c r="B92" s="46"/>
      <c r="C92" s="46"/>
      <c r="D92" s="46" t="s">
        <v>6176</v>
      </c>
      <c r="E92" s="5"/>
    </row>
    <row r="93" spans="1:5" ht="14.25" customHeight="1">
      <c r="A93" s="42"/>
      <c r="B93" s="46"/>
      <c r="C93" s="46"/>
      <c r="D93" s="46"/>
      <c r="E93" s="5"/>
    </row>
    <row r="94" spans="1:5" ht="14.25" customHeight="1">
      <c r="A94" s="42"/>
      <c r="B94" s="46"/>
      <c r="C94" s="46"/>
      <c r="D94" s="46" t="s">
        <v>6177</v>
      </c>
      <c r="E94" s="5"/>
    </row>
    <row r="95" spans="1:5" ht="14.25" customHeight="1">
      <c r="A95" s="42"/>
      <c r="B95" s="46"/>
      <c r="C95" s="46"/>
      <c r="D95" s="46"/>
      <c r="E95" s="5"/>
    </row>
    <row r="96" spans="1:5" ht="14.25" customHeight="1">
      <c r="A96" s="42"/>
      <c r="B96" s="46"/>
      <c r="C96" s="46"/>
      <c r="D96" s="46" t="s">
        <v>6178</v>
      </c>
      <c r="E96" s="5"/>
    </row>
    <row r="97" spans="1:5" ht="14.25" customHeight="1">
      <c r="A97" s="42"/>
      <c r="B97" s="46"/>
      <c r="C97" s="46"/>
      <c r="D97" s="46"/>
      <c r="E97" s="5"/>
    </row>
    <row r="98" spans="1:5" ht="14.25" customHeight="1">
      <c r="A98" s="42"/>
      <c r="B98" s="46"/>
      <c r="C98" s="46"/>
      <c r="D98" s="46" t="s">
        <v>6179</v>
      </c>
      <c r="E98" s="5"/>
    </row>
  </sheetData>
  <pageMargins left="0.75" right="0.75" top="1" bottom="1"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1" width="53.109375" customWidth="1"/>
    <col min="2" max="2" width="62.6640625" customWidth="1"/>
    <col min="3" max="3" width="16.33203125" customWidth="1"/>
    <col min="4" max="4" width="62.6640625" customWidth="1"/>
    <col min="5" max="5" width="56.88671875" customWidth="1"/>
  </cols>
  <sheetData>
    <row r="1" spans="1:5" ht="14.25" customHeight="1">
      <c r="A1" s="12" t="s">
        <v>6180</v>
      </c>
      <c r="E1" s="2"/>
    </row>
    <row r="2" spans="1:5" ht="14.25" customHeight="1">
      <c r="A2" s="41" t="s">
        <v>6181</v>
      </c>
      <c r="B2" s="10" t="s">
        <v>6182</v>
      </c>
      <c r="C2" s="10"/>
      <c r="D2" s="10" t="s">
        <v>6183</v>
      </c>
      <c r="E2" s="5" t="str">
        <f ca="1">IFERROR(__xludf.DUMMYFUNCTION("FILTER(D1:D1004,D1:D1004&lt;&gt; """")"),"Hǎiyáng zhēn guǎngkuò!")</f>
        <v>Hǎiyáng zhēn guǎngkuò!</v>
      </c>
    </row>
    <row r="3" spans="1:5" ht="14.25" customHeight="1">
      <c r="A3" s="41" t="s">
        <v>6184</v>
      </c>
      <c r="B3" s="10" t="s">
        <v>6185</v>
      </c>
      <c r="C3" s="10"/>
      <c r="D3" s="10"/>
      <c r="E3" s="6" t="str">
        <f ca="1">IFERROR(__xludf.DUMMYFUNCTION("""COMPUTED_VALUE"""),"Hǎishuǐ shì měilì de lán sè.")</f>
        <v>Hǎishuǐ shì měilì de lán sè.</v>
      </c>
    </row>
    <row r="4" spans="1:5" ht="14.25" customHeight="1">
      <c r="A4" s="41" t="s">
        <v>6186</v>
      </c>
      <c r="B4" s="10" t="s">
        <v>6187</v>
      </c>
      <c r="C4" s="10"/>
      <c r="D4" s="10" t="s">
        <v>6188</v>
      </c>
      <c r="E4" s="5" t="str">
        <f ca="1">IFERROR(__xludf.DUMMYFUNCTION("""COMPUTED_VALUE"""),"Wǒ xiǎng qù kàn shānhú.")</f>
        <v>Wǒ xiǎng qù kàn shānhú.</v>
      </c>
    </row>
    <row r="5" spans="1:5" ht="14.25" customHeight="1">
      <c r="A5" s="41" t="s">
        <v>6189</v>
      </c>
      <c r="B5" s="10" t="s">
        <v>6190</v>
      </c>
      <c r="C5" s="10"/>
      <c r="D5" s="10"/>
      <c r="E5" s="5" t="str">
        <f ca="1">IFERROR(__xludf.DUMMYFUNCTION("""COMPUTED_VALUE"""),"Shānhú yǒu hěnduō qíxíngguàizhuàng de dōngxī.")</f>
        <v>Shānhú yǒu hěnduō qíxíngguàizhuàng de dōngxī.</v>
      </c>
    </row>
    <row r="6" spans="1:5" ht="14.25" customHeight="1">
      <c r="A6" s="41" t="s">
        <v>6191</v>
      </c>
      <c r="B6" s="10" t="s">
        <v>6192</v>
      </c>
      <c r="C6" s="10"/>
      <c r="D6" s="10" t="s">
        <v>6193</v>
      </c>
      <c r="E6" s="5" t="str">
        <f ca="1">IFERROR(__xludf.DUMMYFUNCTION("""COMPUTED_VALUE"""),"Xiǎochǒu yú cáng zài hǎi kuí cóng zhōng.")</f>
        <v>Xiǎochǒu yú cáng zài hǎi kuí cóng zhōng.</v>
      </c>
    </row>
    <row r="7" spans="1:5" ht="14.25" customHeight="1">
      <c r="A7" s="41" t="s">
        <v>6194</v>
      </c>
      <c r="B7" s="10" t="s">
        <v>6195</v>
      </c>
      <c r="C7" s="10"/>
      <c r="D7" s="10"/>
      <c r="E7" s="5" t="str">
        <f ca="1">IFERROR(__xludf.DUMMYFUNCTION("""COMPUTED_VALUE"""),"Kàn, yī zhǐ hǎiguī zài yóuyǒng!")</f>
        <v>Kàn, yī zhǐ hǎiguī zài yóuyǒng!</v>
      </c>
    </row>
    <row r="8" spans="1:5" ht="14.25" customHeight="1">
      <c r="A8" s="41" t="s">
        <v>6196</v>
      </c>
      <c r="B8" s="10" t="s">
        <v>6197</v>
      </c>
      <c r="C8" s="10"/>
      <c r="D8" s="10" t="s">
        <v>6198</v>
      </c>
      <c r="E8" s="5" t="str">
        <f ca="1">IFERROR(__xludf.DUMMYFUNCTION("""COMPUTED_VALUE"""),"Hǎiguī yóu dé hěn yōuxián.")</f>
        <v>Hǎiguī yóu dé hěn yōuxián.</v>
      </c>
    </row>
    <row r="9" spans="1:5" ht="14.25" customHeight="1">
      <c r="A9" s="41" t="s">
        <v>6199</v>
      </c>
      <c r="B9" s="10" t="s">
        <v>6200</v>
      </c>
      <c r="C9" s="10"/>
      <c r="D9" s="10"/>
      <c r="E9" s="5" t="str">
        <f ca="1">IFERROR(__xludf.DUMMYFUNCTION("""COMPUTED_VALUE"""),"Hǎixīng de xíngzhuàng xiàng yī kē xīngxīng.")</f>
        <v>Hǎixīng de xíngzhuàng xiàng yī kē xīngxīng.</v>
      </c>
    </row>
    <row r="10" spans="1:5" ht="14.25" customHeight="1">
      <c r="A10" s="41" t="s">
        <v>6201</v>
      </c>
      <c r="B10" s="10" t="s">
        <v>6202</v>
      </c>
      <c r="C10" s="10"/>
      <c r="D10" s="10" t="s">
        <v>6203</v>
      </c>
      <c r="E10" s="5" t="str">
        <f ca="1">IFERROR(__xludf.DUMMYFUNCTION("""COMPUTED_VALUE"""),"Wǒ kàn dàole yī zhǐ hǎishēn.")</f>
        <v>Wǒ kàn dàole yī zhǐ hǎishēn.</v>
      </c>
    </row>
    <row r="11" spans="1:5" ht="14.25" customHeight="1">
      <c r="A11" s="41" t="s">
        <v>6204</v>
      </c>
      <c r="B11" s="10" t="s">
        <v>6205</v>
      </c>
      <c r="C11" s="10"/>
      <c r="D11" s="10"/>
      <c r="E11" s="5" t="str">
        <f ca="1">IFERROR(__xludf.DUMMYFUNCTION("""COMPUTED_VALUE"""),"Hǎimǎ jǐn jǐn de yīfù zài hǎizǎo shàng.")</f>
        <v>Hǎimǎ jǐn jǐn de yīfù zài hǎizǎo shàng.</v>
      </c>
    </row>
    <row r="12" spans="1:5" ht="14.25" customHeight="1">
      <c r="A12" s="41" t="s">
        <v>6206</v>
      </c>
      <c r="B12" s="10" t="s">
        <v>6207</v>
      </c>
      <c r="C12" s="10"/>
      <c r="D12" s="10" t="s">
        <v>6208</v>
      </c>
      <c r="E12" s="6" t="str">
        <f ca="1">IFERROR(__xludf.DUMMYFUNCTION("""COMPUTED_VALUE"""),"Bùyào pèng shuǐmǔ, tā huì yǎng de.")</f>
        <v>Bùyào pèng shuǐmǔ, tā huì yǎng de.</v>
      </c>
    </row>
    <row r="13" spans="1:5" ht="14.25" customHeight="1">
      <c r="A13" s="41" t="s">
        <v>6209</v>
      </c>
      <c r="B13" s="10" t="s">
        <v>6210</v>
      </c>
      <c r="C13" s="10"/>
      <c r="D13" s="10"/>
      <c r="E13" s="6" t="str">
        <f ca="1">IFERROR(__xludf.DUMMYFUNCTION("""COMPUTED_VALUE"""),"Shuǐmǔ kàn qǐlái xiàng yī bǎ tòumíng de sǎn.")</f>
        <v>Shuǐmǔ kàn qǐlái xiàng yī bǎ tòumíng de sǎn.</v>
      </c>
    </row>
    <row r="14" spans="1:5" ht="14.25" customHeight="1">
      <c r="A14" s="41" t="s">
        <v>6211</v>
      </c>
      <c r="B14" s="10" t="s">
        <v>6212</v>
      </c>
      <c r="C14" s="10"/>
      <c r="D14" s="10" t="s">
        <v>6213</v>
      </c>
      <c r="E14" s="6" t="str">
        <f ca="1">IFERROR(__xludf.DUMMYFUNCTION("""COMPUTED_VALUE"""),"Yóuyú pēn chū hēisè de mòzhī táoshēng.")</f>
        <v>Yóuyú pēn chū hēisè de mòzhī táoshēng.</v>
      </c>
    </row>
    <row r="15" spans="1:5" ht="14.25" customHeight="1">
      <c r="A15" s="41" t="s">
        <v>6214</v>
      </c>
      <c r="B15" s="10" t="s">
        <v>6215</v>
      </c>
      <c r="C15" s="10"/>
      <c r="D15" s="10"/>
      <c r="E15" s="6" t="str">
        <f ca="1">IFERROR(__xludf.DUMMYFUNCTION("""COMPUTED_VALUE"""),"Shāyú bèi shàng yǒu fēnglì de qí.")</f>
        <v>Shāyú bèi shàng yǒu fēnglì de qí.</v>
      </c>
    </row>
    <row r="16" spans="1:5" ht="14.25" customHeight="1">
      <c r="A16" s="41" t="s">
        <v>6216</v>
      </c>
      <c r="B16" s="10" t="s">
        <v>6217</v>
      </c>
      <c r="C16" s="10"/>
      <c r="D16" s="10" t="s">
        <v>6218</v>
      </c>
      <c r="E16" s="6" t="str">
        <f ca="1">IFERROR(__xludf.DUMMYFUNCTION("""COMPUTED_VALUE"""),"Wǒ hěn hàipà shāyú.")</f>
        <v>Wǒ hěn hàipà shāyú.</v>
      </c>
    </row>
    <row r="17" spans="1:5" ht="14.25" customHeight="1">
      <c r="A17" s="41" t="s">
        <v>6219</v>
      </c>
      <c r="B17" s="10" t="s">
        <v>6220</v>
      </c>
      <c r="C17" s="10"/>
      <c r="D17" s="10"/>
      <c r="E17" s="6" t="str">
        <f ca="1">IFERROR(__xludf.DUMMYFUNCTION("""COMPUTED_VALUE"""),"Jīngyú shì hǎiyáng zhōng zuìdà de dòngwù.")</f>
        <v>Jīngyú shì hǎiyáng zhōng zuìdà de dòngwù.</v>
      </c>
    </row>
    <row r="18" spans="1:5" ht="14.25" customHeight="1">
      <c r="A18" s="41" t="s">
        <v>6221</v>
      </c>
      <c r="B18" s="10" t="s">
        <v>6222</v>
      </c>
      <c r="C18" s="10"/>
      <c r="D18" s="10" t="s">
        <v>6223</v>
      </c>
      <c r="E18" s="5" t="str">
        <f ca="1">IFERROR(__xludf.DUMMYFUNCTION("""COMPUTED_VALUE"""),"Kàn, jīngyú zài pēn shuǐ!")</f>
        <v>Kàn, jīngyú zài pēn shuǐ!</v>
      </c>
    </row>
    <row r="19" spans="1:5" ht="14.25" customHeight="1">
      <c r="A19" s="41" t="s">
        <v>6224</v>
      </c>
      <c r="B19" s="10" t="s">
        <v>6225</v>
      </c>
      <c r="C19" s="10"/>
      <c r="D19" s="10"/>
      <c r="E19" s="4" t="str">
        <f ca="1">IFERROR(__xludf.DUMMYFUNCTION("""COMPUTED_VALUE"""),"Hǎitún shì rénlèi de péngyǒu.")</f>
        <v>Hǎitún shì rénlèi de péngyǒu.</v>
      </c>
    </row>
    <row r="20" spans="1:5" ht="14.25" customHeight="1">
      <c r="A20" s="41" t="s">
        <v>6226</v>
      </c>
      <c r="B20" s="10" t="s">
        <v>6227</v>
      </c>
      <c r="C20" s="10"/>
      <c r="D20" s="10" t="s">
        <v>6228</v>
      </c>
      <c r="E20" s="5" t="str">
        <f ca="1">IFERROR(__xludf.DUMMYFUNCTION("""COMPUTED_VALUE"""),"Hǎitún yuè chū shuǐmiàn.")</f>
        <v>Hǎitún yuè chū shuǐmiàn.</v>
      </c>
    </row>
    <row r="21" spans="1:5" ht="14.25" customHeight="1">
      <c r="A21" s="41" t="s">
        <v>6229</v>
      </c>
      <c r="B21" s="10" t="s">
        <v>6230</v>
      </c>
      <c r="C21" s="10"/>
      <c r="D21" s="10"/>
      <c r="E21" s="6" t="str">
        <f ca="1">IFERROR(__xludf.DUMMYFUNCTION("""COMPUTED_VALUE"""),"Wǒ xiǎng hé hǎitún yīqǐ yóuyǒng.")</f>
        <v>Wǒ xiǎng hé hǎitún yīqǐ yóuyǒng.</v>
      </c>
    </row>
    <row r="22" spans="1:5" ht="14.25" customHeight="1">
      <c r="A22" s="41" t="s">
        <v>6231</v>
      </c>
      <c r="B22" s="10" t="s">
        <v>6232</v>
      </c>
      <c r="C22" s="10"/>
      <c r="D22" s="10" t="s">
        <v>6233</v>
      </c>
      <c r="E22" s="6" t="str">
        <f ca="1">IFERROR(__xludf.DUMMYFUNCTION("""COMPUTED_VALUE"""),"Pángxiè zài shātān shàng páxíng.")</f>
        <v>Pángxiè zài shātān shàng páxíng.</v>
      </c>
    </row>
    <row r="23" spans="1:5" ht="14.25" customHeight="1">
      <c r="A23" s="41" t="s">
        <v>6234</v>
      </c>
      <c r="B23" s="10" t="s">
        <v>6235</v>
      </c>
      <c r="C23" s="10"/>
      <c r="D23" s="10"/>
      <c r="E23" s="6" t="str">
        <f ca="1">IFERROR(__xludf.DUMMYFUNCTION("""COMPUTED_VALUE"""),"Zhè méi bèiké zhēn piàoliang, wǒ yào bǎ tā dài huí jiā.")</f>
        <v>Zhè méi bèiké zhēn piàoliang, wǒ yào bǎ tā dài huí jiā.</v>
      </c>
    </row>
    <row r="24" spans="1:5" ht="14.25" customHeight="1">
      <c r="A24" s="41" t="s">
        <v>6236</v>
      </c>
      <c r="B24" s="10" t="s">
        <v>6237</v>
      </c>
      <c r="C24" s="10"/>
      <c r="D24" s="10" t="s">
        <v>6238</v>
      </c>
      <c r="E24" s="6" t="str">
        <f ca="1">IFERROR(__xludf.DUMMYFUNCTION("""COMPUTED_VALUE"""),"Bǎ bèiké tiē zài ěrduǒ shàng, jiù néng tīng dào hǎilàng de shēngyīn.")</f>
        <v>Bǎ bèiké tiē zài ěrduǒ shàng, jiù néng tīng dào hǎilàng de shēngyīn.</v>
      </c>
    </row>
    <row r="25" spans="1:5" ht="14.25" customHeight="1">
      <c r="A25" s="41" t="s">
        <v>6239</v>
      </c>
      <c r="B25" s="10" t="s">
        <v>6240</v>
      </c>
      <c r="C25" s="10"/>
      <c r="D25" s="10"/>
      <c r="E25" s="6" t="str">
        <f ca="1">IFERROR(__xludf.DUMMYFUNCTION("""COMPUTED_VALUE"""),"Hǎidǐ yǒu hěnduō bǎozàng.")</f>
        <v>Hǎidǐ yǒu hěnduō bǎozàng.</v>
      </c>
    </row>
    <row r="26" spans="1:5" ht="14.25" customHeight="1">
      <c r="A26" s="41" t="s">
        <v>6241</v>
      </c>
      <c r="B26" s="10" t="s">
        <v>6242</v>
      </c>
      <c r="C26" s="10"/>
      <c r="D26" s="10" t="s">
        <v>6243</v>
      </c>
      <c r="E26" s="6" t="str">
        <f ca="1">IFERROR(__xludf.DUMMYFUNCTION("""COMPUTED_VALUE"""),"Wǒ xiǎng chéngwéi yī míng qiánshuǐyuán.")</f>
        <v>Wǒ xiǎng chéngwéi yī míng qiánshuǐyuán.</v>
      </c>
    </row>
    <row r="27" spans="1:5" ht="14.25" customHeight="1">
      <c r="A27" s="41" t="s">
        <v>6244</v>
      </c>
      <c r="B27" s="10" t="s">
        <v>6245</v>
      </c>
      <c r="C27" s="10"/>
      <c r="D27" s="10"/>
      <c r="E27" s="6" t="str">
        <f ca="1">IFERROR(__xludf.DUMMYFUNCTION("""COMPUTED_VALUE"""),"Wǒ xūyào yǎngqì píng cáinéng zài shuǐ xià hūxī.")</f>
        <v>Wǒ xūyào yǎngqì píng cáinéng zài shuǐ xià hūxī.</v>
      </c>
    </row>
    <row r="28" spans="1:5" ht="14.25" customHeight="1">
      <c r="A28" s="41" t="s">
        <v>6246</v>
      </c>
      <c r="B28" s="10" t="s">
        <v>6247</v>
      </c>
      <c r="C28" s="10"/>
      <c r="D28" s="10" t="s">
        <v>6248</v>
      </c>
      <c r="E28" s="6" t="str">
        <f ca="1">IFERROR(__xludf.DUMMYFUNCTION("""COMPUTED_VALUE"""),"Hǎilàng qīng qīng de pāidǎzhe hǎi'àn.")</f>
        <v>Hǎilàng qīng qīng de pāidǎzhe hǎi'àn.</v>
      </c>
    </row>
    <row r="29" spans="1:5" ht="14.25" customHeight="1">
      <c r="A29" s="41" t="s">
        <v>6249</v>
      </c>
      <c r="B29" s="10" t="s">
        <v>6250</v>
      </c>
      <c r="C29" s="10"/>
      <c r="D29" s="10"/>
      <c r="E29" s="37" t="str">
        <f ca="1">IFERROR(__xludf.DUMMYFUNCTION("""COMPUTED_VALUE"""),"Cháoshuǐ zhèngzài shàngzhǎng.")</f>
        <v>Cháoshuǐ zhèngzài shàngzhǎng.</v>
      </c>
    </row>
    <row r="30" spans="1:5" ht="14.25" customHeight="1">
      <c r="A30" s="41" t="s">
        <v>6251</v>
      </c>
      <c r="B30" s="10" t="s">
        <v>6252</v>
      </c>
      <c r="C30" s="10"/>
      <c r="D30" s="10" t="s">
        <v>6253</v>
      </c>
      <c r="E30" s="6" t="str">
        <f ca="1">IFERROR(__xludf.DUMMYFUNCTION("""COMPUTED_VALUE"""),"Cháoshuǐ zhèngzài tuìqù, lùchū yīpiàn miáncháng de shātān.")</f>
        <v>Cháoshuǐ zhèngzài tuìqù, lùchū yīpiàn miáncháng de shātān.</v>
      </c>
    </row>
    <row r="31" spans="1:5" ht="14.25" customHeight="1">
      <c r="A31" s="41" t="s">
        <v>6254</v>
      </c>
      <c r="B31" s="10" t="s">
        <v>6255</v>
      </c>
      <c r="C31" s="10"/>
      <c r="D31" s="10"/>
      <c r="E31" s="4" t="str">
        <f ca="1">IFERROR(__xludf.DUMMYFUNCTION("""COMPUTED_VALUE"""),"Wǒ xǐhuān yánzhe shātān sànbù.")</f>
        <v>Wǒ xǐhuān yánzhe shātān sànbù.</v>
      </c>
    </row>
    <row r="32" spans="1:5" ht="14.25" customHeight="1">
      <c r="A32" s="41" t="s">
        <v>6256</v>
      </c>
      <c r="B32" s="10" t="s">
        <v>6257</v>
      </c>
      <c r="C32" s="10"/>
      <c r="D32" s="10" t="s">
        <v>6258</v>
      </c>
      <c r="E32" s="4" t="str">
        <f ca="1">IFERROR(__xludf.DUMMYFUNCTION("""COMPUTED_VALUE"""),"Dàhǎi wéi wǒmen tígōng měiwèi dì hǎixiān.")</f>
        <v>Dàhǎi wéi wǒmen tígōng měiwèi dì hǎixiān.</v>
      </c>
    </row>
    <row r="33" spans="1:5" ht="14.25" customHeight="1">
      <c r="A33" s="41" t="s">
        <v>6259</v>
      </c>
      <c r="B33" s="10" t="s">
        <v>6260</v>
      </c>
      <c r="C33" s="10"/>
      <c r="D33" s="10"/>
      <c r="E33" s="4" t="str">
        <f ca="1">IFERROR(__xludf.DUMMYFUNCTION("""COMPUTED_VALUE"""),"Bùyào bǎ lèsè rēng jìn hǎilǐ.")</f>
        <v>Bùyào bǎ lèsè rēng jìn hǎilǐ.</v>
      </c>
    </row>
    <row r="34" spans="1:5" ht="14.25" customHeight="1">
      <c r="A34" s="41" t="s">
        <v>6261</v>
      </c>
      <c r="B34" s="10" t="s">
        <v>6262</v>
      </c>
      <c r="C34" s="10"/>
      <c r="D34" s="10" t="s">
        <v>6263</v>
      </c>
      <c r="E34" s="4" t="str">
        <f ca="1">IFERROR(__xludf.DUMMYFUNCTION("""COMPUTED_VALUE"""),"Ràng wǒmen bǎohù wèilán dì hǎiyáng.")</f>
        <v>Ràng wǒmen bǎohù wèilán dì hǎiyáng.</v>
      </c>
    </row>
    <row r="35" spans="1:5" ht="14.25" customHeight="1">
      <c r="A35" s="41" t="s">
        <v>6264</v>
      </c>
      <c r="B35" s="10" t="s">
        <v>6265</v>
      </c>
      <c r="C35" s="10"/>
      <c r="D35" s="10"/>
      <c r="E35" s="8" t="str">
        <f ca="1">IFERROR(__xludf.DUMMYFUNCTION("""COMPUTED_VALUE"""),"Jīnqiāngyú yòu dà yòu zhuàng.")</f>
        <v>Jīnqiāngyú yòu dà yòu zhuàng.</v>
      </c>
    </row>
    <row r="36" spans="1:5" ht="14.25" customHeight="1">
      <c r="A36" s="41" t="s">
        <v>6266</v>
      </c>
      <c r="B36" s="10" t="s">
        <v>6267</v>
      </c>
      <c r="C36" s="10"/>
      <c r="D36" s="10" t="s">
        <v>6268</v>
      </c>
      <c r="E36" s="5" t="str">
        <f ca="1">IFERROR(__xludf.DUMMYFUNCTION("""COMPUTED_VALUE"""),"Wǒ xǐhuān chī guīyú.")</f>
        <v>Wǒ xǐhuān chī guīyú.</v>
      </c>
    </row>
    <row r="37" spans="1:5" ht="14.25" customHeight="1">
      <c r="A37" s="41" t="s">
        <v>6269</v>
      </c>
      <c r="B37" s="10" t="s">
        <v>6270</v>
      </c>
      <c r="C37" s="10"/>
      <c r="D37" s="10"/>
      <c r="E37" s="8" t="str">
        <f ca="1">IFERROR(__xludf.DUMMYFUNCTION("""COMPUTED_VALUE"""),"Yúmínmen zhèngzài yòng yúwǎng bǔ yú.")</f>
        <v>Yúmínmen zhèngzài yòng yúwǎng bǔ yú.</v>
      </c>
    </row>
    <row r="38" spans="1:5" ht="14.25" customHeight="1">
      <c r="A38" s="41" t="s">
        <v>6271</v>
      </c>
      <c r="B38" s="10" t="s">
        <v>6272</v>
      </c>
      <c r="C38" s="10"/>
      <c r="D38" s="10" t="s">
        <v>6273</v>
      </c>
      <c r="E38" s="5" t="str">
        <f ca="1">IFERROR(__xludf.DUMMYFUNCTION("""COMPUTED_VALUE"""),"Yī sōu xiǎochuán zài bōlàng shàng yáoyè.")</f>
        <v>Yī sōu xiǎochuán zài bōlàng shàng yáoyè.</v>
      </c>
    </row>
    <row r="39" spans="1:5" ht="14.25" customHeight="1">
      <c r="A39" s="41" t="s">
        <v>6274</v>
      </c>
      <c r="B39" s="10" t="s">
        <v>6275</v>
      </c>
      <c r="C39" s="10"/>
      <c r="D39" s="10"/>
      <c r="E39" s="6" t="str">
        <f ca="1">IFERROR(__xludf.DUMMYFUNCTION("""COMPUTED_VALUE"""),"Dēngtǎ wèi chuánzhī zhǐyǐn fāngxiàng.")</f>
        <v>Dēngtǎ wèi chuánzhī zhǐyǐn fāngxiàng.</v>
      </c>
    </row>
    <row r="40" spans="1:5" ht="14.25" customHeight="1">
      <c r="A40" s="41" t="s">
        <v>6276</v>
      </c>
      <c r="B40" s="10" t="s">
        <v>6277</v>
      </c>
      <c r="C40" s="10"/>
      <c r="D40" s="10" t="s">
        <v>6278</v>
      </c>
      <c r="E40" s="6" t="str">
        <f ca="1">IFERROR(__xludf.DUMMYFUNCTION("""COMPUTED_VALUE"""),"Wǒ kàn dào yuǎn chù yǒu yīzuò xiǎo dǎo.")</f>
        <v>Wǒ kàn dào yuǎn chù yǒu yīzuò xiǎo dǎo.</v>
      </c>
    </row>
    <row r="41" spans="1:5" ht="14.25" customHeight="1">
      <c r="A41" s="41" t="s">
        <v>6279</v>
      </c>
      <c r="B41" s="10" t="s">
        <v>6280</v>
      </c>
      <c r="C41" s="10"/>
      <c r="D41" s="10"/>
      <c r="E41" s="5" t="str">
        <f ca="1">IFERROR(__xludf.DUMMYFUNCTION("""COMPUTED_VALUE"""),"Wǒ xiǎng chéngzuò qiántǐng.")</f>
        <v>Wǒ xiǎng chéngzuò qiántǐng.</v>
      </c>
    </row>
    <row r="42" spans="1:5" ht="14.25" customHeight="1">
      <c r="A42" s="41" t="s">
        <v>6281</v>
      </c>
      <c r="B42" s="10" t="s">
        <v>6282</v>
      </c>
      <c r="C42" s="10"/>
      <c r="D42" s="10" t="s">
        <v>6283</v>
      </c>
      <c r="E42" s="4" t="str">
        <f ca="1">IFERROR(__xludf.DUMMYFUNCTION("""COMPUTED_VALUE"""),"Qiántǐng kěyǐ xià qián dào hěn shēn dì dìfāng.")</f>
        <v>Qiántǐng kěyǐ xià qián dào hěn shēn dì dìfāng.</v>
      </c>
    </row>
    <row r="43" spans="1:5" ht="14.25" customHeight="1">
      <c r="A43" s="41" t="s">
        <v>6284</v>
      </c>
      <c r="B43" s="10" t="s">
        <v>6285</v>
      </c>
      <c r="C43" s="10"/>
      <c r="D43" s="10"/>
      <c r="E43" s="5" t="str">
        <f ca="1">IFERROR(__xludf.DUMMYFUNCTION("""COMPUTED_VALUE"""),"Guāngxiàn wúfǎ dàodá hǎidǐ.")</f>
        <v>Guāngxiàn wúfǎ dàodá hǎidǐ.</v>
      </c>
    </row>
    <row r="44" spans="1:5" ht="14.25" customHeight="1">
      <c r="A44" s="41" t="s">
        <v>6286</v>
      </c>
      <c r="B44" s="10" t="s">
        <v>6287</v>
      </c>
      <c r="C44" s="10"/>
      <c r="D44" s="10" t="s">
        <v>6288</v>
      </c>
      <c r="E44" s="4" t="str">
        <f ca="1">IFERROR(__xludf.DUMMYFUNCTION("""COMPUTED_VALUE"""),"Nà li yǒu huì fāguāng de yú.")</f>
        <v>Nà li yǒu huì fāguāng de yú.</v>
      </c>
    </row>
    <row r="45" spans="1:5" ht="14.25" customHeight="1">
      <c r="A45" s="41" t="s">
        <v>6289</v>
      </c>
      <c r="B45" s="10" t="s">
        <v>6290</v>
      </c>
      <c r="C45" s="10"/>
      <c r="D45" s="10"/>
      <c r="E45" s="5" t="str">
        <f ca="1">IFERROR(__xludf.DUMMYFUNCTION("""COMPUTED_VALUE"""),"Shuǐ xià shìjiè zhēnshi shénqí.")</f>
        <v>Shuǐ xià shìjiè zhēnshi shénqí.</v>
      </c>
    </row>
    <row r="46" spans="1:5" ht="14.25" customHeight="1">
      <c r="A46" s="41" t="s">
        <v>6291</v>
      </c>
      <c r="B46" s="10" t="s">
        <v>6292</v>
      </c>
      <c r="C46" s="10"/>
      <c r="D46" s="10" t="s">
        <v>6293</v>
      </c>
      <c r="E46" s="4" t="str">
        <f ca="1">IFERROR(__xludf.DUMMYFUNCTION("""COMPUTED_VALUE"""),"Wǒ xǐhuān kàn guānyú hǎiyáng de dònghuà piàn.")</f>
        <v>Wǒ xǐhuān kàn guānyú hǎiyáng de dònghuà piàn.</v>
      </c>
    </row>
    <row r="47" spans="1:5" ht="14.25" customHeight="1">
      <c r="A47" s="41" t="s">
        <v>6294</v>
      </c>
      <c r="B47" s="10" t="s">
        <v>6295</v>
      </c>
      <c r="C47" s="10"/>
      <c r="D47" s="10"/>
      <c r="E47" s="4" t="str">
        <f ca="1">IFERROR(__xludf.DUMMYFUNCTION("""COMPUTED_VALUE"""),"Wǒ xiǎng jiùchū bèi yúwǎng chán zhù dì hǎiguī.")</f>
        <v>Wǒ xiǎng jiùchū bèi yúwǎng chán zhù dì hǎiguī.</v>
      </c>
    </row>
    <row r="48" spans="1:5" ht="14.25" customHeight="1">
      <c r="A48" s="41" t="s">
        <v>6296</v>
      </c>
      <c r="B48" s="10" t="s">
        <v>6297</v>
      </c>
      <c r="C48" s="10"/>
      <c r="D48" s="10" t="s">
        <v>6298</v>
      </c>
      <c r="E48" s="4" t="str">
        <f ca="1">IFERROR(__xludf.DUMMYFUNCTION("""COMPUTED_VALUE"""),"Dàhǎi gěi wǒmen tígōng shíwù suǒ xū de yán.")</f>
        <v>Dàhǎi gěi wǒmen tígōng shíwù suǒ xū de yán.</v>
      </c>
    </row>
    <row r="49" spans="1:5" ht="14.25" customHeight="1">
      <c r="A49" s="41" t="s">
        <v>6299</v>
      </c>
      <c r="B49" s="10" t="s">
        <v>6300</v>
      </c>
      <c r="C49" s="10"/>
      <c r="D49" s="10"/>
      <c r="E49" s="5" t="str">
        <f ca="1">IFERROR(__xludf.DUMMYFUNCTION("""COMPUTED_VALUE"""),"Wǒ xǐhuān kàn hǎishàng de rìluò.")</f>
        <v>Wǒ xǐhuān kàn hǎishàng de rìluò.</v>
      </c>
    </row>
    <row r="50" spans="1:5" ht="14.25" customHeight="1">
      <c r="A50" s="41" t="s">
        <v>6301</v>
      </c>
      <c r="B50" s="10" t="s">
        <v>6302</v>
      </c>
      <c r="C50" s="10"/>
      <c r="D50" s="10" t="s">
        <v>6303</v>
      </c>
      <c r="E50" s="6" t="str">
        <f ca="1">IFERROR(__xludf.DUMMYFUNCTION("""COMPUTED_VALUE"""),"Hǎifēng zhēn lìng rén shén qīng qì shuǎng.")</f>
        <v>Hǎifēng zhēn lìng rén shén qīng qì shuǎng.</v>
      </c>
    </row>
    <row r="51" spans="1:5" ht="14.25" customHeight="1">
      <c r="A51" s="41" t="s">
        <v>6304</v>
      </c>
      <c r="B51" s="10" t="s">
        <v>6305</v>
      </c>
      <c r="C51" s="10"/>
      <c r="D51" s="10"/>
      <c r="E51" s="6" t="str">
        <f ca="1">IFERROR(__xludf.DUMMYFUNCTION("""COMPUTED_VALUE"""),"Wǒ tài ài dàhǎile!")</f>
        <v>Wǒ tài ài dàhǎile!</v>
      </c>
    </row>
    <row r="52" spans="1:5" ht="14.25" customHeight="1">
      <c r="A52" s="42"/>
      <c r="B52" s="10"/>
      <c r="C52" s="10"/>
      <c r="D52" s="10" t="s">
        <v>6306</v>
      </c>
    </row>
    <row r="53" spans="1:5" ht="14.25" customHeight="1">
      <c r="A53" s="42"/>
      <c r="B53" s="10"/>
      <c r="C53" s="10"/>
      <c r="D53" s="10"/>
      <c r="E53" s="5"/>
    </row>
    <row r="54" spans="1:5" ht="14.25" customHeight="1">
      <c r="A54" s="42"/>
      <c r="B54" s="10"/>
      <c r="C54" s="10"/>
      <c r="D54" s="10" t="s">
        <v>6307</v>
      </c>
      <c r="E54" s="5"/>
    </row>
    <row r="55" spans="1:5" ht="14.25" customHeight="1">
      <c r="A55" s="42"/>
      <c r="B55" s="10"/>
      <c r="C55" s="10"/>
      <c r="D55" s="10"/>
      <c r="E55" s="5"/>
    </row>
    <row r="56" spans="1:5" ht="14.25" customHeight="1">
      <c r="A56" s="42"/>
      <c r="B56" s="10"/>
      <c r="C56" s="10"/>
      <c r="D56" s="10" t="s">
        <v>6308</v>
      </c>
      <c r="E56" s="5"/>
    </row>
    <row r="57" spans="1:5" ht="14.25" customHeight="1">
      <c r="A57" s="42"/>
      <c r="B57" s="10"/>
      <c r="C57" s="10"/>
      <c r="D57" s="10"/>
      <c r="E57" s="5"/>
    </row>
    <row r="58" spans="1:5" ht="14.25" customHeight="1">
      <c r="A58" s="42"/>
      <c r="B58" s="10"/>
      <c r="C58" s="10"/>
      <c r="D58" s="10" t="s">
        <v>6309</v>
      </c>
      <c r="E58" s="5"/>
    </row>
    <row r="59" spans="1:5" ht="14.25" customHeight="1">
      <c r="A59" s="42"/>
      <c r="B59" s="10"/>
      <c r="C59" s="10"/>
      <c r="D59" s="10"/>
    </row>
    <row r="60" spans="1:5" ht="14.25" customHeight="1">
      <c r="A60" s="42"/>
      <c r="B60" s="10"/>
      <c r="C60" s="10"/>
      <c r="D60" s="10" t="s">
        <v>6310</v>
      </c>
      <c r="E60" s="5"/>
    </row>
    <row r="61" spans="1:5" ht="14.25" customHeight="1">
      <c r="A61" s="42"/>
      <c r="B61" s="10"/>
      <c r="C61" s="10"/>
      <c r="D61" s="10"/>
      <c r="E61" s="5"/>
    </row>
    <row r="62" spans="1:5" ht="14.25" customHeight="1">
      <c r="A62" s="42"/>
      <c r="B62" s="10"/>
      <c r="C62" s="10"/>
      <c r="D62" s="10" t="s">
        <v>6311</v>
      </c>
      <c r="E62" s="5"/>
    </row>
    <row r="63" spans="1:5" ht="14.25" customHeight="1">
      <c r="A63" s="42"/>
      <c r="B63" s="10"/>
      <c r="C63" s="10"/>
      <c r="D63" s="10"/>
      <c r="E63" s="5"/>
    </row>
    <row r="64" spans="1:5" ht="14.25" customHeight="1">
      <c r="A64" s="42"/>
      <c r="B64" s="10"/>
      <c r="C64" s="10"/>
      <c r="D64" s="10" t="s">
        <v>6312</v>
      </c>
      <c r="E64" s="5"/>
    </row>
    <row r="65" spans="1:5" ht="14.25" customHeight="1">
      <c r="A65" s="42"/>
      <c r="B65" s="10"/>
      <c r="C65" s="10"/>
      <c r="D65" s="10"/>
      <c r="E65" s="5"/>
    </row>
    <row r="66" spans="1:5" ht="14.25" customHeight="1">
      <c r="A66" s="42"/>
      <c r="B66" s="10"/>
      <c r="C66" s="10"/>
      <c r="D66" s="10" t="s">
        <v>6313</v>
      </c>
      <c r="E66" s="5"/>
    </row>
    <row r="67" spans="1:5" ht="14.25" customHeight="1">
      <c r="A67" s="42"/>
      <c r="B67" s="10"/>
      <c r="C67" s="10"/>
      <c r="D67" s="10"/>
      <c r="E67" s="5"/>
    </row>
    <row r="68" spans="1:5" ht="14.25" customHeight="1">
      <c r="A68" s="42"/>
      <c r="B68" s="10"/>
      <c r="C68" s="10"/>
      <c r="D68" s="10" t="s">
        <v>6314</v>
      </c>
      <c r="E68" s="5"/>
    </row>
    <row r="69" spans="1:5" ht="14.25" customHeight="1">
      <c r="A69" s="42"/>
      <c r="B69" s="10"/>
      <c r="C69" s="10"/>
      <c r="D69" s="10"/>
      <c r="E69" s="5"/>
    </row>
    <row r="70" spans="1:5" ht="14.25" customHeight="1">
      <c r="A70" s="42"/>
      <c r="B70" s="10"/>
      <c r="C70" s="10"/>
      <c r="D70" s="10" t="s">
        <v>6315</v>
      </c>
      <c r="E70" s="5"/>
    </row>
    <row r="71" spans="1:5" ht="14.25" customHeight="1">
      <c r="A71" s="42"/>
      <c r="B71" s="10"/>
      <c r="C71" s="10"/>
      <c r="D71" s="10"/>
      <c r="E71" s="5"/>
    </row>
    <row r="72" spans="1:5" ht="14.25" customHeight="1">
      <c r="A72" s="42"/>
      <c r="B72" s="10"/>
      <c r="C72" s="10"/>
      <c r="D72" s="10" t="s">
        <v>6316</v>
      </c>
      <c r="E72" s="5"/>
    </row>
    <row r="73" spans="1:5" ht="14.25" customHeight="1">
      <c r="A73" s="42"/>
      <c r="B73" s="10"/>
      <c r="C73" s="10"/>
      <c r="D73" s="10"/>
      <c r="E73" s="5"/>
    </row>
    <row r="74" spans="1:5" ht="14.25" customHeight="1">
      <c r="A74" s="42"/>
      <c r="B74" s="10"/>
      <c r="C74" s="10"/>
      <c r="D74" s="10" t="s">
        <v>6317</v>
      </c>
      <c r="E74" s="5"/>
    </row>
    <row r="75" spans="1:5" ht="14.25" customHeight="1">
      <c r="A75" s="42"/>
      <c r="B75" s="10"/>
      <c r="C75" s="10"/>
      <c r="D75" s="10"/>
      <c r="E75" s="5"/>
    </row>
    <row r="76" spans="1:5" ht="14.25" customHeight="1">
      <c r="A76" s="42"/>
      <c r="B76" s="10"/>
      <c r="C76" s="10"/>
      <c r="D76" s="10" t="s">
        <v>6318</v>
      </c>
      <c r="E76" s="5"/>
    </row>
    <row r="77" spans="1:5" ht="14.25" customHeight="1">
      <c r="A77" s="42"/>
      <c r="B77" s="10"/>
      <c r="C77" s="10"/>
      <c r="D77" s="10"/>
      <c r="E77" s="5"/>
    </row>
    <row r="78" spans="1:5" ht="14.25" customHeight="1">
      <c r="A78" s="42"/>
      <c r="B78" s="10"/>
      <c r="C78" s="10"/>
      <c r="D78" s="10" t="s">
        <v>6319</v>
      </c>
      <c r="E78" s="5"/>
    </row>
    <row r="79" spans="1:5" ht="14.25" customHeight="1">
      <c r="A79" s="42"/>
      <c r="B79" s="10"/>
      <c r="C79" s="10"/>
      <c r="D79" s="10"/>
      <c r="E79" s="5"/>
    </row>
    <row r="80" spans="1:5" ht="14.25" customHeight="1">
      <c r="A80" s="42"/>
      <c r="B80" s="10"/>
      <c r="C80" s="10"/>
      <c r="D80" s="10" t="s">
        <v>6320</v>
      </c>
      <c r="E80" s="5"/>
    </row>
    <row r="81" spans="1:5" ht="14.25" customHeight="1">
      <c r="A81" s="42"/>
      <c r="B81" s="10"/>
      <c r="C81" s="10"/>
      <c r="D81" s="10"/>
      <c r="E81" s="5"/>
    </row>
    <row r="82" spans="1:5" ht="14.25" customHeight="1">
      <c r="A82" s="42"/>
      <c r="B82" s="10"/>
      <c r="C82" s="10"/>
      <c r="D82" s="10" t="s">
        <v>6321</v>
      </c>
      <c r="E82" s="5"/>
    </row>
    <row r="83" spans="1:5" ht="14.25" customHeight="1">
      <c r="A83" s="42"/>
      <c r="B83" s="10"/>
      <c r="C83" s="10"/>
      <c r="D83" s="10"/>
      <c r="E83" s="5"/>
    </row>
    <row r="84" spans="1:5" ht="14.25" customHeight="1">
      <c r="A84" s="42"/>
      <c r="B84" s="10"/>
      <c r="C84" s="10"/>
      <c r="D84" s="10" t="s">
        <v>6322</v>
      </c>
      <c r="E84" s="5"/>
    </row>
    <row r="85" spans="1:5" ht="14.25" customHeight="1">
      <c r="A85" s="42"/>
      <c r="B85" s="10"/>
      <c r="C85" s="10"/>
      <c r="D85" s="10"/>
      <c r="E85" s="5"/>
    </row>
    <row r="86" spans="1:5" ht="14.25" customHeight="1">
      <c r="A86" s="42"/>
      <c r="B86" s="10"/>
      <c r="C86" s="10"/>
      <c r="D86" s="10" t="s">
        <v>6323</v>
      </c>
      <c r="E86" s="5"/>
    </row>
    <row r="87" spans="1:5" ht="14.25" customHeight="1">
      <c r="A87" s="42"/>
      <c r="B87" s="10"/>
      <c r="C87" s="10"/>
      <c r="D87" s="10"/>
      <c r="E87" s="5"/>
    </row>
    <row r="88" spans="1:5" ht="14.25" customHeight="1">
      <c r="A88" s="42"/>
      <c r="B88" s="10"/>
      <c r="C88" s="10"/>
      <c r="D88" s="10" t="s">
        <v>6324</v>
      </c>
      <c r="E88" s="5"/>
    </row>
    <row r="89" spans="1:5" ht="14.25" customHeight="1">
      <c r="A89" s="42"/>
      <c r="B89" s="10"/>
      <c r="C89" s="10"/>
      <c r="D89" s="10"/>
      <c r="E89" s="5"/>
    </row>
    <row r="90" spans="1:5" ht="14.25" customHeight="1">
      <c r="A90" s="42"/>
      <c r="B90" s="10"/>
      <c r="C90" s="10"/>
      <c r="D90" s="10" t="s">
        <v>6325</v>
      </c>
      <c r="E90" s="5"/>
    </row>
    <row r="91" spans="1:5" ht="14.25" customHeight="1">
      <c r="A91" s="42"/>
      <c r="B91" s="10"/>
      <c r="C91" s="10"/>
      <c r="D91" s="10"/>
      <c r="E91" s="5"/>
    </row>
    <row r="92" spans="1:5" ht="14.25" customHeight="1">
      <c r="A92" s="42"/>
      <c r="B92" s="10"/>
      <c r="C92" s="10"/>
      <c r="D92" s="10" t="s">
        <v>6326</v>
      </c>
      <c r="E92" s="5"/>
    </row>
    <row r="93" spans="1:5" ht="14.25" customHeight="1">
      <c r="A93" s="42"/>
      <c r="B93" s="10"/>
      <c r="C93" s="10"/>
      <c r="D93" s="10"/>
      <c r="E93" s="5"/>
    </row>
    <row r="94" spans="1:5" ht="14.25" customHeight="1">
      <c r="A94" s="42"/>
      <c r="B94" s="10"/>
      <c r="C94" s="10"/>
      <c r="D94" s="10" t="s">
        <v>6327</v>
      </c>
      <c r="E94" s="5"/>
    </row>
    <row r="95" spans="1:5" ht="14.25" customHeight="1">
      <c r="A95" s="42"/>
      <c r="B95" s="10"/>
      <c r="C95" s="10"/>
      <c r="D95" s="10"/>
      <c r="E95" s="5"/>
    </row>
    <row r="96" spans="1:5" ht="14.25" customHeight="1">
      <c r="A96" s="42"/>
      <c r="B96" s="10"/>
      <c r="C96" s="10"/>
      <c r="D96" s="10" t="s">
        <v>6328</v>
      </c>
      <c r="E96" s="5"/>
    </row>
    <row r="97" spans="1:5" ht="14.25" customHeight="1">
      <c r="A97" s="42"/>
      <c r="B97" s="10"/>
      <c r="C97" s="10"/>
      <c r="D97" s="10"/>
      <c r="E97" s="5"/>
    </row>
    <row r="98" spans="1:5" ht="14.25" customHeight="1">
      <c r="A98" s="42"/>
      <c r="B98" s="10"/>
      <c r="C98" s="10"/>
      <c r="D98" s="10" t="s">
        <v>6329</v>
      </c>
      <c r="E98" s="5"/>
    </row>
    <row r="99" spans="1:5" ht="14.25" customHeight="1">
      <c r="A99" s="42"/>
      <c r="B99" s="10"/>
      <c r="C99" s="10"/>
      <c r="D99" s="10"/>
      <c r="E99" s="5"/>
    </row>
    <row r="100" spans="1:5" ht="14.25" customHeight="1">
      <c r="A100" s="42"/>
      <c r="B100" s="10"/>
      <c r="C100" s="10"/>
      <c r="D100" s="10" t="s">
        <v>6330</v>
      </c>
      <c r="E100" s="5"/>
    </row>
  </sheetData>
  <pageMargins left="0.75" right="0.75" top="1" bottom="1"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1" width="48" customWidth="1"/>
    <col min="2" max="2" width="47.44140625" customWidth="1"/>
    <col min="3" max="3" width="23.109375" customWidth="1"/>
    <col min="4" max="4" width="47.44140625" customWidth="1"/>
    <col min="5" max="5" width="56.88671875" customWidth="1"/>
  </cols>
  <sheetData>
    <row r="1" spans="1:5" ht="14.25" customHeight="1">
      <c r="A1" s="12" t="s">
        <v>6331</v>
      </c>
      <c r="E1" s="2"/>
    </row>
    <row r="2" spans="1:5" ht="14.25" customHeight="1">
      <c r="A2" s="41" t="s">
        <v>6332</v>
      </c>
      <c r="B2" s="10" t="s">
        <v>6333</v>
      </c>
      <c r="C2" s="10"/>
      <c r="D2" s="10" t="s">
        <v>4552</v>
      </c>
      <c r="E2" s="5" t="str">
        <f ca="1">IFERROR(__xludf.DUMMYFUNCTION("FILTER(D1:D1002,D1:D1002&lt;&gt; """")"),"Táitóu kàn kàn tiānkōng!")</f>
        <v>Táitóu kàn kàn tiānkōng!</v>
      </c>
    </row>
    <row r="3" spans="1:5" ht="14.25" customHeight="1">
      <c r="A3" s="41" t="s">
        <v>6334</v>
      </c>
      <c r="B3" s="10" t="s">
        <v>6335</v>
      </c>
      <c r="C3" s="10"/>
      <c r="D3" s="10"/>
      <c r="E3" s="6" t="str">
        <f ca="1">IFERROR(__xludf.DUMMYFUNCTION("""COMPUTED_VALUE"""),"Jīntiān de tiānkōng zhēn lán a!")</f>
        <v>Jīntiān de tiānkōng zhēn lán a!</v>
      </c>
    </row>
    <row r="4" spans="1:5" ht="14.25" customHeight="1">
      <c r="A4" s="41" t="s">
        <v>6336</v>
      </c>
      <c r="B4" s="10" t="s">
        <v>6337</v>
      </c>
      <c r="C4" s="10"/>
      <c r="D4" s="10" t="s">
        <v>6338</v>
      </c>
      <c r="E4" s="5" t="str">
        <f ca="1">IFERROR(__xludf.DUMMYFUNCTION("""COMPUTED_VALUE"""),"Yǒu péngsōng de báiyún.")</f>
        <v>Yǒu péngsōng de báiyún.</v>
      </c>
    </row>
    <row r="5" spans="1:5" ht="14.25" customHeight="1">
      <c r="A5" s="41" t="s">
        <v>6339</v>
      </c>
      <c r="B5" s="10" t="s">
        <v>6340</v>
      </c>
      <c r="C5" s="10"/>
      <c r="D5" s="10"/>
      <c r="E5" s="5" t="str">
        <f ca="1">IFERROR(__xludf.DUMMYFUNCTION("""COMPUTED_VALUE"""),"Nà duǒ yún kàn qǐlái xiàng yī zhǐ tùzǐ.")</f>
        <v>Nà duǒ yún kàn qǐlái xiàng yī zhǐ tùzǐ.</v>
      </c>
    </row>
    <row r="6" spans="1:5" ht="14.25" customHeight="1">
      <c r="A6" s="41" t="s">
        <v>6341</v>
      </c>
      <c r="B6" s="10" t="s">
        <v>6342</v>
      </c>
      <c r="C6" s="10"/>
      <c r="D6" s="10" t="s">
        <v>6343</v>
      </c>
      <c r="E6" s="5" t="str">
        <f ca="1">IFERROR(__xludf.DUMMYFUNCTION("""COMPUTED_VALUE"""),"Báitiān tàiyáng gāo zhàoyàozhe dàdì.")</f>
        <v>Báitiān tàiyáng gāo zhàoyàozhe dàdì.</v>
      </c>
    </row>
    <row r="7" spans="1:5" ht="14.25" customHeight="1">
      <c r="A7" s="41" t="s">
        <v>6344</v>
      </c>
      <c r="B7" s="10" t="s">
        <v>6345</v>
      </c>
      <c r="C7" s="10"/>
      <c r="D7" s="10"/>
      <c r="E7" s="5" t="str">
        <f ca="1">IFERROR(__xludf.DUMMYFUNCTION("""COMPUTED_VALUE"""),"Bùyào zhí shì tàiyáng.")</f>
        <v>Bùyào zhí shì tàiyáng.</v>
      </c>
    </row>
    <row r="8" spans="1:5" ht="14.25" customHeight="1">
      <c r="A8" s="41" t="s">
        <v>6346</v>
      </c>
      <c r="B8" s="10" t="s">
        <v>6347</v>
      </c>
      <c r="C8" s="10"/>
      <c r="D8" s="10" t="s">
        <v>6348</v>
      </c>
      <c r="E8" s="5" t="str">
        <f ca="1">IFERROR(__xludf.DUMMYFUNCTION("""COMPUTED_VALUE"""),"Tàiyáng yòu rè yòu dà.")</f>
        <v>Tàiyáng yòu rè yòu dà.</v>
      </c>
    </row>
    <row r="9" spans="1:5" ht="14.25" customHeight="1">
      <c r="A9" s="41" t="s">
        <v>6349</v>
      </c>
      <c r="B9" s="10" t="s">
        <v>6350</v>
      </c>
      <c r="C9" s="10"/>
      <c r="D9" s="10"/>
      <c r="E9" s="5" t="str">
        <f ca="1">IFERROR(__xludf.DUMMYFUNCTION("""COMPUTED_VALUE"""),"Wǎnshàng yǒu yuèliàng.")</f>
        <v>Wǎnshàng yǒu yuèliàng.</v>
      </c>
    </row>
    <row r="10" spans="1:5" ht="14.25" customHeight="1">
      <c r="A10" s="41" t="s">
        <v>6351</v>
      </c>
      <c r="B10" s="10" t="s">
        <v>6352</v>
      </c>
      <c r="C10" s="10"/>
      <c r="D10" s="10" t="s">
        <v>6353</v>
      </c>
      <c r="E10" s="5" t="str">
        <f ca="1">IFERROR(__xludf.DUMMYFUNCTION("""COMPUTED_VALUE"""),"Jīn wǎn de yuèliàng hǎo yuán a!")</f>
        <v>Jīn wǎn de yuèliàng hǎo yuán a!</v>
      </c>
    </row>
    <row r="11" spans="1:5" ht="14.25" customHeight="1">
      <c r="A11" s="41" t="s">
        <v>6354</v>
      </c>
      <c r="B11" s="10" t="s">
        <v>6355</v>
      </c>
      <c r="C11" s="10"/>
      <c r="D11" s="10"/>
      <c r="E11" s="5" t="str">
        <f ca="1">IFERROR(__xludf.DUMMYFUNCTION("""COMPUTED_VALUE"""),"Wān yuè kàn qǐlái xiàng yī sōu xiǎochuán.")</f>
        <v>Wān yuè kàn qǐlái xiàng yī sōu xiǎochuán.</v>
      </c>
    </row>
    <row r="12" spans="1:5" ht="14.25" customHeight="1">
      <c r="A12" s="41" t="s">
        <v>6356</v>
      </c>
      <c r="B12" s="10" t="s">
        <v>6357</v>
      </c>
      <c r="C12" s="10"/>
      <c r="D12" s="10" t="s">
        <v>6358</v>
      </c>
      <c r="E12" s="6" t="str">
        <f ca="1">IFERROR(__xludf.DUMMYFUNCTION("""COMPUTED_VALUE"""),"Wǒ kàn dào hǎoduō shǎnshuò de xīngxīng.")</f>
        <v>Wǒ kàn dào hǎoduō shǎnshuò de xīngxīng.</v>
      </c>
    </row>
    <row r="13" spans="1:5" ht="14.25" customHeight="1">
      <c r="A13" s="41" t="s">
        <v>6359</v>
      </c>
      <c r="B13" s="10" t="s">
        <v>6360</v>
      </c>
      <c r="C13" s="10"/>
      <c r="D13" s="10"/>
      <c r="E13" s="6" t="str">
        <f ca="1">IFERROR(__xludf.DUMMYFUNCTION("""COMPUTED_VALUE"""),"Wǒ xiǎng cóng tiānshàng zhāi yī kē xīngxīng.")</f>
        <v>Wǒ xiǎng cóng tiānshàng zhāi yī kē xīngxīng.</v>
      </c>
    </row>
    <row r="14" spans="1:5" ht="14.25" customHeight="1">
      <c r="A14" s="41" t="s">
        <v>6361</v>
      </c>
      <c r="B14" s="10" t="s">
        <v>6362</v>
      </c>
      <c r="C14" s="10"/>
      <c r="D14" s="10" t="s">
        <v>6363</v>
      </c>
      <c r="E14" s="6" t="str">
        <f ca="1">IFERROR(__xludf.DUMMYFUNCTION("""COMPUTED_VALUE"""),"Wǒ zài xúnzhǎo běidǒu qīxīng.")</f>
        <v>Wǒ zài xúnzhǎo běidǒu qīxīng.</v>
      </c>
    </row>
    <row r="15" spans="1:5" ht="14.25" customHeight="1">
      <c r="A15" s="41" t="s">
        <v>6364</v>
      </c>
      <c r="B15" s="10" t="s">
        <v>6365</v>
      </c>
      <c r="C15" s="10"/>
      <c r="D15" s="10"/>
      <c r="E15" s="6" t="str">
        <f ca="1">IFERROR(__xludf.DUMMYFUNCTION("""COMPUTED_VALUE"""),"Yī kē liúxīng gānggāng huàguò tiānjì!")</f>
        <v>Yī kē liúxīng gānggāng huàguò tiānjì!</v>
      </c>
    </row>
    <row r="16" spans="1:5" ht="14.25" customHeight="1">
      <c r="A16" s="41" t="s">
        <v>6366</v>
      </c>
      <c r="B16" s="10" t="s">
        <v>6367</v>
      </c>
      <c r="C16" s="10"/>
      <c r="D16" s="10" t="s">
        <v>6368</v>
      </c>
      <c r="E16" s="6" t="str">
        <f ca="1">IFERROR(__xludf.DUMMYFUNCTION("""COMPUTED_VALUE"""),"Wǒ yào bì shàng yǎnjīng xǔ gè yuàn.")</f>
        <v>Wǒ yào bì shàng yǎnjīng xǔ gè yuàn.</v>
      </c>
    </row>
    <row r="17" spans="1:5" ht="14.25" customHeight="1">
      <c r="A17" s="41" t="s">
        <v>6369</v>
      </c>
      <c r="B17" s="10" t="s">
        <v>6370</v>
      </c>
      <c r="C17" s="10"/>
      <c r="D17" s="10"/>
      <c r="E17" s="6" t="str">
        <f ca="1">IFERROR(__xludf.DUMMYFUNCTION("""COMPUTED_VALUE"""),"Wǒ xiǎng qù tàikōng.")</f>
        <v>Wǒ xiǎng qù tàikōng.</v>
      </c>
    </row>
    <row r="18" spans="1:5" ht="14.25" customHeight="1">
      <c r="A18" s="41" t="s">
        <v>6371</v>
      </c>
      <c r="B18" s="10" t="s">
        <v>6372</v>
      </c>
      <c r="C18" s="10"/>
      <c r="D18" s="10" t="s">
        <v>6373</v>
      </c>
      <c r="E18" s="5" t="str">
        <f ca="1">IFERROR(__xludf.DUMMYFUNCTION("""COMPUTED_VALUE"""),"Wǒ yào chuān shàng yǔháng fú.")</f>
        <v>Wǒ yào chuān shàng yǔháng fú.</v>
      </c>
    </row>
    <row r="19" spans="1:5" ht="14.25" customHeight="1">
      <c r="A19" s="41" t="s">
        <v>6374</v>
      </c>
      <c r="B19" s="10" t="s">
        <v>6375</v>
      </c>
      <c r="C19" s="10"/>
      <c r="D19" s="10"/>
      <c r="E19" s="4" t="str">
        <f ca="1">IFERROR(__xludf.DUMMYFUNCTION("""COMPUTED_VALUE"""),"Wǒ yào zuò yǔzhòu fēichuán.")</f>
        <v>Wǒ yào zuò yǔzhòu fēichuán.</v>
      </c>
    </row>
    <row r="20" spans="1:5" ht="14.25" customHeight="1">
      <c r="A20" s="41" t="s">
        <v>6376</v>
      </c>
      <c r="B20" s="10" t="s">
        <v>6377</v>
      </c>
      <c r="C20" s="10"/>
      <c r="D20" s="10" t="s">
        <v>6378</v>
      </c>
      <c r="E20" s="5" t="str">
        <f ca="1">IFERROR(__xludf.DUMMYFUNCTION("""COMPUTED_VALUE"""),"Wǒmen dì dìqiú shì qiúxíng de.")</f>
        <v>Wǒmen dì dìqiú shì qiúxíng de.</v>
      </c>
    </row>
    <row r="21" spans="1:5" ht="14.25" customHeight="1">
      <c r="A21" s="41" t="s">
        <v>6379</v>
      </c>
      <c r="B21" s="10" t="s">
        <v>6380</v>
      </c>
      <c r="C21" s="10"/>
      <c r="D21" s="10"/>
      <c r="E21" s="6" t="str">
        <f ca="1">IFERROR(__xludf.DUMMYFUNCTION("""COMPUTED_VALUE"""),"Cóng tàikōng kàn, dìqiú shì lǜsè de.")</f>
        <v>Cóng tàikōng kàn, dìqiú shì lǜsè de.</v>
      </c>
    </row>
    <row r="22" spans="1:5" ht="14.25" customHeight="1">
      <c r="A22" s="41" t="s">
        <v>6381</v>
      </c>
      <c r="B22" s="10" t="s">
        <v>6382</v>
      </c>
      <c r="C22" s="10"/>
      <c r="D22" s="10" t="s">
        <v>6383</v>
      </c>
      <c r="E22" s="6" t="str">
        <f ca="1">IFERROR(__xludf.DUMMYFUNCTION("""COMPUTED_VALUE"""),"Tàiyángxì li yǒu duōshǎo kē xíngxīng?")</f>
        <v>Tàiyángxì li yǒu duōshǎo kē xíngxīng?</v>
      </c>
    </row>
    <row r="23" spans="1:5" ht="14.25" customHeight="1">
      <c r="A23" s="41" t="s">
        <v>6384</v>
      </c>
      <c r="B23" s="10" t="s">
        <v>6385</v>
      </c>
      <c r="C23" s="10"/>
      <c r="D23" s="10"/>
      <c r="E23" s="6" t="str">
        <f ca="1">IFERROR(__xludf.DUMMYFUNCTION("""COMPUTED_VALUE"""),"Huǒxīng bèi chēng wèi hóngsè xīngqiú.")</f>
        <v>Huǒxīng bèi chēng wèi hóngsè xīngqiú.</v>
      </c>
    </row>
    <row r="24" spans="1:5" ht="14.25" customHeight="1">
      <c r="A24" s="41" t="s">
        <v>6386</v>
      </c>
      <c r="B24" s="10" t="s">
        <v>6387</v>
      </c>
      <c r="C24" s="10"/>
      <c r="D24" s="10" t="s">
        <v>6388</v>
      </c>
      <c r="E24" s="6" t="str">
        <f ca="1">IFERROR(__xludf.DUMMYFUNCTION("""COMPUTED_VALUE"""),"Tǔxīng zhōuwéi yǒu guānghuán.")</f>
        <v>Tǔxīng zhōuwéi yǒu guānghuán.</v>
      </c>
    </row>
    <row r="25" spans="1:5" ht="14.25" customHeight="1">
      <c r="A25" s="41" t="s">
        <v>6389</v>
      </c>
      <c r="B25" s="10" t="s">
        <v>6390</v>
      </c>
      <c r="C25" s="10"/>
      <c r="D25" s="10"/>
      <c r="E25" s="6" t="str">
        <f ca="1">IFERROR(__xludf.DUMMYFUNCTION("""COMPUTED_VALUE"""),"Mùxīng shì zuìdà de xíngxīng. ")</f>
        <v xml:space="preserve">Mùxīng shì zuìdà de xíngxīng. </v>
      </c>
    </row>
    <row r="26" spans="1:5" ht="14.25" customHeight="1">
      <c r="A26" s="41" t="s">
        <v>6391</v>
      </c>
      <c r="B26" s="10" t="s">
        <v>6392</v>
      </c>
      <c r="C26" s="10"/>
      <c r="D26" s="10" t="s">
        <v>6393</v>
      </c>
      <c r="E26" s="6" t="str">
        <f ca="1">IFERROR(__xludf.DUMMYFUNCTION("""COMPUTED_VALUE"""),"Wǒ xiǎng yòng wàngyuǎnjìng.")</f>
        <v>Wǒ xiǎng yòng wàngyuǎnjìng.</v>
      </c>
    </row>
    <row r="27" spans="1:5" ht="14.25" customHeight="1">
      <c r="A27" s="41" t="s">
        <v>6394</v>
      </c>
      <c r="B27" s="10" t="s">
        <v>6395</v>
      </c>
      <c r="C27" s="10"/>
      <c r="D27" s="10"/>
      <c r="E27" s="6" t="str">
        <f ca="1">IFERROR(__xludf.DUMMYFUNCTION("""COMPUTED_VALUE"""),"Tòuguò wàngyuǎnjìng, xīngxīng kàn qǐlái gèng jìnle.")</f>
        <v>Tòuguò wàngyuǎnjìng, xīngxīng kàn qǐlái gèng jìnle.</v>
      </c>
    </row>
    <row r="28" spans="1:5" ht="14.25" customHeight="1">
      <c r="A28" s="41" t="s">
        <v>6396</v>
      </c>
      <c r="B28" s="10" t="s">
        <v>6397</v>
      </c>
      <c r="C28" s="10"/>
      <c r="D28" s="10" t="s">
        <v>6398</v>
      </c>
      <c r="E28" s="6" t="str">
        <f ca="1">IFERROR(__xludf.DUMMYFUNCTION("""COMPUTED_VALUE"""),"Yǒu wài xīng rén ma?")</f>
        <v>Yǒu wài xīng rén ma?</v>
      </c>
    </row>
    <row r="29" spans="1:5" ht="14.25" customHeight="1">
      <c r="A29" s="41" t="s">
        <v>6399</v>
      </c>
      <c r="B29" s="10" t="s">
        <v>6400</v>
      </c>
      <c r="C29" s="10"/>
      <c r="D29" s="10"/>
      <c r="E29" s="37" t="str">
        <f ca="1">IFERROR(__xludf.DUMMYFUNCTION("""COMPUTED_VALUE"""),"Wǒ xiǎng hé wài xīng rén jiāo péngyǒu.")</f>
        <v>Wǒ xiǎng hé wài xīng rén jiāo péngyǒu.</v>
      </c>
    </row>
    <row r="30" spans="1:5" ht="14.25" customHeight="1">
      <c r="A30" s="41" t="s">
        <v>6401</v>
      </c>
      <c r="B30" s="10" t="s">
        <v>6402</v>
      </c>
      <c r="C30" s="10"/>
      <c r="D30" s="10" t="s">
        <v>6403</v>
      </c>
      <c r="E30" s="6" t="str">
        <f ca="1">IFERROR(__xludf.DUMMYFUNCTION("""COMPUTED_VALUE"""),"Yǔzhòu rúcǐ hàohàn shénmì.")</f>
        <v>Yǔzhòu rúcǐ hàohàn shénmì.</v>
      </c>
    </row>
    <row r="31" spans="1:5" ht="14.25" customHeight="1">
      <c r="A31" s="41" t="s">
        <v>6404</v>
      </c>
      <c r="B31" s="10" t="s">
        <v>6405</v>
      </c>
      <c r="C31" s="10"/>
      <c r="D31" s="10"/>
      <c r="E31" s="4" t="str">
        <f ca="1">IFERROR(__xludf.DUMMYFUNCTION("""COMPUTED_VALUE"""),"Yǔ hòu huì chūxiàn cǎihóng.")</f>
        <v>Yǔ hòu huì chūxiàn cǎihóng.</v>
      </c>
    </row>
    <row r="32" spans="1:5" ht="14.25" customHeight="1">
      <c r="A32" s="41" t="s">
        <v>6406</v>
      </c>
      <c r="B32" s="10" t="s">
        <v>6407</v>
      </c>
      <c r="C32" s="10"/>
      <c r="D32" s="10" t="s">
        <v>6408</v>
      </c>
      <c r="E32" s="4" t="str">
        <f ca="1">IFERROR(__xludf.DUMMYFUNCTION("""COMPUTED_VALUE"""),"Cǎihóng yǒu qī zhǒng xiānyàn de yánsè.")</f>
        <v>Cǎihóng yǒu qī zhǒng xiānyàn de yánsè.</v>
      </c>
    </row>
    <row r="33" spans="1:5" ht="14.25" customHeight="1">
      <c r="A33" s="41" t="s">
        <v>6409</v>
      </c>
      <c r="B33" s="10" t="s">
        <v>6410</v>
      </c>
      <c r="C33" s="10"/>
      <c r="D33" s="10"/>
      <c r="E33" s="4" t="str">
        <f ca="1">IFERROR(__xludf.DUMMYFUNCTION("""COMPUTED_VALUE"""),"Wǒ xǐhuān cǎihóng zhōng de zǐsè.")</f>
        <v>Wǒ xǐhuān cǎihóng zhōng de zǐsè.</v>
      </c>
    </row>
    <row r="34" spans="1:5" ht="14.25" customHeight="1">
      <c r="A34" s="41" t="s">
        <v>6411</v>
      </c>
      <c r="B34" s="10" t="s">
        <v>6412</v>
      </c>
      <c r="C34" s="10"/>
      <c r="D34" s="10" t="s">
        <v>6413</v>
      </c>
      <c r="E34" s="4" t="str">
        <f ca="1">IFERROR(__xludf.DUMMYFUNCTION("""COMPUTED_VALUE"""),"Shǎndiàn kàn qǐlái hěn kěpà.")</f>
        <v>Shǎndiàn kàn qǐlái hěn kěpà.</v>
      </c>
    </row>
    <row r="35" spans="1:5" ht="14.25" customHeight="1">
      <c r="A35" s="41" t="s">
        <v>6414</v>
      </c>
      <c r="B35" s="10" t="s">
        <v>6415</v>
      </c>
      <c r="C35" s="10"/>
      <c r="D35" s="10"/>
      <c r="E35" s="8" t="str">
        <f ca="1">IFERROR(__xludf.DUMMYFUNCTION("""COMPUTED_VALUE"""),"Léi shēng lónglóng zuò xiǎng.")</f>
        <v>Léi shēng lónglóng zuò xiǎng.</v>
      </c>
    </row>
    <row r="36" spans="1:5" ht="14.25" customHeight="1">
      <c r="A36" s="41" t="s">
        <v>6416</v>
      </c>
      <c r="B36" s="10" t="s">
        <v>6417</v>
      </c>
      <c r="C36" s="10"/>
      <c r="D36" s="10" t="s">
        <v>6418</v>
      </c>
      <c r="E36" s="5" t="str">
        <f ca="1">IFERROR(__xludf.DUMMYFUNCTION("""COMPUTED_VALUE"""),"Dǎléi shǎndiàn de shíhòu, wǒ huì yòng tǎnzǐ bǎ zìjǐ gài qǐlái.")</f>
        <v>Dǎléi shǎndiàn de shíhòu, wǒ huì yòng tǎnzǐ bǎ zìjǐ gài qǐlái.</v>
      </c>
    </row>
    <row r="37" spans="1:5" ht="14.25" customHeight="1">
      <c r="A37" s="41" t="s">
        <v>6419</v>
      </c>
      <c r="B37" s="10" t="s">
        <v>6420</v>
      </c>
      <c r="C37" s="10"/>
      <c r="D37" s="10"/>
      <c r="E37" s="8" t="str">
        <f ca="1">IFERROR(__xludf.DUMMYFUNCTION("""COMPUTED_VALUE"""),"Jīn wǎn yúncéng tài hòu, wǒ kàn bù dào xīngxīng.")</f>
        <v>Jīn wǎn yúncéng tài hòu, wǒ kàn bù dào xīngxīng.</v>
      </c>
    </row>
    <row r="38" spans="1:5" ht="14.25" customHeight="1">
      <c r="A38" s="41" t="s">
        <v>6421</v>
      </c>
      <c r="B38" s="10" t="s">
        <v>6422</v>
      </c>
      <c r="C38" s="10"/>
      <c r="D38" s="10" t="s">
        <v>6423</v>
      </c>
      <c r="E38" s="5" t="str">
        <f ca="1">IFERROR(__xludf.DUMMYFUNCTION("""COMPUTED_VALUE"""),"Rì chū jiùshì tàiyáng shēng qǐ de shíhòu.")</f>
        <v>Rì chū jiùshì tàiyáng shēng qǐ de shíhòu.</v>
      </c>
    </row>
    <row r="39" spans="1:5" ht="14.25" customHeight="1">
      <c r="A39" s="41" t="s">
        <v>6424</v>
      </c>
      <c r="B39" s="10" t="s">
        <v>6425</v>
      </c>
      <c r="C39" s="10"/>
      <c r="D39" s="10"/>
      <c r="E39" s="6" t="str">
        <f ca="1">IFERROR(__xludf.DUMMYFUNCTION("""COMPUTED_VALUE"""),"Wǒ xǐhuān zài shānshàng kàn rì chū.")</f>
        <v>Wǒ xǐhuān zài shānshàng kàn rì chū.</v>
      </c>
    </row>
    <row r="40" spans="1:5" ht="14.25" customHeight="1">
      <c r="A40" s="41" t="s">
        <v>6426</v>
      </c>
      <c r="B40" s="10" t="s">
        <v>6427</v>
      </c>
      <c r="C40" s="10"/>
      <c r="D40" s="10" t="s">
        <v>6428</v>
      </c>
      <c r="E40" s="6" t="str">
        <f ca="1">IFERROR(__xludf.DUMMYFUNCTION("""COMPUTED_VALUE"""),"Tàikōng zhōng méiyǒu kòng qì.")</f>
        <v>Tàikōng zhōng méiyǒu kòng qì.</v>
      </c>
    </row>
    <row r="41" spans="1:5" ht="14.25" customHeight="1">
      <c r="A41" s="41" t="s">
        <v>6429</v>
      </c>
      <c r="B41" s="10" t="s">
        <v>6430</v>
      </c>
      <c r="C41" s="10"/>
      <c r="D41" s="10"/>
      <c r="E41" s="5" t="str">
        <f ca="1">IFERROR(__xludf.DUMMYFUNCTION("""COMPUTED_VALUE"""),"Yǔháng yuán bìxū xiédài yǎngqì guàn.")</f>
        <v>Yǔháng yuán bìxū xiédài yǎngqì guàn.</v>
      </c>
    </row>
    <row r="42" spans="1:5" ht="14.25" customHeight="1">
      <c r="A42" s="41" t="s">
        <v>6431</v>
      </c>
      <c r="B42" s="10" t="s">
        <v>6432</v>
      </c>
      <c r="C42" s="10"/>
      <c r="D42" s="10" t="s">
        <v>6433</v>
      </c>
      <c r="E42" s="4" t="str">
        <f ca="1">IFERROR(__xludf.DUMMYFUNCTION("""COMPUTED_VALUE"""),"Wǒ xiǎng chùmō yuèqiú.")</f>
        <v>Wǒ xiǎng chùmō yuèqiú.</v>
      </c>
    </row>
    <row r="43" spans="1:5" ht="14.25" customHeight="1">
      <c r="A43" s="41" t="s">
        <v>6434</v>
      </c>
      <c r="B43" s="10" t="s">
        <v>6435</v>
      </c>
      <c r="C43" s="10"/>
      <c r="D43" s="10"/>
      <c r="E43" s="5" t="str">
        <f ca="1">IFERROR(__xludf.DUMMYFUNCTION("""COMPUTED_VALUE"""),"Yuèqiú shàng yǒu hěnduō yǔnshí kēng.")</f>
        <v>Yuèqiú shàng yǒu hěnduō yǔnshí kēng.</v>
      </c>
    </row>
    <row r="44" spans="1:5" ht="14.25" customHeight="1">
      <c r="A44" s="41" t="s">
        <v>6436</v>
      </c>
      <c r="B44" s="10" t="s">
        <v>6437</v>
      </c>
      <c r="C44" s="10"/>
      <c r="D44" s="10" t="s">
        <v>6438</v>
      </c>
      <c r="E44" s="4" t="str">
        <f ca="1">IFERROR(__xludf.DUMMYFUNCTION("""COMPUTED_VALUE"""),"Yuèqiú shàng de zhònglì hěn ruò.")</f>
        <v>Yuèqiú shàng de zhònglì hěn ruò.</v>
      </c>
    </row>
    <row r="45" spans="1:5" ht="14.25" customHeight="1">
      <c r="A45" s="41" t="s">
        <v>6439</v>
      </c>
      <c r="B45" s="10" t="s">
        <v>6440</v>
      </c>
      <c r="C45" s="10"/>
      <c r="D45" s="10"/>
      <c r="E45" s="5" t="str">
        <f ca="1">IFERROR(__xludf.DUMMYFUNCTION("""COMPUTED_VALUE"""),"Wǒ kěyǐ zài yuèqiú shàng tiào dé hěn gāo.")</f>
        <v>Wǒ kěyǐ zài yuèqiú shàng tiào dé hěn gāo.</v>
      </c>
    </row>
    <row r="46" spans="1:5" ht="14.25" customHeight="1">
      <c r="A46" s="41" t="s">
        <v>6441</v>
      </c>
      <c r="B46" s="10" t="s">
        <v>6442</v>
      </c>
      <c r="C46" s="10"/>
      <c r="D46" s="10" t="s">
        <v>6443</v>
      </c>
      <c r="E46" s="4" t="str">
        <f ca="1">IFERROR(__xludf.DUMMYFUNCTION("""COMPUTED_VALUE"""),"Wǒ xiǎng xuéxí tiānwénxué.")</f>
        <v>Wǒ xiǎng xuéxí tiānwénxué.</v>
      </c>
    </row>
    <row r="47" spans="1:5" ht="14.25" customHeight="1">
      <c r="A47" s="41" t="s">
        <v>6444</v>
      </c>
      <c r="B47" s="10" t="s">
        <v>6445</v>
      </c>
      <c r="C47" s="10"/>
      <c r="D47" s="10"/>
      <c r="E47" s="4" t="str">
        <f ca="1">IFERROR(__xludf.DUMMYFUNCTION("""COMPUTED_VALUE"""),"Yǐhòu wǒ yào zào huǒjiàn.")</f>
        <v>Yǐhòu wǒ yào zào huǒjiàn.</v>
      </c>
    </row>
    <row r="48" spans="1:5" ht="14.25" customHeight="1">
      <c r="A48" s="41" t="s">
        <v>6446</v>
      </c>
      <c r="B48" s="10" t="s">
        <v>6447</v>
      </c>
      <c r="C48" s="10"/>
      <c r="D48" s="10" t="s">
        <v>6448</v>
      </c>
      <c r="E48" s="4" t="str">
        <f ca="1">IFERROR(__xludf.DUMMYFUNCTION("""COMPUTED_VALUE"""),"Huǒjiàn jiāng yǐ chāo guāngsù fēixíng.")</f>
        <v>Huǒjiàn jiāng yǐ chāo guāngsù fēixíng.</v>
      </c>
    </row>
    <row r="49" spans="1:5" ht="14.25" customHeight="1">
      <c r="A49" s="41" t="s">
        <v>6449</v>
      </c>
      <c r="B49" s="10" t="s">
        <v>6450</v>
      </c>
      <c r="C49" s="10"/>
      <c r="D49" s="10" t="s">
        <v>6451</v>
      </c>
      <c r="E49" s="5" t="str">
        <f ca="1">IFERROR(__xludf.DUMMYFUNCTION("""COMPUTED_VALUE"""),"Yèkōng rúcǐ níngjìng.")</f>
        <v>Yèkōng rúcǐ níngjìng.</v>
      </c>
    </row>
    <row r="50" spans="1:5" ht="14.25" customHeight="1">
      <c r="A50" s="41" t="s">
        <v>6452</v>
      </c>
      <c r="B50" s="10" t="s">
        <v>6453</v>
      </c>
      <c r="C50" s="10"/>
      <c r="D50" s="10" t="s">
        <v>6454</v>
      </c>
      <c r="E50" s="6" t="str">
        <f ca="1">IFERROR(__xludf.DUMMYFUNCTION("""COMPUTED_VALUE"""),"Wǒ jiàng zài xīngkōng xià ānrán rùshuì.")</f>
        <v>Wǒ jiàng zài xīngkōng xià ānrán rùshuì.</v>
      </c>
    </row>
    <row r="51" spans="1:5" ht="14.25" customHeight="1">
      <c r="A51" s="41" t="s">
        <v>6455</v>
      </c>
      <c r="B51" s="10" t="s">
        <v>6456</v>
      </c>
      <c r="C51" s="10"/>
      <c r="D51" s="10"/>
      <c r="E51" s="6" t="str">
        <f ca="1">IFERROR(__xludf.DUMMYFUNCTION("""COMPUTED_VALUE"""),"Zhù zhěnggè yǔzhòu wǎn'ān!")</f>
        <v>Zhù zhěnggè yǔzhòu wǎn'ān!</v>
      </c>
    </row>
    <row r="52" spans="1:5" ht="14.25" customHeight="1">
      <c r="A52" s="42"/>
      <c r="B52" s="10"/>
      <c r="C52" s="10"/>
      <c r="D52" s="10" t="s">
        <v>6457</v>
      </c>
    </row>
    <row r="53" spans="1:5" ht="14.25" customHeight="1">
      <c r="A53" s="42"/>
      <c r="B53" s="10"/>
      <c r="C53" s="10"/>
      <c r="D53" s="10"/>
      <c r="E53" s="5"/>
    </row>
    <row r="54" spans="1:5" ht="14.25" customHeight="1">
      <c r="A54" s="42"/>
      <c r="B54" s="10"/>
      <c r="C54" s="10"/>
      <c r="D54" s="10" t="s">
        <v>6458</v>
      </c>
      <c r="E54" s="5"/>
    </row>
    <row r="55" spans="1:5" ht="14.25" customHeight="1">
      <c r="A55" s="42"/>
      <c r="B55" s="10"/>
      <c r="C55" s="10"/>
      <c r="D55" s="10"/>
      <c r="E55" s="5"/>
    </row>
    <row r="56" spans="1:5" ht="14.25" customHeight="1">
      <c r="A56" s="42"/>
      <c r="B56" s="10"/>
      <c r="C56" s="10"/>
      <c r="D56" s="10" t="s">
        <v>6459</v>
      </c>
      <c r="E56" s="5"/>
    </row>
    <row r="57" spans="1:5" ht="14.25" customHeight="1">
      <c r="A57" s="42"/>
      <c r="B57" s="10"/>
      <c r="C57" s="10"/>
      <c r="D57" s="10"/>
      <c r="E57" s="5"/>
    </row>
    <row r="58" spans="1:5" ht="14.25" customHeight="1">
      <c r="A58" s="42"/>
      <c r="B58" s="10"/>
      <c r="C58" s="10"/>
      <c r="D58" s="10" t="s">
        <v>6460</v>
      </c>
      <c r="E58" s="5"/>
    </row>
    <row r="59" spans="1:5" ht="14.25" customHeight="1">
      <c r="A59" s="42"/>
      <c r="B59" s="10"/>
      <c r="C59" s="10"/>
      <c r="D59" s="10"/>
    </row>
    <row r="60" spans="1:5" ht="14.25" customHeight="1">
      <c r="A60" s="42"/>
      <c r="B60" s="10"/>
      <c r="C60" s="10"/>
      <c r="D60" s="10" t="s">
        <v>6461</v>
      </c>
      <c r="E60" s="5"/>
    </row>
    <row r="61" spans="1:5" ht="14.25" customHeight="1">
      <c r="A61" s="42"/>
      <c r="B61" s="10"/>
      <c r="C61" s="10"/>
      <c r="D61" s="10"/>
      <c r="E61" s="5"/>
    </row>
    <row r="62" spans="1:5" ht="14.25" customHeight="1">
      <c r="A62" s="42"/>
      <c r="B62" s="10"/>
      <c r="C62" s="10"/>
      <c r="D62" s="10" t="s">
        <v>6462</v>
      </c>
      <c r="E62" s="5"/>
    </row>
    <row r="63" spans="1:5" ht="14.25" customHeight="1">
      <c r="A63" s="42"/>
      <c r="B63" s="10"/>
      <c r="C63" s="10"/>
      <c r="D63" s="10"/>
      <c r="E63" s="5"/>
    </row>
    <row r="64" spans="1:5" ht="14.25" customHeight="1">
      <c r="A64" s="42"/>
      <c r="B64" s="10"/>
      <c r="C64" s="10"/>
      <c r="D64" s="10" t="s">
        <v>6463</v>
      </c>
      <c r="E64" s="5"/>
    </row>
    <row r="65" spans="1:5" ht="14.25" customHeight="1">
      <c r="A65" s="42"/>
      <c r="B65" s="10"/>
      <c r="C65" s="10"/>
      <c r="D65" s="10"/>
      <c r="E65" s="5"/>
    </row>
    <row r="66" spans="1:5" ht="14.25" customHeight="1">
      <c r="A66" s="42"/>
      <c r="B66" s="10"/>
      <c r="C66" s="10"/>
      <c r="D66" s="10" t="s">
        <v>6464</v>
      </c>
      <c r="E66" s="5"/>
    </row>
    <row r="67" spans="1:5" ht="14.25" customHeight="1">
      <c r="A67" s="42"/>
      <c r="B67" s="10"/>
      <c r="C67" s="10"/>
      <c r="D67" s="10"/>
      <c r="E67" s="5"/>
    </row>
    <row r="68" spans="1:5" ht="14.25" customHeight="1">
      <c r="A68" s="42"/>
      <c r="B68" s="10"/>
      <c r="C68" s="10"/>
      <c r="D68" s="10" t="s">
        <v>6465</v>
      </c>
      <c r="E68" s="5"/>
    </row>
    <row r="69" spans="1:5" ht="14.25" customHeight="1">
      <c r="A69" s="42"/>
      <c r="B69" s="10"/>
      <c r="C69" s="10"/>
      <c r="D69" s="10"/>
      <c r="E69" s="5"/>
    </row>
    <row r="70" spans="1:5" ht="14.25" customHeight="1">
      <c r="A70" s="42"/>
      <c r="B70" s="10"/>
      <c r="C70" s="10"/>
      <c r="D70" s="10" t="s">
        <v>6466</v>
      </c>
      <c r="E70" s="5"/>
    </row>
    <row r="71" spans="1:5" ht="14.25" customHeight="1">
      <c r="A71" s="42"/>
      <c r="B71" s="10"/>
      <c r="C71" s="10"/>
      <c r="D71" s="10"/>
      <c r="E71" s="5"/>
    </row>
    <row r="72" spans="1:5" ht="14.25" customHeight="1">
      <c r="A72" s="42"/>
      <c r="B72" s="10"/>
      <c r="C72" s="10"/>
      <c r="D72" s="10" t="s">
        <v>6467</v>
      </c>
      <c r="E72" s="5"/>
    </row>
    <row r="73" spans="1:5" ht="14.25" customHeight="1">
      <c r="A73" s="42"/>
      <c r="B73" s="10"/>
      <c r="C73" s="10"/>
      <c r="D73" s="10"/>
      <c r="E73" s="5"/>
    </row>
    <row r="74" spans="1:5" ht="14.25" customHeight="1">
      <c r="A74" s="42"/>
      <c r="B74" s="10"/>
      <c r="C74" s="10"/>
      <c r="D74" s="10" t="s">
        <v>6468</v>
      </c>
      <c r="E74" s="5"/>
    </row>
    <row r="75" spans="1:5" ht="14.25" customHeight="1">
      <c r="A75" s="42"/>
      <c r="B75" s="10"/>
      <c r="C75" s="10"/>
      <c r="D75" s="10"/>
      <c r="E75" s="5"/>
    </row>
    <row r="76" spans="1:5" ht="14.25" customHeight="1">
      <c r="A76" s="42"/>
      <c r="B76" s="10"/>
      <c r="C76" s="10"/>
      <c r="D76" s="10" t="s">
        <v>6469</v>
      </c>
      <c r="E76" s="5"/>
    </row>
    <row r="77" spans="1:5" ht="14.25" customHeight="1">
      <c r="A77" s="42"/>
      <c r="B77" s="10"/>
      <c r="C77" s="10"/>
      <c r="D77" s="10"/>
      <c r="E77" s="5"/>
    </row>
    <row r="78" spans="1:5" ht="14.25" customHeight="1">
      <c r="A78" s="42"/>
      <c r="B78" s="10"/>
      <c r="C78" s="10"/>
      <c r="D78" s="10" t="s">
        <v>6470</v>
      </c>
      <c r="E78" s="5"/>
    </row>
    <row r="79" spans="1:5" ht="14.25" customHeight="1">
      <c r="A79" s="42"/>
      <c r="B79" s="10"/>
      <c r="C79" s="10"/>
      <c r="D79" s="10"/>
      <c r="E79" s="5"/>
    </row>
    <row r="80" spans="1:5" ht="14.25" customHeight="1">
      <c r="A80" s="42"/>
      <c r="B80" s="10"/>
      <c r="C80" s="10"/>
      <c r="D80" s="10" t="s">
        <v>6471</v>
      </c>
      <c r="E80" s="5"/>
    </row>
    <row r="81" spans="1:5" ht="14.25" customHeight="1">
      <c r="A81" s="42"/>
      <c r="B81" s="10"/>
      <c r="C81" s="10"/>
      <c r="D81" s="10"/>
      <c r="E81" s="5"/>
    </row>
    <row r="82" spans="1:5" ht="14.25" customHeight="1">
      <c r="A82" s="42"/>
      <c r="B82" s="10"/>
      <c r="C82" s="10"/>
      <c r="D82" s="10" t="s">
        <v>6472</v>
      </c>
      <c r="E82" s="5"/>
    </row>
    <row r="83" spans="1:5" ht="14.25" customHeight="1">
      <c r="A83" s="42"/>
      <c r="B83" s="10"/>
      <c r="C83" s="10"/>
      <c r="D83" s="10"/>
      <c r="E83" s="5"/>
    </row>
    <row r="84" spans="1:5" ht="14.25" customHeight="1">
      <c r="A84" s="42"/>
      <c r="B84" s="10"/>
      <c r="C84" s="10"/>
      <c r="D84" s="10" t="s">
        <v>6473</v>
      </c>
      <c r="E84" s="5"/>
    </row>
    <row r="85" spans="1:5" ht="14.25" customHeight="1">
      <c r="A85" s="42"/>
      <c r="B85" s="10"/>
      <c r="C85" s="10"/>
      <c r="D85" s="10"/>
      <c r="E85" s="5"/>
    </row>
    <row r="86" spans="1:5" ht="14.25" customHeight="1">
      <c r="A86" s="42"/>
      <c r="B86" s="10"/>
      <c r="C86" s="10"/>
      <c r="D86" s="10" t="s">
        <v>6474</v>
      </c>
      <c r="E86" s="5"/>
    </row>
    <row r="87" spans="1:5" ht="14.25" customHeight="1">
      <c r="A87" s="42"/>
      <c r="B87" s="10"/>
      <c r="C87" s="10"/>
      <c r="D87" s="10"/>
      <c r="E87" s="5"/>
    </row>
    <row r="88" spans="1:5" ht="14.25" customHeight="1">
      <c r="A88" s="42"/>
      <c r="B88" s="10"/>
      <c r="C88" s="10"/>
      <c r="D88" s="10" t="s">
        <v>6475</v>
      </c>
      <c r="E88" s="5"/>
    </row>
    <row r="89" spans="1:5" ht="14.25" customHeight="1">
      <c r="A89" s="42"/>
      <c r="B89" s="10"/>
      <c r="C89" s="10"/>
      <c r="D89" s="10"/>
      <c r="E89" s="5"/>
    </row>
    <row r="90" spans="1:5" ht="14.25" customHeight="1">
      <c r="A90" s="42"/>
      <c r="B90" s="10"/>
      <c r="C90" s="10"/>
      <c r="D90" s="10" t="s">
        <v>6476</v>
      </c>
      <c r="E90" s="5"/>
    </row>
    <row r="91" spans="1:5" ht="14.25" customHeight="1">
      <c r="A91" s="42"/>
      <c r="B91" s="10"/>
      <c r="C91" s="10"/>
      <c r="D91" s="10"/>
      <c r="E91" s="5"/>
    </row>
    <row r="92" spans="1:5" ht="14.25" customHeight="1">
      <c r="A92" s="42"/>
      <c r="B92" s="10"/>
      <c r="C92" s="10"/>
      <c r="D92" s="10" t="s">
        <v>6477</v>
      </c>
      <c r="E92" s="5"/>
    </row>
    <row r="93" spans="1:5" ht="14.25" customHeight="1">
      <c r="A93" s="42"/>
      <c r="B93" s="10"/>
      <c r="C93" s="10"/>
      <c r="D93" s="10"/>
      <c r="E93" s="5"/>
    </row>
    <row r="94" spans="1:5" ht="14.25" customHeight="1">
      <c r="A94" s="42"/>
      <c r="B94" s="10"/>
      <c r="C94" s="10"/>
      <c r="D94" s="10" t="s">
        <v>6478</v>
      </c>
      <c r="E94" s="5"/>
    </row>
    <row r="95" spans="1:5" ht="14.25" customHeight="1">
      <c r="A95" s="42"/>
      <c r="B95" s="10"/>
      <c r="C95" s="10"/>
      <c r="D95" s="10"/>
      <c r="E95" s="5"/>
    </row>
    <row r="96" spans="1:5" ht="14.25" customHeight="1">
      <c r="A96" s="42"/>
      <c r="B96" s="10"/>
      <c r="C96" s="10"/>
      <c r="D96" s="10" t="s">
        <v>6479</v>
      </c>
      <c r="E96" s="5"/>
    </row>
    <row r="97" spans="1:5" ht="14.25" customHeight="1">
      <c r="A97" s="42"/>
      <c r="B97" s="10"/>
      <c r="C97" s="10"/>
      <c r="D97" s="10"/>
      <c r="E97" s="5"/>
    </row>
    <row r="98" spans="1:5" ht="14.25" customHeight="1">
      <c r="A98" s="42"/>
      <c r="B98" s="10"/>
      <c r="C98" s="10"/>
      <c r="D98" s="10" t="s">
        <v>6480</v>
      </c>
      <c r="E98" s="5"/>
    </row>
  </sheetData>
  <pageMargins left="0.75" right="0.75" top="1" bottom="1"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2" width="58.33203125" customWidth="1"/>
    <col min="3" max="3" width="36.109375" customWidth="1"/>
    <col min="4" max="4" width="58.33203125" customWidth="1"/>
    <col min="5" max="5" width="56.88671875" customWidth="1"/>
  </cols>
  <sheetData>
    <row r="1" spans="1:5" ht="14.25" customHeight="1">
      <c r="A1" s="12" t="s">
        <v>6481</v>
      </c>
      <c r="E1" s="2"/>
    </row>
    <row r="2" spans="1:5" ht="14.25" customHeight="1">
      <c r="A2" s="41" t="s">
        <v>3038</v>
      </c>
      <c r="B2" s="43" t="s">
        <v>1131</v>
      </c>
      <c r="C2" s="46"/>
      <c r="D2" s="46" t="s">
        <v>3039</v>
      </c>
      <c r="E2" s="5" t="str">
        <f ca="1">IFERROR(__xludf.DUMMYFUNCTION("FILTER(D1:D1004,D1:D1004&lt;&gt; """")"),"Xiànzài jǐ diǎn?")</f>
        <v>Xiànzài jǐ diǎn?</v>
      </c>
    </row>
    <row r="3" spans="1:5" ht="14.25" customHeight="1">
      <c r="A3" s="41" t="s">
        <v>6482</v>
      </c>
      <c r="B3" s="43" t="s">
        <v>6483</v>
      </c>
      <c r="C3" s="46"/>
      <c r="D3" s="46"/>
      <c r="E3" s="6" t="str">
        <f ca="1">IFERROR(__xludf.DUMMYFUNCTION("""COMPUTED_VALUE"""),"Zǎoshang 7 diǎn.")</f>
        <v>Zǎoshang 7 diǎn.</v>
      </c>
    </row>
    <row r="4" spans="1:5" ht="14.25" customHeight="1">
      <c r="A4" s="41" t="s">
        <v>6484</v>
      </c>
      <c r="B4" s="43" t="s">
        <v>6485</v>
      </c>
      <c r="C4" s="46"/>
      <c r="D4" s="46" t="s">
        <v>3044</v>
      </c>
      <c r="E4" s="5" t="str">
        <f ca="1">IFERROR(__xludf.DUMMYFUNCTION("""COMPUTED_VALUE"""),"Wǒ xiànzài bìxū chūfā.")</f>
        <v>Wǒ xiànzài bìxū chūfā.</v>
      </c>
    </row>
    <row r="5" spans="1:5" ht="14.25" customHeight="1">
      <c r="A5" s="41" t="s">
        <v>6486</v>
      </c>
      <c r="B5" s="43" t="s">
        <v>6487</v>
      </c>
      <c r="C5" s="46"/>
      <c r="D5" s="46"/>
      <c r="E5" s="5" t="str">
        <f ca="1">IFERROR(__xludf.DUMMYFUNCTION("""COMPUTED_VALUE"""),"Wǒ huì zhǔnshí dàodá.")</f>
        <v>Wǒ huì zhǔnshí dàodá.</v>
      </c>
    </row>
    <row r="6" spans="1:5" ht="14.25" customHeight="1">
      <c r="A6" s="41" t="s">
        <v>6488</v>
      </c>
      <c r="B6" s="43" t="s">
        <v>6489</v>
      </c>
      <c r="C6" s="46"/>
      <c r="D6" s="46" t="s">
        <v>6490</v>
      </c>
      <c r="E6" s="5" t="str">
        <f ca="1">IFERROR(__xludf.DUMMYFUNCTION("""COMPUTED_VALUE"""),"Bié chídào.")</f>
        <v>Bié chídào.</v>
      </c>
    </row>
    <row r="7" spans="1:5" ht="14.25" customHeight="1">
      <c r="A7" s="41" t="s">
        <v>6491</v>
      </c>
      <c r="B7" s="43" t="s">
        <v>6492</v>
      </c>
      <c r="C7" s="46"/>
      <c r="D7" s="46"/>
      <c r="E7" s="5" t="str">
        <f ca="1">IFERROR(__xludf.DUMMYFUNCTION("""COMPUTED_VALUE"""),"Wǒ zài děng gōngjiāo chē.")</f>
        <v>Wǒ zài děng gōngjiāo chē.</v>
      </c>
    </row>
    <row r="8" spans="1:5" ht="14.25" customHeight="1">
      <c r="A8" s="41" t="s">
        <v>6493</v>
      </c>
      <c r="B8" s="41" t="s">
        <v>112</v>
      </c>
      <c r="C8" s="42"/>
      <c r="D8" s="42" t="s">
        <v>6494</v>
      </c>
      <c r="E8" s="5" t="str">
        <f ca="1">IFERROR(__xludf.DUMMYFUNCTION("""COMPUTED_VALUE"""),"Děng wǒ yīhuǐ'er.")</f>
        <v>Děng wǒ yīhuǐ'er.</v>
      </c>
    </row>
    <row r="9" spans="1:5" ht="14.25" customHeight="1">
      <c r="A9" s="41" t="s">
        <v>6495</v>
      </c>
      <c r="B9" s="43" t="s">
        <v>6496</v>
      </c>
      <c r="C9" s="46"/>
      <c r="D9" s="46"/>
      <c r="E9" s="5" t="str">
        <f ca="1">IFERROR(__xludf.DUMMYFUNCTION("""COMPUTED_VALUE"""),"Wǒ 5 fēnzhōng hòu huílái.")</f>
        <v>Wǒ 5 fēnzhōng hòu huílái.</v>
      </c>
    </row>
    <row r="10" spans="1:5" ht="14.25" customHeight="1">
      <c r="A10" s="41" t="s">
        <v>3056</v>
      </c>
      <c r="B10" s="43" t="s">
        <v>3057</v>
      </c>
      <c r="C10" s="46"/>
      <c r="D10" s="46" t="s">
        <v>6497</v>
      </c>
      <c r="E10" s="5" t="str">
        <f ca="1">IFERROR(__xludf.DUMMYFUNCTION("""COMPUTED_VALUE"""),"Jīntiān xīngqí jǐ?")</f>
        <v>Jīntiān xīngqí jǐ?</v>
      </c>
    </row>
    <row r="11" spans="1:5" ht="14.25" customHeight="1">
      <c r="A11" s="41" t="s">
        <v>6498</v>
      </c>
      <c r="B11" s="43" t="s">
        <v>3059</v>
      </c>
      <c r="C11" s="46"/>
      <c r="D11" s="46"/>
      <c r="E11" s="5" t="str">
        <f ca="1">IFERROR(__xludf.DUMMYFUNCTION("""COMPUTED_VALUE"""),"Jīntiān shì xīngqí yī.")</f>
        <v>Jīntiān shì xīngqí yī.</v>
      </c>
    </row>
    <row r="12" spans="1:5" ht="14.25" customHeight="1">
      <c r="A12" s="41" t="s">
        <v>6499</v>
      </c>
      <c r="B12" s="43" t="s">
        <v>6500</v>
      </c>
      <c r="C12" s="46"/>
      <c r="D12" s="46" t="s">
        <v>6501</v>
      </c>
      <c r="E12" s="6" t="str">
        <f ca="1">IFERROR(__xludf.DUMMYFUNCTION("""COMPUTED_VALUE"""),"Míngtiān shì wǒ de shēngrì.")</f>
        <v>Míngtiān shì wǒ de shēngrì.</v>
      </c>
    </row>
    <row r="13" spans="1:5" ht="14.25" customHeight="1">
      <c r="A13" s="41" t="s">
        <v>6502</v>
      </c>
      <c r="B13" s="43" t="s">
        <v>6503</v>
      </c>
      <c r="C13" s="46"/>
      <c r="D13" s="46"/>
      <c r="E13" s="6" t="str">
        <f ca="1">IFERROR(__xludf.DUMMYFUNCTION("""COMPUTED_VALUE"""),"Zuótiān wǒ qù gōngyuánle.")</f>
        <v>Zuótiān wǒ qù gōngyuánle.</v>
      </c>
    </row>
    <row r="14" spans="1:5" ht="14.25" customHeight="1">
      <c r="A14" s="41" t="s">
        <v>6504</v>
      </c>
      <c r="B14" s="43" t="s">
        <v>6505</v>
      </c>
      <c r="C14" s="46"/>
      <c r="D14" s="46" t="s">
        <v>6506</v>
      </c>
      <c r="E14" s="6" t="str">
        <f ca="1">IFERROR(__xludf.DUMMYFUNCTION("""COMPUTED_VALUE"""),"Wǒmen xià zhōu qù hǎitān ba.")</f>
        <v>Wǒmen xià zhōu qù hǎitān ba.</v>
      </c>
    </row>
    <row r="15" spans="1:5" ht="14.25" customHeight="1">
      <c r="A15" s="41" t="s">
        <v>6507</v>
      </c>
      <c r="B15" s="43" t="s">
        <v>6508</v>
      </c>
      <c r="C15" s="46"/>
      <c r="D15" s="46"/>
      <c r="E15" s="6" t="str">
        <f ca="1">IFERROR(__xludf.DUMMYFUNCTION("""COMPUTED_VALUE"""),"Wǒ zǎoshang 8 diǎn yǒu kè.")</f>
        <v>Wǒ zǎoshang 8 diǎn yǒu kè.</v>
      </c>
    </row>
    <row r="16" spans="1:5" ht="14.25" customHeight="1">
      <c r="A16" s="41" t="s">
        <v>6509</v>
      </c>
      <c r="B16" s="43" t="s">
        <v>6510</v>
      </c>
      <c r="C16" s="46"/>
      <c r="D16" s="46" t="s">
        <v>6511</v>
      </c>
      <c r="E16" s="6" t="str">
        <f ca="1">IFERROR(__xludf.DUMMYFUNCTION("""COMPUTED_VALUE"""),"Wǒ tōngcháng xiàwǔ 1 diǎn wǔshuì.")</f>
        <v>Wǒ tōngcháng xiàwǔ 1 diǎn wǔshuì.</v>
      </c>
    </row>
    <row r="17" spans="1:5" ht="14.25" customHeight="1">
      <c r="A17" s="41" t="s">
        <v>6512</v>
      </c>
      <c r="B17" s="43" t="s">
        <v>6513</v>
      </c>
      <c r="C17" s="46"/>
      <c r="D17" s="46"/>
      <c r="E17" s="6" t="str">
        <f ca="1">IFERROR(__xludf.DUMMYFUNCTION("""COMPUTED_VALUE"""),"Wǒ zǎoshang chī miànbāo.")</f>
        <v>Wǒ zǎoshang chī miànbāo.</v>
      </c>
    </row>
    <row r="18" spans="1:5" ht="14.25" customHeight="1">
      <c r="A18" s="41" t="s">
        <v>6514</v>
      </c>
      <c r="B18" s="43" t="s">
        <v>6515</v>
      </c>
      <c r="C18" s="46"/>
      <c r="D18" s="46" t="s">
        <v>3077</v>
      </c>
      <c r="E18" s="5" t="str">
        <f ca="1">IFERROR(__xludf.DUMMYFUNCTION("""COMPUTED_VALUE"""),"Wǒ xiàwǔ tī zúqiú.")</f>
        <v>Wǒ xiàwǔ tī zúqiú.</v>
      </c>
    </row>
    <row r="19" spans="1:5" ht="14.25" customHeight="1">
      <c r="A19" s="41" t="s">
        <v>6516</v>
      </c>
      <c r="B19" s="43" t="s">
        <v>6517</v>
      </c>
      <c r="C19" s="46"/>
      <c r="D19" s="46"/>
      <c r="E19" s="4" t="str">
        <f ca="1">IFERROR(__xludf.DUMMYFUNCTION("""COMPUTED_VALUE"""),"Wǒ wǎnshàng zuò zuo yè.")</f>
        <v>Wǒ wǎnshàng zuò zuo yè.</v>
      </c>
    </row>
    <row r="20" spans="1:5" ht="14.25" customHeight="1">
      <c r="A20" s="41" t="s">
        <v>6518</v>
      </c>
      <c r="B20" s="43" t="s">
        <v>6519</v>
      </c>
      <c r="C20" s="46"/>
      <c r="D20" s="46" t="s">
        <v>3082</v>
      </c>
      <c r="E20" s="5" t="str">
        <f ca="1">IFERROR(__xludf.DUMMYFUNCTION("""COMPUTED_VALUE"""),"Wǒ xǐhuān zhōumò.")</f>
        <v>Wǒ xǐhuān zhōumò.</v>
      </c>
    </row>
    <row r="21" spans="1:5" ht="14.25" customHeight="1">
      <c r="A21" s="41" t="s">
        <v>6520</v>
      </c>
      <c r="B21" s="43" t="s">
        <v>6521</v>
      </c>
      <c r="C21" s="46"/>
      <c r="D21" s="46"/>
      <c r="E21" s="6" t="str">
        <f ca="1">IFERROR(__xludf.DUMMYFUNCTION("""COMPUTED_VALUE"""),"Yīgè yuè yǒu jǐ tiān?")</f>
        <v>Yīgè yuè yǒu jǐ tiān?</v>
      </c>
    </row>
    <row r="22" spans="1:5" ht="14.25" customHeight="1">
      <c r="A22" s="41" t="s">
        <v>6522</v>
      </c>
      <c r="B22" s="43" t="s">
        <v>6523</v>
      </c>
      <c r="C22" s="46"/>
      <c r="D22" s="46" t="s">
        <v>6524</v>
      </c>
      <c r="E22" s="6" t="str">
        <f ca="1">IFERROR(__xludf.DUMMYFUNCTION("""COMPUTED_VALUE"""),"Jīnnián shì 2026 nián.")</f>
        <v>Jīnnián shì 2026 nián.</v>
      </c>
    </row>
    <row r="23" spans="1:5" ht="14.25" customHeight="1">
      <c r="A23" s="41" t="s">
        <v>6525</v>
      </c>
      <c r="B23" s="43" t="s">
        <v>6526</v>
      </c>
      <c r="C23" s="46"/>
      <c r="D23" s="46"/>
      <c r="E23" s="6" t="str">
        <f ca="1">IFERROR(__xludf.DUMMYFUNCTION("""COMPUTED_VALUE"""),"Wǒ xūyào shèzhì nàozhōng.")</f>
        <v>Wǒ xūyào shèzhì nàozhōng.</v>
      </c>
    </row>
    <row r="24" spans="1:5" ht="14.25" customHeight="1">
      <c r="A24" s="41" t="s">
        <v>6527</v>
      </c>
      <c r="B24" s="43" t="s">
        <v>6528</v>
      </c>
      <c r="C24" s="46"/>
      <c r="D24" s="46" t="s">
        <v>6529</v>
      </c>
      <c r="E24" s="6" t="str">
        <f ca="1">IFERROR(__xludf.DUMMYFUNCTION("""COMPUTED_VALUE"""),"Wǒ de zhōng zǒu kuàile.")</f>
        <v>Wǒ de zhōng zǒu kuàile.</v>
      </c>
    </row>
    <row r="25" spans="1:5" ht="14.25" customHeight="1">
      <c r="A25" s="41" t="s">
        <v>6530</v>
      </c>
      <c r="B25" s="43" t="s">
        <v>6531</v>
      </c>
      <c r="C25" s="46"/>
      <c r="D25" s="46"/>
      <c r="E25" s="6" t="str">
        <f ca="1">IFERROR(__xludf.DUMMYFUNCTION("""COMPUTED_VALUE"""),"Zhège zhōng zǒu mànle.")</f>
        <v>Zhège zhōng zǒu mànle.</v>
      </c>
    </row>
    <row r="26" spans="1:5" ht="14.25" customHeight="1">
      <c r="A26" s="41" t="s">
        <v>6532</v>
      </c>
      <c r="B26" s="43" t="s">
        <v>6533</v>
      </c>
      <c r="C26" s="46"/>
      <c r="D26" s="46" t="s">
        <v>6534</v>
      </c>
      <c r="E26" s="6" t="str">
        <f ca="1">IFERROR(__xludf.DUMMYFUNCTION("""COMPUTED_VALUE"""),"Wǒ děng nǐ hěnjiǔle.")</f>
        <v>Wǒ děng nǐ hěnjiǔle.</v>
      </c>
    </row>
    <row r="27" spans="1:5" ht="14.25" customHeight="1">
      <c r="A27" s="41" t="s">
        <v>6535</v>
      </c>
      <c r="B27" s="43" t="s">
        <v>6536</v>
      </c>
      <c r="C27" s="46"/>
      <c r="D27" s="46"/>
      <c r="E27" s="6" t="str">
        <f ca="1">IFERROR(__xludf.DUMMYFUNCTION("""COMPUTED_VALUE"""),"Shíjiānguò dé zhēn kuài!")</f>
        <v>Shíjiānguò dé zhēn kuài!</v>
      </c>
    </row>
    <row r="28" spans="1:5" ht="14.25" customHeight="1">
      <c r="A28" s="41" t="s">
        <v>6537</v>
      </c>
      <c r="B28" s="43" t="s">
        <v>6538</v>
      </c>
      <c r="C28" s="46"/>
      <c r="D28" s="46" t="s">
        <v>6539</v>
      </c>
      <c r="E28" s="6" t="str">
        <f ca="1">IFERROR(__xludf.DUMMYFUNCTION("""COMPUTED_VALUE"""),"Bié làngfèi shíjiān.")</f>
        <v>Bié làngfèi shíjiān.</v>
      </c>
    </row>
    <row r="29" spans="1:5" ht="14.25" customHeight="1">
      <c r="A29" s="41" t="s">
        <v>6540</v>
      </c>
      <c r="B29" s="43" t="s">
        <v>6541</v>
      </c>
      <c r="C29" s="46"/>
      <c r="D29" s="46"/>
      <c r="E29" s="37" t="str">
        <f ca="1">IFERROR(__xludf.DUMMYFUNCTION("""COMPUTED_VALUE"""),"Wǒ xiǎng zhìdìng yīgè jìhuà biǎo.")</f>
        <v>Wǒ xiǎng zhìdìng yīgè jìhuà biǎo.</v>
      </c>
    </row>
    <row r="30" spans="1:5" ht="14.25" customHeight="1">
      <c r="A30" s="41" t="s">
        <v>6542</v>
      </c>
      <c r="B30" s="43" t="s">
        <v>6543</v>
      </c>
      <c r="C30" s="46"/>
      <c r="D30" s="46" t="s">
        <v>6544</v>
      </c>
      <c r="E30" s="6" t="str">
        <f ca="1">IFERROR(__xludf.DUMMYFUNCTION("""COMPUTED_VALUE"""),"Shāngdiàn jǐ diǎn kāimén?")</f>
        <v>Shāngdiàn jǐ diǎn kāimén?</v>
      </c>
    </row>
    <row r="31" spans="1:5" ht="14.25" customHeight="1">
      <c r="A31" s="41" t="s">
        <v>6545</v>
      </c>
      <c r="B31" s="43" t="s">
        <v>6546</v>
      </c>
      <c r="C31" s="46"/>
      <c r="D31" s="46"/>
      <c r="E31" s="4" t="str">
        <f ca="1">IFERROR(__xludf.DUMMYFUNCTION("""COMPUTED_VALUE"""),"Shāngdiàn wǎnshàng 9 diǎn guānmén.")</f>
        <v>Shāngdiàn wǎnshàng 9 diǎn guānmén.</v>
      </c>
    </row>
    <row r="32" spans="1:5" ht="14.25" customHeight="1">
      <c r="A32" s="41" t="s">
        <v>6547</v>
      </c>
      <c r="B32" s="43" t="s">
        <v>6548</v>
      </c>
      <c r="C32" s="46"/>
      <c r="D32" s="46" t="s">
        <v>6549</v>
      </c>
      <c r="E32" s="4" t="str">
        <f ca="1">IFERROR(__xludf.DUMMYFUNCTION("""COMPUTED_VALUE"""),"Míngtiān jiàn.")</f>
        <v>Míngtiān jiàn.</v>
      </c>
    </row>
    <row r="33" spans="1:5" ht="14.25" customHeight="1">
      <c r="A33" s="41" t="s">
        <v>1913</v>
      </c>
      <c r="B33" s="43" t="s">
        <v>1914</v>
      </c>
      <c r="C33" s="46"/>
      <c r="D33" s="46"/>
      <c r="E33" s="4" t="str">
        <f ca="1">IFERROR(__xludf.DUMMYFUNCTION("""COMPUTED_VALUE"""),"Zhù nǐ jīntiānguò dé yúkuài.")</f>
        <v>Zhù nǐ jīntiānguò dé yúkuài.</v>
      </c>
    </row>
    <row r="34" spans="1:5" ht="14.25" customHeight="1">
      <c r="A34" s="41" t="s">
        <v>6550</v>
      </c>
      <c r="B34" s="43" t="s">
        <v>77</v>
      </c>
      <c r="C34" s="46"/>
      <c r="D34" s="46" t="s">
        <v>6551</v>
      </c>
      <c r="E34" s="4" t="str">
        <f ca="1">IFERROR(__xludf.DUMMYFUNCTION("""COMPUTED_VALUE"""),"Huítóu jiàn.")</f>
        <v>Huítóu jiàn.</v>
      </c>
    </row>
    <row r="35" spans="1:5" ht="14.25" customHeight="1">
      <c r="A35" s="41" t="s">
        <v>6552</v>
      </c>
      <c r="B35" s="43" t="s">
        <v>6553</v>
      </c>
      <c r="C35" s="46"/>
      <c r="D35" s="46"/>
      <c r="E35" s="8" t="str">
        <f ca="1">IFERROR(__xludf.DUMMYFUNCTION("""COMPUTED_VALUE"""),"Wǒ yǒudiǎn máng.")</f>
        <v>Wǒ yǒudiǎn máng.</v>
      </c>
    </row>
    <row r="36" spans="1:5" ht="14.25" customHeight="1">
      <c r="A36" s="41" t="s">
        <v>6554</v>
      </c>
      <c r="B36" s="43" t="s">
        <v>6555</v>
      </c>
      <c r="C36" s="46"/>
      <c r="D36" s="46" t="s">
        <v>6556</v>
      </c>
      <c r="E36" s="5" t="str">
        <f ca="1">IFERROR(__xludf.DUMMYFUNCTION("""COMPUTED_VALUE"""),"Wǒ xiànzài yǒu kòng le, wǒmen yīqǐ wán ba.")</f>
        <v>Wǒ xiànzài yǒu kòng le, wǒmen yīqǐ wán ba.</v>
      </c>
    </row>
    <row r="37" spans="1:5" ht="14.25" customHeight="1">
      <c r="A37" s="41" t="s">
        <v>6557</v>
      </c>
      <c r="B37" s="43" t="s">
        <v>6558</v>
      </c>
      <c r="C37" s="46"/>
      <c r="D37" s="46"/>
      <c r="E37" s="8" t="str">
        <f ca="1">IFERROR(__xludf.DUMMYFUNCTION("""COMPUTED_VALUE"""),"Wǒ yī zhěng tiān dū zài máng zhège.")</f>
        <v>Wǒ yī zhěng tiān dū zài máng zhège.</v>
      </c>
    </row>
    <row r="38" spans="1:5" ht="14.25" customHeight="1">
      <c r="A38" s="41" t="s">
        <v>6559</v>
      </c>
      <c r="B38" s="43" t="s">
        <v>6560</v>
      </c>
      <c r="C38" s="46"/>
      <c r="D38" s="46" t="s">
        <v>6561</v>
      </c>
      <c r="E38" s="5" t="str">
        <f ca="1">IFERROR(__xludf.DUMMYFUNCTION("""COMPUTED_VALUE"""),"Wǒ xūyào yīdiǎn shíjiān.")</f>
        <v>Wǒ xūyào yīdiǎn shíjiān.</v>
      </c>
    </row>
    <row r="39" spans="1:5" ht="14.25" customHeight="1">
      <c r="A39" s="41" t="s">
        <v>6562</v>
      </c>
      <c r="B39" s="43" t="s">
        <v>6563</v>
      </c>
      <c r="C39" s="46"/>
      <c r="D39" s="46"/>
      <c r="E39" s="6" t="str">
        <f ca="1">IFERROR(__xludf.DUMMYFUNCTION("""COMPUTED_VALUE"""),"Kuài dào wǎnfànshíjiānle.")</f>
        <v>Kuài dào wǎnfànshíjiānle.</v>
      </c>
    </row>
    <row r="40" spans="1:5" ht="14.25" customHeight="1">
      <c r="A40" s="41" t="s">
        <v>6564</v>
      </c>
      <c r="B40" s="43" t="s">
        <v>6565</v>
      </c>
      <c r="C40" s="46"/>
      <c r="D40" s="46" t="s">
        <v>6566</v>
      </c>
      <c r="E40" s="6" t="str">
        <f ca="1">IFERROR(__xludf.DUMMYFUNCTION("""COMPUTED_VALUE"""),"Wǒ xǐ gè 15 fēnzhōng de zǎo.")</f>
        <v>Wǒ xǐ gè 15 fēnzhōng de zǎo.</v>
      </c>
    </row>
    <row r="41" spans="1:5" ht="14.25" customHeight="1">
      <c r="A41" s="41" t="s">
        <v>6567</v>
      </c>
      <c r="B41" s="43" t="s">
        <v>6568</v>
      </c>
      <c r="C41" s="46"/>
      <c r="D41" s="46"/>
      <c r="E41" s="5" t="str">
        <f ca="1">IFERROR(__xludf.DUMMYFUNCTION("""COMPUTED_VALUE"""),"Wǒ měitiān dū xuéxí tā jiā lù yǔ.")</f>
        <v>Wǒ měitiān dū xuéxí tā jiā lù yǔ.</v>
      </c>
    </row>
    <row r="42" spans="1:5" ht="14.25" customHeight="1">
      <c r="A42" s="41" t="s">
        <v>6569</v>
      </c>
      <c r="B42" s="43" t="s">
        <v>6570</v>
      </c>
      <c r="C42" s="46"/>
      <c r="D42" s="46" t="s">
        <v>6571</v>
      </c>
      <c r="E42" s="4" t="str">
        <f ca="1">IFERROR(__xludf.DUMMYFUNCTION("""COMPUTED_VALUE"""),"Wǒ huì jiānchí xiàqù.")</f>
        <v>Wǒ huì jiānchí xiàqù.</v>
      </c>
    </row>
    <row r="43" spans="1:5" ht="14.25" customHeight="1">
      <c r="A43" s="41" t="s">
        <v>6572</v>
      </c>
      <c r="B43" s="43" t="s">
        <v>6573</v>
      </c>
      <c r="C43" s="46"/>
      <c r="D43" s="46"/>
      <c r="E43" s="5" t="str">
        <f ca="1">IFERROR(__xludf.DUMMYFUNCTION("""COMPUTED_VALUE"""),"Nǐ yǒu shǒubiǎo ma?")</f>
        <v>Nǐ yǒu shǒubiǎo ma?</v>
      </c>
    </row>
    <row r="44" spans="1:5" ht="14.25" customHeight="1">
      <c r="A44" s="41" t="s">
        <v>6574</v>
      </c>
      <c r="B44" s="43" t="s">
        <v>3149</v>
      </c>
      <c r="C44" s="46"/>
      <c r="D44" s="46" t="s">
        <v>6575</v>
      </c>
      <c r="E44" s="4" t="str">
        <f ca="1">IFERROR(__xludf.DUMMYFUNCTION("""COMPUTED_VALUE"""),"Wǒ kěyǐ kàn kàn shíjiān ma?")</f>
        <v>Wǒ kěyǐ kàn kàn shíjiān ma?</v>
      </c>
    </row>
    <row r="45" spans="1:5" ht="14.25" customHeight="1">
      <c r="A45" s="41" t="s">
        <v>6576</v>
      </c>
      <c r="B45" s="41" t="s">
        <v>6577</v>
      </c>
      <c r="C45" s="42"/>
      <c r="D45" s="42"/>
      <c r="E45" s="5" t="str">
        <f ca="1">IFERROR(__xludf.DUMMYFUNCTION("""COMPUTED_VALUE"""),"Tiān hēile.")</f>
        <v>Tiān hēile.</v>
      </c>
    </row>
    <row r="46" spans="1:5" ht="14.25" customHeight="1">
      <c r="A46" s="41" t="s">
        <v>6578</v>
      </c>
      <c r="B46" s="43" t="s">
        <v>6579</v>
      </c>
      <c r="C46" s="46"/>
      <c r="D46" s="46" t="s">
        <v>6580</v>
      </c>
      <c r="E46" s="4" t="str">
        <f ca="1">IFERROR(__xludf.DUMMYFUNCTION("""COMPUTED_VALUE"""),"Kuài dào zǎoshangle.")</f>
        <v>Kuài dào zǎoshangle.</v>
      </c>
    </row>
    <row r="47" spans="1:5" ht="14.25" customHeight="1">
      <c r="A47" s="41" t="s">
        <v>6581</v>
      </c>
      <c r="B47" s="43" t="s">
        <v>6582</v>
      </c>
      <c r="C47" s="46"/>
      <c r="D47" s="46"/>
      <c r="E47" s="4" t="str">
        <f ca="1">IFERROR(__xludf.DUMMYFUNCTION("""COMPUTED_VALUE"""),"Wǒ zǎoqǐ duànliàn.")</f>
        <v>Wǒ zǎoqǐ duànliàn.</v>
      </c>
    </row>
    <row r="48" spans="1:5" ht="14.25" customHeight="1">
      <c r="A48" s="41" t="s">
        <v>6583</v>
      </c>
      <c r="B48" s="43" t="s">
        <v>6584</v>
      </c>
      <c r="C48" s="46"/>
      <c r="D48" s="46" t="s">
        <v>6585</v>
      </c>
      <c r="E48" s="4" t="str">
        <f ca="1">IFERROR(__xludf.DUMMYFUNCTION("""COMPUTED_VALUE"""),"Wǒ zǒng shì àn shí shuìjiào.")</f>
        <v>Wǒ zǒng shì àn shí shuìjiào.</v>
      </c>
    </row>
    <row r="49" spans="1:5" ht="14.25" customHeight="1">
      <c r="A49" s="41" t="s">
        <v>6586</v>
      </c>
      <c r="B49" s="43" t="s">
        <v>6587</v>
      </c>
      <c r="C49" s="46"/>
      <c r="D49" s="46"/>
      <c r="E49" s="5" t="str">
        <f ca="1">IFERROR(__xludf.DUMMYFUNCTION("""COMPUTED_VALUE"""),"Shíjiān jiùshì jīnqián.")</f>
        <v>Shíjiān jiùshì jīnqián.</v>
      </c>
    </row>
    <row r="50" spans="1:5" ht="14.25" customHeight="1">
      <c r="A50" s="41" t="s">
        <v>6588</v>
      </c>
      <c r="B50" s="43" t="s">
        <v>6589</v>
      </c>
      <c r="C50" s="46"/>
      <c r="D50" s="46" t="s">
        <v>6590</v>
      </c>
      <c r="E50" s="6" t="str">
        <f ca="1">IFERROR(__xludf.DUMMYFUNCTION("""COMPUTED_VALUE"""),"Wǒ huì zhēnxī měi yī fēnzhōng.")</f>
        <v>Wǒ huì zhēnxī měi yī fēnzhōng.</v>
      </c>
    </row>
    <row r="51" spans="1:5" ht="14.25" customHeight="1">
      <c r="A51" s="41" t="s">
        <v>6591</v>
      </c>
      <c r="B51" s="43" t="s">
        <v>6592</v>
      </c>
      <c r="C51" s="46"/>
      <c r="D51" s="46"/>
      <c r="E51" s="6" t="str">
        <f ca="1">IFERROR(__xludf.DUMMYFUNCTION("""COMPUTED_VALUE"""),"Xièxiè nǐ chōuchū shíjiān.")</f>
        <v>Xièxiè nǐ chōuchū shíjiān.</v>
      </c>
    </row>
    <row r="52" spans="1:5" ht="14.25" customHeight="1">
      <c r="A52" s="42"/>
      <c r="B52" s="46"/>
      <c r="C52" s="46"/>
      <c r="D52" s="46" t="s">
        <v>6593</v>
      </c>
    </row>
    <row r="53" spans="1:5" ht="14.25" customHeight="1">
      <c r="A53" s="42"/>
      <c r="B53" s="46"/>
      <c r="C53" s="46"/>
      <c r="D53" s="46"/>
      <c r="E53" s="5"/>
    </row>
    <row r="54" spans="1:5" ht="14.25" customHeight="1">
      <c r="A54" s="42"/>
      <c r="B54" s="46"/>
      <c r="C54" s="46"/>
      <c r="D54" s="46" t="s">
        <v>3169</v>
      </c>
      <c r="E54" s="5"/>
    </row>
    <row r="55" spans="1:5" ht="14.25" customHeight="1">
      <c r="A55" s="42"/>
      <c r="B55" s="46"/>
      <c r="C55" s="46"/>
      <c r="D55" s="46"/>
      <c r="E55" s="5"/>
    </row>
    <row r="56" spans="1:5" ht="14.25" customHeight="1">
      <c r="A56" s="42"/>
      <c r="B56" s="46"/>
      <c r="C56" s="46"/>
      <c r="D56" s="46" t="s">
        <v>6594</v>
      </c>
      <c r="E56" s="5"/>
    </row>
    <row r="57" spans="1:5" ht="14.25" customHeight="1">
      <c r="A57" s="42"/>
      <c r="B57" s="46"/>
      <c r="C57" s="46"/>
      <c r="D57" s="46"/>
      <c r="E57" s="5"/>
    </row>
    <row r="58" spans="1:5" ht="14.25" customHeight="1">
      <c r="A58" s="42"/>
      <c r="B58" s="46"/>
      <c r="C58" s="46"/>
      <c r="D58" s="46" t="s">
        <v>595</v>
      </c>
      <c r="E58" s="5"/>
    </row>
    <row r="59" spans="1:5" ht="14.25" customHeight="1">
      <c r="A59" s="42"/>
      <c r="B59" s="46"/>
      <c r="C59" s="46"/>
      <c r="D59" s="46"/>
    </row>
    <row r="60" spans="1:5" ht="14.25" customHeight="1">
      <c r="A60" s="42"/>
      <c r="B60" s="46"/>
      <c r="C60" s="46"/>
      <c r="D60" s="46" t="s">
        <v>6595</v>
      </c>
      <c r="E60" s="5"/>
    </row>
    <row r="61" spans="1:5" ht="14.25" customHeight="1">
      <c r="A61" s="42"/>
      <c r="B61" s="46"/>
      <c r="C61" s="46"/>
      <c r="D61" s="46"/>
      <c r="E61" s="5"/>
    </row>
    <row r="62" spans="1:5" ht="14.25" customHeight="1">
      <c r="A62" s="42"/>
      <c r="B62" s="46"/>
      <c r="C62" s="46"/>
      <c r="D62" s="46" t="s">
        <v>751</v>
      </c>
      <c r="E62" s="5"/>
    </row>
    <row r="63" spans="1:5" ht="14.25" customHeight="1">
      <c r="A63" s="42"/>
      <c r="B63" s="46"/>
      <c r="C63" s="46"/>
      <c r="D63" s="46"/>
      <c r="E63" s="5"/>
    </row>
    <row r="64" spans="1:5" ht="14.25" customHeight="1">
      <c r="A64" s="42"/>
      <c r="B64" s="46"/>
      <c r="C64" s="46"/>
      <c r="D64" s="46" t="s">
        <v>3186</v>
      </c>
      <c r="E64" s="5"/>
    </row>
    <row r="65" spans="1:5" ht="14.25" customHeight="1">
      <c r="A65" s="42"/>
      <c r="B65" s="46"/>
      <c r="C65" s="46"/>
      <c r="D65" s="46"/>
      <c r="E65" s="5"/>
    </row>
    <row r="66" spans="1:5" ht="14.25" customHeight="1">
      <c r="A66" s="42"/>
      <c r="B66" s="46"/>
      <c r="C66" s="46"/>
      <c r="D66" s="46" t="s">
        <v>6596</v>
      </c>
      <c r="E66" s="5"/>
    </row>
    <row r="67" spans="1:5" ht="14.25" customHeight="1">
      <c r="A67" s="42"/>
      <c r="B67" s="46"/>
      <c r="C67" s="46"/>
      <c r="D67" s="46"/>
      <c r="E67" s="5"/>
    </row>
    <row r="68" spans="1:5" ht="14.25" customHeight="1">
      <c r="A68" s="42"/>
      <c r="B68" s="46"/>
      <c r="C68" s="46"/>
      <c r="D68" s="46" t="s">
        <v>6597</v>
      </c>
      <c r="E68" s="5"/>
    </row>
    <row r="69" spans="1:5" ht="14.25" customHeight="1">
      <c r="A69" s="42"/>
      <c r="B69" s="46"/>
      <c r="C69" s="46"/>
      <c r="D69" s="46"/>
      <c r="E69" s="5"/>
    </row>
    <row r="70" spans="1:5" ht="14.25" customHeight="1">
      <c r="A70" s="42"/>
      <c r="B70" s="46"/>
      <c r="C70" s="46"/>
      <c r="D70" s="46" t="s">
        <v>6598</v>
      </c>
      <c r="E70" s="5"/>
    </row>
    <row r="71" spans="1:5" ht="14.25" customHeight="1">
      <c r="A71" s="42"/>
      <c r="B71" s="46"/>
      <c r="C71" s="46"/>
      <c r="D71" s="46"/>
      <c r="E71" s="5"/>
    </row>
    <row r="72" spans="1:5" ht="14.25" customHeight="1">
      <c r="A72" s="42"/>
      <c r="B72" s="46"/>
      <c r="C72" s="46"/>
      <c r="D72" s="46" t="s">
        <v>6599</v>
      </c>
      <c r="E72" s="5"/>
    </row>
    <row r="73" spans="1:5" ht="14.25" customHeight="1">
      <c r="A73" s="42"/>
      <c r="B73" s="46"/>
      <c r="C73" s="46"/>
      <c r="D73" s="46"/>
      <c r="E73" s="5"/>
    </row>
    <row r="74" spans="1:5" ht="14.25" customHeight="1">
      <c r="A74" s="42"/>
      <c r="B74" s="46"/>
      <c r="C74" s="46"/>
      <c r="D74" s="46" t="s">
        <v>6600</v>
      </c>
      <c r="E74" s="5"/>
    </row>
    <row r="75" spans="1:5" ht="14.25" customHeight="1">
      <c r="A75" s="42"/>
      <c r="B75" s="46"/>
      <c r="C75" s="46"/>
      <c r="D75" s="46"/>
      <c r="E75" s="5"/>
    </row>
    <row r="76" spans="1:5" ht="14.25" customHeight="1">
      <c r="A76" s="42"/>
      <c r="B76" s="46"/>
      <c r="C76" s="46"/>
      <c r="D76" s="46" t="s">
        <v>6601</v>
      </c>
      <c r="E76" s="5"/>
    </row>
    <row r="77" spans="1:5" ht="14.25" customHeight="1">
      <c r="A77" s="42"/>
      <c r="B77" s="46"/>
      <c r="C77" s="46"/>
      <c r="D77" s="46"/>
      <c r="E77" s="5"/>
    </row>
    <row r="78" spans="1:5" ht="14.25" customHeight="1">
      <c r="A78" s="42"/>
      <c r="B78" s="46"/>
      <c r="C78" s="46"/>
      <c r="D78" s="46" t="s">
        <v>6602</v>
      </c>
      <c r="E78" s="5"/>
    </row>
    <row r="79" spans="1:5" ht="14.25" customHeight="1">
      <c r="A79" s="42"/>
      <c r="B79" s="46"/>
      <c r="C79" s="46"/>
      <c r="D79" s="46"/>
      <c r="E79" s="5"/>
    </row>
    <row r="80" spans="1:5" ht="14.25" customHeight="1">
      <c r="A80" s="42"/>
      <c r="B80" s="46"/>
      <c r="C80" s="46"/>
      <c r="D80" s="46" t="s">
        <v>6603</v>
      </c>
      <c r="E80" s="5"/>
    </row>
    <row r="81" spans="1:5" ht="14.25" customHeight="1">
      <c r="A81" s="42"/>
      <c r="B81" s="46"/>
      <c r="C81" s="46"/>
      <c r="D81" s="46"/>
      <c r="E81" s="5"/>
    </row>
    <row r="82" spans="1:5" ht="14.25" customHeight="1">
      <c r="A82" s="42"/>
      <c r="B82" s="46"/>
      <c r="C82" s="46"/>
      <c r="D82" s="46" t="s">
        <v>6604</v>
      </c>
      <c r="E82" s="5"/>
    </row>
    <row r="83" spans="1:5" ht="14.25" customHeight="1">
      <c r="A83" s="42"/>
      <c r="B83" s="46"/>
      <c r="C83" s="46"/>
      <c r="D83" s="46"/>
      <c r="E83" s="5"/>
    </row>
    <row r="84" spans="1:5" ht="14.25" customHeight="1">
      <c r="A84" s="42"/>
      <c r="B84" s="46"/>
      <c r="C84" s="46"/>
      <c r="D84" s="46" t="s">
        <v>6605</v>
      </c>
      <c r="E84" s="5"/>
    </row>
    <row r="85" spans="1:5" ht="14.25" customHeight="1">
      <c r="A85" s="42"/>
      <c r="B85" s="46"/>
      <c r="C85" s="46"/>
      <c r="D85" s="46"/>
      <c r="E85" s="5"/>
    </row>
    <row r="86" spans="1:5" ht="14.25" customHeight="1">
      <c r="A86" s="42"/>
      <c r="B86" s="46"/>
      <c r="C86" s="46"/>
      <c r="D86" s="46" t="s">
        <v>6606</v>
      </c>
      <c r="E86" s="5"/>
    </row>
    <row r="87" spans="1:5" ht="14.25" customHeight="1">
      <c r="A87" s="42"/>
      <c r="B87" s="46"/>
      <c r="C87" s="46"/>
      <c r="D87" s="46"/>
      <c r="E87" s="5"/>
    </row>
    <row r="88" spans="1:5" ht="14.25" customHeight="1">
      <c r="A88" s="42"/>
      <c r="B88" s="46"/>
      <c r="C88" s="46"/>
      <c r="D88" s="46" t="s">
        <v>1048</v>
      </c>
      <c r="E88" s="5"/>
    </row>
    <row r="89" spans="1:5" ht="14.25" customHeight="1">
      <c r="A89" s="42"/>
      <c r="B89" s="46"/>
      <c r="C89" s="46"/>
      <c r="D89" s="46"/>
      <c r="E89" s="5"/>
    </row>
    <row r="90" spans="1:5" ht="14.25" customHeight="1">
      <c r="A90" s="42"/>
      <c r="B90" s="46"/>
      <c r="C90" s="46"/>
      <c r="D90" s="46" t="s">
        <v>6607</v>
      </c>
      <c r="E90" s="5"/>
    </row>
    <row r="91" spans="1:5" ht="14.25" customHeight="1">
      <c r="A91" s="42"/>
      <c r="B91" s="46"/>
      <c r="C91" s="46"/>
      <c r="D91" s="46"/>
      <c r="E91" s="5"/>
    </row>
    <row r="92" spans="1:5" ht="14.25" customHeight="1">
      <c r="A92" s="42"/>
      <c r="B92" s="46"/>
      <c r="C92" s="46"/>
      <c r="D92" s="46" t="s">
        <v>6608</v>
      </c>
      <c r="E92" s="5"/>
    </row>
    <row r="93" spans="1:5" ht="14.25" customHeight="1">
      <c r="A93" s="42"/>
      <c r="B93" s="46"/>
      <c r="C93" s="46"/>
      <c r="D93" s="46"/>
      <c r="E93" s="5"/>
    </row>
    <row r="94" spans="1:5" ht="14.25" customHeight="1">
      <c r="A94" s="42"/>
      <c r="B94" s="46"/>
      <c r="C94" s="46"/>
      <c r="D94" s="46" t="s">
        <v>6609</v>
      </c>
      <c r="E94" s="5"/>
    </row>
    <row r="95" spans="1:5" ht="14.25" customHeight="1">
      <c r="A95" s="42"/>
      <c r="B95" s="46"/>
      <c r="C95" s="46"/>
      <c r="D95" s="46"/>
      <c r="E95" s="5"/>
    </row>
    <row r="96" spans="1:5" ht="14.25" customHeight="1">
      <c r="A96" s="42"/>
      <c r="B96" s="46"/>
      <c r="C96" s="46"/>
      <c r="D96" s="46" t="s">
        <v>6610</v>
      </c>
      <c r="E96" s="5"/>
    </row>
    <row r="97" spans="1:5" ht="14.25" customHeight="1">
      <c r="A97" s="42"/>
      <c r="B97" s="46"/>
      <c r="C97" s="46"/>
      <c r="D97" s="46"/>
      <c r="E97" s="5"/>
    </row>
    <row r="98" spans="1:5" ht="14.25" customHeight="1">
      <c r="A98" s="42"/>
      <c r="B98" s="46"/>
      <c r="C98" s="46"/>
      <c r="D98" s="46" t="s">
        <v>6611</v>
      </c>
      <c r="E98" s="5"/>
    </row>
    <row r="99" spans="1:5" ht="14.25" customHeight="1">
      <c r="A99" s="42"/>
      <c r="B99" s="46"/>
      <c r="C99" s="46"/>
      <c r="D99" s="46"/>
      <c r="E99" s="5"/>
    </row>
    <row r="100" spans="1:5" ht="14.25" customHeight="1">
      <c r="A100" s="42"/>
      <c r="B100" s="46"/>
      <c r="C100" s="46"/>
      <c r="D100" s="46" t="s">
        <v>3191</v>
      </c>
      <c r="E100" s="5"/>
    </row>
  </sheetData>
  <pageMargins left="0.75" right="0.75" top="1" bottom="1"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1" width="55" customWidth="1"/>
    <col min="2" max="2" width="56.33203125" customWidth="1"/>
    <col min="3" max="3" width="44.5546875" customWidth="1"/>
    <col min="4" max="4" width="56.33203125" customWidth="1"/>
    <col min="5" max="5" width="56.88671875" customWidth="1"/>
  </cols>
  <sheetData>
    <row r="1" spans="1:5" ht="14.25" customHeight="1">
      <c r="A1" s="12" t="s">
        <v>6612</v>
      </c>
      <c r="E1" s="2"/>
    </row>
    <row r="2" spans="1:5" ht="14.25" customHeight="1">
      <c r="A2" s="41" t="s">
        <v>6613</v>
      </c>
      <c r="B2" s="10" t="s">
        <v>6614</v>
      </c>
      <c r="C2" s="10"/>
      <c r="D2" s="10" t="s">
        <v>6615</v>
      </c>
      <c r="E2" s="5" t="str">
        <f ca="1">IFERROR(__xludf.DUMMYFUNCTION("FILTER(D1:D1004,D1:D1004&lt;&gt; """")"),"Zhège shì shēn hóngsè.")</f>
        <v>Zhège shì shēn hóngsè.</v>
      </c>
    </row>
    <row r="3" spans="1:5" ht="14.25" customHeight="1">
      <c r="A3" s="41" t="s">
        <v>6616</v>
      </c>
      <c r="B3" s="10" t="s">
        <v>6617</v>
      </c>
      <c r="C3" s="10"/>
      <c r="D3" s="10"/>
      <c r="E3" s="6" t="str">
        <f ca="1">IFERROR(__xludf.DUMMYFUNCTION("""COMPUTED_VALUE"""),"Tiānkōng shì qiǎn lán sè.")</f>
        <v>Tiānkōng shì qiǎn lán sè.</v>
      </c>
    </row>
    <row r="4" spans="1:5" ht="14.25" customHeight="1">
      <c r="A4" s="41" t="s">
        <v>6618</v>
      </c>
      <c r="B4" s="10" t="s">
        <v>6619</v>
      </c>
      <c r="C4" s="10"/>
      <c r="D4" s="10" t="s">
        <v>6620</v>
      </c>
      <c r="E4" s="5" t="str">
        <f ca="1">IFERROR(__xludf.DUMMYFUNCTION("""COMPUTED_VALUE"""),"Wǒ xǐhuān shēn lǜsè.")</f>
        <v>Wǒ xǐhuān shēn lǜsè.</v>
      </c>
    </row>
    <row r="5" spans="1:5" ht="14.25" customHeight="1">
      <c r="A5" s="41" t="s">
        <v>6621</v>
      </c>
      <c r="B5" s="10" t="s">
        <v>6622</v>
      </c>
      <c r="C5" s="10"/>
      <c r="D5" s="10"/>
      <c r="E5" s="5" t="str">
        <f ca="1">IFERROR(__xludf.DUMMYFUNCTION("""COMPUTED_VALUE"""),"Zhè zhǒng yánsè jiàozuò fěn cǎisè.")</f>
        <v>Zhè zhǒng yánsè jiàozuò fěn cǎisè.</v>
      </c>
    </row>
    <row r="6" spans="1:5" ht="14.25" customHeight="1">
      <c r="A6" s="41" t="s">
        <v>6623</v>
      </c>
      <c r="B6" s="10" t="s">
        <v>6624</v>
      </c>
      <c r="C6" s="10"/>
      <c r="D6" s="10" t="s">
        <v>6625</v>
      </c>
      <c r="E6" s="5" t="str">
        <f ca="1">IFERROR(__xludf.DUMMYFUNCTION("""COMPUTED_VALUE"""),"Zhè tiáo qúnzǐ shì tàn zǐsè.")</f>
        <v>Zhè tiáo qúnzǐ shì tàn zǐsè.</v>
      </c>
    </row>
    <row r="7" spans="1:5" ht="14.25" customHeight="1">
      <c r="A7" s="41" t="s">
        <v>6626</v>
      </c>
      <c r="B7" s="10" t="s">
        <v>6627</v>
      </c>
      <c r="C7" s="10"/>
      <c r="D7" s="10"/>
      <c r="E7" s="5" t="str">
        <f ca="1">IFERROR(__xludf.DUMMYFUNCTION("""COMPUTED_VALUE"""),"Níngméng huáng kàn qǐlái hěn qīngxīn.")</f>
        <v>Níngméng huáng kàn qǐlái hěn qīngxīn.</v>
      </c>
    </row>
    <row r="8" spans="1:5" ht="14.25" customHeight="1">
      <c r="A8" s="41" t="s">
        <v>6628</v>
      </c>
      <c r="B8" s="10" t="s">
        <v>6629</v>
      </c>
      <c r="C8" s="10"/>
      <c r="D8" s="10" t="s">
        <v>6630</v>
      </c>
      <c r="E8" s="5" t="str">
        <f ca="1">IFERROR(__xludf.DUMMYFUNCTION("""COMPUTED_VALUE"""),"Wǒ xiǎng mǎi yín huīsè.")</f>
        <v>Wǒ xiǎng mǎi yín huīsè.</v>
      </c>
    </row>
    <row r="9" spans="1:5" ht="14.25" customHeight="1">
      <c r="A9" s="41" t="s">
        <v>6631</v>
      </c>
      <c r="B9" s="10" t="s">
        <v>6632</v>
      </c>
      <c r="C9" s="10"/>
      <c r="D9" s="10"/>
      <c r="E9" s="5" t="str">
        <f ca="1">IFERROR(__xludf.DUMMYFUNCTION("""COMPUTED_VALUE"""),"Zhè zhǒng gǔtóngsè zhēn yōuyǎ.")</f>
        <v>Zhè zhǒng gǔtóngsè zhēn yōuyǎ.</v>
      </c>
    </row>
    <row r="10" spans="1:5" ht="14.25" customHeight="1">
      <c r="A10" s="41" t="s">
        <v>6633</v>
      </c>
      <c r="B10" s="10" t="s">
        <v>6634</v>
      </c>
      <c r="C10" s="10"/>
      <c r="D10" s="10" t="s">
        <v>6635</v>
      </c>
      <c r="E10" s="5" t="str">
        <f ca="1">IFERROR(__xludf.DUMMYFUNCTION("""COMPUTED_VALUE"""),"Tā shì liù biān xíng de.")</f>
        <v>Tā shì liù biān xíng de.</v>
      </c>
    </row>
    <row r="11" spans="1:5" ht="14.25" customHeight="1">
      <c r="A11" s="41" t="s">
        <v>6636</v>
      </c>
      <c r="B11" s="10" t="s">
        <v>6637</v>
      </c>
      <c r="C11" s="10"/>
      <c r="D11" s="10"/>
      <c r="E11" s="5" t="str">
        <f ca="1">IFERROR(__xludf.DUMMYFUNCTION("""COMPUTED_VALUE"""),"Zhège xíngzhuàng yǒu bātiáo biān (bā biān xíng).")</f>
        <v>Zhège xíngzhuàng yǒu bātiáo biān (bā biān xíng).</v>
      </c>
    </row>
    <row r="12" spans="1:5" ht="14.25" customHeight="1">
      <c r="A12" s="41" t="s">
        <v>6638</v>
      </c>
      <c r="B12" s="10" t="s">
        <v>6639</v>
      </c>
      <c r="C12" s="10"/>
      <c r="D12" s="10" t="s">
        <v>6640</v>
      </c>
      <c r="E12" s="6" t="str">
        <f ca="1">IFERROR(__xludf.DUMMYFUNCTION("""COMPUTED_VALUE"""),"Zhège yuánzhuī tǐ kàn qǐlái xiàng yī dǐng shēngrì mào.")</f>
        <v>Zhège yuánzhuī tǐ kàn qǐlái xiàng yī dǐng shēngrì mào.</v>
      </c>
    </row>
    <row r="13" spans="1:5" ht="14.25" customHeight="1">
      <c r="A13" s="41" t="s">
        <v>6641</v>
      </c>
      <c r="B13" s="10" t="s">
        <v>6642</v>
      </c>
      <c r="C13" s="10"/>
      <c r="D13" s="10"/>
      <c r="E13" s="6" t="str">
        <f ca="1">IFERROR(__xludf.DUMMYFUNCTION("""COMPUTED_VALUE"""),"Zhège qiú shì qiúxíng de.")</f>
        <v>Zhège qiú shì qiúxíng de.</v>
      </c>
    </row>
    <row r="14" spans="1:5" ht="14.25" customHeight="1">
      <c r="A14" s="41" t="s">
        <v>6643</v>
      </c>
      <c r="B14" s="10" t="s">
        <v>6644</v>
      </c>
      <c r="C14" s="10"/>
      <c r="D14" s="10" t="s">
        <v>6645</v>
      </c>
      <c r="E14" s="6" t="str">
        <f ca="1">IFERROR(__xludf.DUMMYFUNCTION("""COMPUTED_VALUE"""),"Zhège hézǐ shì lìfāngtǐ de.")</f>
        <v>Zhège hézǐ shì lìfāngtǐ de.</v>
      </c>
    </row>
    <row r="15" spans="1:5" ht="14.25" customHeight="1">
      <c r="A15" s="41" t="s">
        <v>6646</v>
      </c>
      <c r="B15" s="10" t="s">
        <v>6647</v>
      </c>
      <c r="C15" s="10"/>
      <c r="D15" s="10"/>
      <c r="E15" s="6" t="str">
        <f ca="1">IFERROR(__xludf.DUMMYFUNCTION("""COMPUTED_VALUE"""),"Zhège qìshuǐ guàn shì yuánzhù xíng de.")</f>
        <v>Zhège qìshuǐ guàn shì yuánzhù xíng de.</v>
      </c>
    </row>
    <row r="16" spans="1:5" ht="14.25" customHeight="1">
      <c r="A16" s="41" t="s">
        <v>6648</v>
      </c>
      <c r="B16" s="10" t="s">
        <v>6649</v>
      </c>
      <c r="C16" s="10"/>
      <c r="D16" s="10" t="s">
        <v>6650</v>
      </c>
      <c r="E16" s="6" t="str">
        <f ca="1">IFERROR(__xludf.DUMMYFUNCTION("""COMPUTED_VALUE"""),"Wǒ xǐhuān bō diǎn tú'àn.")</f>
        <v>Wǒ xǐhuān bō diǎn tú'àn.</v>
      </c>
    </row>
    <row r="17" spans="1:5" ht="14.25" customHeight="1">
      <c r="A17" s="41" t="s">
        <v>6651</v>
      </c>
      <c r="B17" s="10" t="s">
        <v>6652</v>
      </c>
      <c r="C17" s="10"/>
      <c r="D17" s="10"/>
      <c r="E17" s="6" t="str">
        <f ca="1">IFERROR(__xludf.DUMMYFUNCTION("""COMPUTED_VALUE"""),"Zhè jiàn chènshān yǒu héng tiáowén.")</f>
        <v>Zhè jiàn chènshān yǒu héng tiáowén.</v>
      </c>
    </row>
    <row r="18" spans="1:5" ht="14.25" customHeight="1">
      <c r="A18" s="41" t="s">
        <v>6653</v>
      </c>
      <c r="B18" s="10" t="s">
        <v>6654</v>
      </c>
      <c r="C18" s="10"/>
      <c r="D18" s="10" t="s">
        <v>6655</v>
      </c>
      <c r="E18" s="5" t="str">
        <f ca="1">IFERROR(__xludf.DUMMYFUNCTION("""COMPUTED_VALUE"""),"Gézǐ tú'àn kàn qǐlái hěn shíshàng.")</f>
        <v>Gézǐ tú'àn kàn qǐlái hěn shíshàng.</v>
      </c>
    </row>
    <row r="19" spans="1:5" ht="14.25" customHeight="1">
      <c r="A19" s="41" t="s">
        <v>6656</v>
      </c>
      <c r="B19" s="10" t="s">
        <v>6657</v>
      </c>
      <c r="C19" s="10"/>
      <c r="D19" s="10"/>
      <c r="E19" s="4" t="str">
        <f ca="1">IFERROR(__xludf.DUMMYFUNCTION("""COMPUTED_VALUE"""),"Zhè zhǒng yánsè kàn qǐlái hěn héxié.")</f>
        <v>Zhè zhǒng yánsè kàn qǐlái hěn héxié.</v>
      </c>
    </row>
    <row r="20" spans="1:5" ht="14.25" customHeight="1">
      <c r="A20" s="41" t="s">
        <v>6658</v>
      </c>
      <c r="B20" s="10" t="s">
        <v>6659</v>
      </c>
      <c r="C20" s="10"/>
      <c r="D20" s="10" t="s">
        <v>6660</v>
      </c>
      <c r="E20" s="5" t="str">
        <f ca="1">IFERROR(__xludf.DUMMYFUNCTION("""COMPUTED_VALUE"""),"Zhè zhǒng yánsè tàiliàngle.")</f>
        <v>Zhè zhǒng yánsè tàiliàngle.</v>
      </c>
    </row>
    <row r="21" spans="1:5" ht="14.25" customHeight="1">
      <c r="A21" s="41" t="s">
        <v>6661</v>
      </c>
      <c r="B21" s="10" t="s">
        <v>6662</v>
      </c>
      <c r="C21" s="10"/>
      <c r="D21" s="10"/>
      <c r="E21" s="6" t="str">
        <f ca="1">IFERROR(__xludf.DUMMYFUNCTION("""COMPUTED_VALUE"""),"Zhè zhǒng yánsè yǒudiǎn àndàn.")</f>
        <v>Zhè zhǒng yánsè yǒudiǎn àndàn.</v>
      </c>
    </row>
    <row r="22" spans="1:5" ht="14.25" customHeight="1">
      <c r="A22" s="41" t="s">
        <v>6663</v>
      </c>
      <c r="B22" s="10" t="s">
        <v>6664</v>
      </c>
      <c r="C22" s="10"/>
      <c r="D22" s="10" t="s">
        <v>6665</v>
      </c>
      <c r="E22" s="6" t="str">
        <f ca="1">IFERROR(__xludf.DUMMYFUNCTION("""COMPUTED_VALUE"""),"Wǒ xǐhuān hēibái dāpèi.")</f>
        <v>Wǒ xǐhuān hēibái dāpèi.</v>
      </c>
    </row>
    <row r="23" spans="1:5" ht="14.25" customHeight="1">
      <c r="A23" s="41" t="s">
        <v>6666</v>
      </c>
      <c r="B23" s="10" t="s">
        <v>6667</v>
      </c>
      <c r="C23" s="10"/>
      <c r="D23" s="10"/>
      <c r="E23" s="6" t="str">
        <f ca="1">IFERROR(__xludf.DUMMYFUNCTION("""COMPUTED_VALUE"""),"Cǎihóngsè zǒng shì ràng wǒ kāixīn.")</f>
        <v>Cǎihóngsè zǒng shì ràng wǒ kāixīn.</v>
      </c>
    </row>
    <row r="24" spans="1:5" ht="14.25" customHeight="1">
      <c r="A24" s="41" t="s">
        <v>6668</v>
      </c>
      <c r="B24" s="10" t="s">
        <v>6669</v>
      </c>
      <c r="C24" s="10"/>
      <c r="D24" s="10" t="s">
        <v>6670</v>
      </c>
      <c r="E24" s="6" t="str">
        <f ca="1">IFERROR(__xludf.DUMMYFUNCTION("""COMPUTED_VALUE"""),"Zhège luóxuán tài yàoyǎnle.")</f>
        <v>Zhège luóxuán tài yàoyǎnle.</v>
      </c>
    </row>
    <row r="25" spans="1:5" ht="14.25" customHeight="1">
      <c r="A25" s="41" t="s">
        <v>6671</v>
      </c>
      <c r="B25" s="10" t="s">
        <v>6672</v>
      </c>
      <c r="C25" s="10"/>
      <c r="D25" s="10"/>
      <c r="E25" s="6" t="str">
        <f ca="1">IFERROR(__xludf.DUMMYFUNCTION("""COMPUTED_VALUE"""),"Zhèxiē xíngzhuàng hěn jiēshi.")</f>
        <v>Zhèxiē xíngzhuàng hěn jiēshi.</v>
      </c>
    </row>
    <row r="26" spans="1:5" ht="14.25" customHeight="1">
      <c r="A26" s="41" t="s">
        <v>6673</v>
      </c>
      <c r="B26" s="10" t="s">
        <v>6674</v>
      </c>
      <c r="C26" s="10"/>
      <c r="D26" s="10" t="s">
        <v>6675</v>
      </c>
      <c r="E26" s="6" t="str">
        <f ca="1">IFERROR(__xludf.DUMMYFUNCTION("""COMPUTED_VALUE"""),"Wǒ zài huà yīgè wǔjiǎo xīng.")</f>
        <v>Wǒ zài huà yīgè wǔjiǎo xīng.</v>
      </c>
    </row>
    <row r="27" spans="1:5" ht="14.25" customHeight="1">
      <c r="A27" s="41" t="s">
        <v>6676</v>
      </c>
      <c r="B27" s="10" t="s">
        <v>6677</v>
      </c>
      <c r="C27" s="10"/>
      <c r="D27" s="10"/>
      <c r="E27" s="6" t="str">
        <f ca="1">IFERROR(__xludf.DUMMYFUNCTION("""COMPUTED_VALUE"""),"Xīn xíngxiàng zhēngzhe ài.")</f>
        <v>Xīn xíngxiàng zhēngzhe ài.</v>
      </c>
    </row>
    <row r="28" spans="1:5" ht="14.25" customHeight="1">
      <c r="A28" s="41" t="s">
        <v>6678</v>
      </c>
      <c r="B28" s="10" t="s">
        <v>6679</v>
      </c>
      <c r="C28" s="10"/>
      <c r="D28" s="10" t="s">
        <v>6680</v>
      </c>
      <c r="E28" s="6" t="str">
        <f ca="1">IFERROR(__xludf.DUMMYFUNCTION("""COMPUTED_VALUE"""),"Wǒ xiǎng yòng jiànbiàn sè.")</f>
        <v>Wǒ xiǎng yòng jiànbiàn sè.</v>
      </c>
    </row>
    <row r="29" spans="1:5" ht="14.25" customHeight="1">
      <c r="A29" s="41" t="s">
        <v>6681</v>
      </c>
      <c r="B29" s="10" t="s">
        <v>6682</v>
      </c>
      <c r="C29" s="10"/>
      <c r="D29" s="10"/>
      <c r="E29" s="37" t="str">
        <f ca="1">IFERROR(__xludf.DUMMYFUNCTION("""COMPUTED_VALUE"""),"Dà zìrán de sècǎi zuìměi.")</f>
        <v>Dà zìrán de sècǎi zuìměi.</v>
      </c>
    </row>
    <row r="30" spans="1:5" ht="14.25" customHeight="1">
      <c r="A30" s="41" t="s">
        <v>6683</v>
      </c>
      <c r="B30" s="10" t="s">
        <v>6684</v>
      </c>
      <c r="C30" s="10"/>
      <c r="D30" s="10" t="s">
        <v>6685</v>
      </c>
      <c r="E30" s="6" t="str">
        <f ca="1">IFERROR(__xludf.DUMMYFUNCTION("""COMPUTED_VALUE"""),"Zhè zhǐ húdié de yánsè hěn duìchèn.")</f>
        <v>Zhè zhǐ húdié de yánsè hěn duìchèn.</v>
      </c>
    </row>
    <row r="31" spans="1:5" ht="14.25" customHeight="1">
      <c r="A31" s="41" t="s">
        <v>6686</v>
      </c>
      <c r="B31" s="10" t="s">
        <v>6687</v>
      </c>
      <c r="C31" s="10"/>
      <c r="D31" s="10"/>
      <c r="E31" s="4" t="str">
        <f ca="1">IFERROR(__xludf.DUMMYFUNCTION("""COMPUTED_VALUE"""),"Wǒ xǐhuān shǎnshǎn fāguāng de jīnsè.")</f>
        <v>Wǒ xǐhuān shǎnshǎn fāguāng de jīnsè.</v>
      </c>
    </row>
    <row r="32" spans="1:5" ht="14.25" customHeight="1">
      <c r="A32" s="41" t="s">
        <v>6688</v>
      </c>
      <c r="B32" s="10" t="s">
        <v>6689</v>
      </c>
      <c r="C32" s="10"/>
      <c r="D32" s="10" t="s">
        <v>6690</v>
      </c>
      <c r="E32" s="4" t="str">
        <f ca="1">IFERROR(__xludf.DUMMYFUNCTION("""COMPUTED_VALUE"""),"Zhè zhǒng chéngsè fēicháng xǐngmù.")</f>
        <v>Zhè zhǒng chéngsè fēicháng xǐngmù.</v>
      </c>
    </row>
    <row r="33" spans="1:5" ht="14.25" customHeight="1">
      <c r="A33" s="41" t="s">
        <v>6691</v>
      </c>
      <c r="B33" s="10" t="s">
        <v>6692</v>
      </c>
      <c r="C33" s="10"/>
      <c r="D33" s="10"/>
      <c r="E33" s="4" t="str">
        <f ca="1">IFERROR(__xludf.DUMMYFUNCTION("""COMPUTED_VALUE"""),"Mùtou de zōngsè jǐ rén yī zhǒng wēnnuǎn de gǎnjué.")</f>
        <v>Mùtou de zōngsè jǐ rén yī zhǒng wēnnuǎn de gǎnjué.</v>
      </c>
    </row>
    <row r="34" spans="1:5" ht="14.25" customHeight="1">
      <c r="A34" s="41" t="s">
        <v>6693</v>
      </c>
      <c r="B34" s="10" t="s">
        <v>6694</v>
      </c>
      <c r="C34" s="10"/>
      <c r="D34" s="10" t="s">
        <v>6695</v>
      </c>
      <c r="E34" s="4" t="str">
        <f ca="1">IFERROR(__xludf.DUMMYFUNCTION("""COMPUTED_VALUE"""),"Wǒ xiǎng huà yīgè língxíng.")</f>
        <v>Wǒ xiǎng huà yīgè língxíng.</v>
      </c>
    </row>
    <row r="35" spans="1:5" ht="14.25" customHeight="1">
      <c r="A35" s="41" t="s">
        <v>6696</v>
      </c>
      <c r="B35" s="10" t="s">
        <v>6697</v>
      </c>
      <c r="C35" s="10"/>
      <c r="D35" s="10"/>
      <c r="E35" s="8" t="str">
        <f ca="1">IFERROR(__xludf.DUMMYFUNCTION("""COMPUTED_VALUE"""),"Zhège tuǒyuán xíng kàn qǐlái tài xiàng jīdànle.")</f>
        <v>Zhège tuǒyuán xíng kàn qǐlái tài xiàng jīdànle.</v>
      </c>
    </row>
    <row r="36" spans="1:5" ht="14.25" customHeight="1">
      <c r="A36" s="41" t="s">
        <v>6698</v>
      </c>
      <c r="B36" s="10" t="s">
        <v>6699</v>
      </c>
      <c r="C36" s="10"/>
      <c r="D36" s="10" t="s">
        <v>6700</v>
      </c>
      <c r="E36" s="5" t="str">
        <f ca="1">IFERROR(__xludf.DUMMYFUNCTION("""COMPUTED_VALUE"""),"Wǒ xǐhuān fěicuì lǜ.")</f>
        <v>Wǒ xǐhuān fěicuì lǜ.</v>
      </c>
    </row>
    <row r="37" spans="1:5" ht="14.25" customHeight="1">
      <c r="A37" s="41" t="s">
        <v>6701</v>
      </c>
      <c r="B37" s="10" t="s">
        <v>6702</v>
      </c>
      <c r="C37" s="10"/>
      <c r="D37" s="10"/>
      <c r="E37" s="8" t="str">
        <f ca="1">IFERROR(__xludf.DUMMYFUNCTION("""COMPUTED_VALUE"""),"Xūnyīcǎo zǐ hěn róuhé.")</f>
        <v>Xūnyīcǎo zǐ hěn róuhé.</v>
      </c>
    </row>
    <row r="38" spans="1:5" ht="14.25" customHeight="1">
      <c r="A38" s="41" t="s">
        <v>6703</v>
      </c>
      <c r="B38" s="10" t="s">
        <v>6704</v>
      </c>
      <c r="C38" s="10"/>
      <c r="D38" s="10" t="s">
        <v>6705</v>
      </c>
      <c r="E38" s="5" t="str">
        <f ca="1">IFERROR(__xludf.DUMMYFUNCTION("""COMPUTED_VALUE"""),"Wǒ zhèngzài hùnhé hóngsè hé huángsè lái diào chū chéngsè.")</f>
        <v>Wǒ zhèngzài hùnhé hóngsè hé huángsè lái diào chū chéngsè.</v>
      </c>
    </row>
    <row r="39" spans="1:5" ht="14.25" customHeight="1">
      <c r="A39" s="41" t="s">
        <v>6706</v>
      </c>
      <c r="B39" s="10" t="s">
        <v>6707</v>
      </c>
      <c r="C39" s="10"/>
      <c r="D39" s="10"/>
      <c r="E39" s="6" t="str">
        <f ca="1">IFERROR(__xludf.DUMMYFUNCTION("""COMPUTED_VALUE"""),"Sècǎi ràng shēnghuó gèng měihǎo.")</f>
        <v>Sècǎi ràng shēnghuó gèng měihǎo.</v>
      </c>
    </row>
    <row r="40" spans="1:5" ht="14.25" customHeight="1">
      <c r="A40" s="41" t="s">
        <v>6708</v>
      </c>
      <c r="B40" s="10" t="s">
        <v>6709</v>
      </c>
      <c r="C40" s="10"/>
      <c r="D40" s="10" t="s">
        <v>6710</v>
      </c>
      <c r="E40" s="6" t="str">
        <f ca="1">IFERROR(__xludf.DUMMYFUNCTION("""COMPUTED_VALUE"""),"Wǒ xǐhuān jiérì lǐ xiānyàn de sècǎi.")</f>
        <v>Wǒ xǐhuān jiérì lǐ xiānyàn de sècǎi.</v>
      </c>
    </row>
    <row r="41" spans="1:5" ht="14.25" customHeight="1">
      <c r="A41" s="41" t="s">
        <v>6711</v>
      </c>
      <c r="B41" s="10" t="s">
        <v>6712</v>
      </c>
      <c r="C41" s="10"/>
      <c r="D41" s="10"/>
      <c r="E41" s="5" t="str">
        <f ca="1">IFERROR(__xludf.DUMMYFUNCTION("""COMPUTED_VALUE"""),"Zhège sānjiǎoxíng yǒusān gè xiāngděng de jiǎo.")</f>
        <v>Zhège sānjiǎoxíng yǒusān gè xiāngděng de jiǎo.</v>
      </c>
    </row>
    <row r="42" spans="1:5" ht="14.25" customHeight="1">
      <c r="A42" s="41" t="s">
        <v>6713</v>
      </c>
      <c r="B42" s="10" t="s">
        <v>6714</v>
      </c>
      <c r="C42" s="10"/>
      <c r="D42" s="10" t="s">
        <v>6715</v>
      </c>
      <c r="E42" s="4" t="str">
        <f ca="1">IFERROR(__xludf.DUMMYFUNCTION("""COMPUTED_VALUE"""),"Wǒ zhèngzài yòng yuánguī huà yīgè wánměi de yuán.")</f>
        <v>Wǒ zhèngzài yòng yuánguī huà yīgè wánměi de yuán.</v>
      </c>
    </row>
    <row r="43" spans="1:5" ht="14.25" customHeight="1">
      <c r="A43" s="41" t="s">
        <v>6716</v>
      </c>
      <c r="B43" s="10" t="s">
        <v>6717</v>
      </c>
      <c r="C43" s="10"/>
      <c r="D43" s="10"/>
      <c r="E43" s="5" t="str">
        <f ca="1">IFERROR(__xludf.DUMMYFUNCTION("""COMPUTED_VALUE"""),"Wǒ xǐhuān chōuxiàng yìshù.")</f>
        <v>Wǒ xǐhuān chōuxiàng yìshù.</v>
      </c>
    </row>
    <row r="44" spans="1:5" ht="14.25" customHeight="1">
      <c r="A44" s="41" t="s">
        <v>6718</v>
      </c>
      <c r="B44" s="10" t="s">
        <v>6719</v>
      </c>
      <c r="C44" s="10"/>
      <c r="D44" s="10" t="s">
        <v>6720</v>
      </c>
      <c r="E44" s="4" t="str">
        <f ca="1">IFERROR(__xludf.DUMMYFUNCTION("""COMPUTED_VALUE"""),"Sècǎi kěyǐ biǎodá qínggǎn.")</f>
        <v>Sècǎi kěyǐ biǎodá qínggǎn.</v>
      </c>
    </row>
    <row r="45" spans="1:5" ht="14.25" customHeight="1">
      <c r="A45" s="41" t="s">
        <v>6721</v>
      </c>
      <c r="B45" s="10" t="s">
        <v>6722</v>
      </c>
      <c r="C45" s="10"/>
      <c r="D45" s="10"/>
      <c r="E45" s="5" t="str">
        <f ca="1">IFERROR(__xludf.DUMMYFUNCTION("""COMPUTED_VALUE"""),"Lán sè ràng wǒ gǎndào píngjìng.")</f>
        <v>Lán sè ràng wǒ gǎndào píngjìng.</v>
      </c>
    </row>
    <row r="46" spans="1:5" ht="14.25" customHeight="1">
      <c r="A46" s="41" t="s">
        <v>6723</v>
      </c>
      <c r="B46" s="10" t="s">
        <v>6724</v>
      </c>
      <c r="C46" s="10"/>
      <c r="D46" s="10" t="s">
        <v>6725</v>
      </c>
      <c r="E46" s="4" t="str">
        <f ca="1">IFERROR(__xludf.DUMMYFUNCTION("""COMPUTED_VALUE"""),"Hóng sè ràng wǒ gǎndào chōngmǎn huólì.")</f>
        <v>Hóng sè ràng wǒ gǎndào chōngmǎn huólì.</v>
      </c>
    </row>
    <row r="47" spans="1:5" ht="14.25" customHeight="1">
      <c r="A47" s="41" t="s">
        <v>6726</v>
      </c>
      <c r="B47" s="10" t="s">
        <v>6727</v>
      </c>
      <c r="C47" s="10"/>
      <c r="D47" s="10"/>
      <c r="E47" s="4" t="str">
        <f ca="1">IFERROR(__xludf.DUMMYFUNCTION("""COMPUTED_VALUE"""),"Wǒ xiǎng xuéxí rúhé zhēnzhèng de dāpèi sècǎi.")</f>
        <v>Wǒ xiǎng xuéxí rúhé zhēnzhèng de dāpèi sècǎi.</v>
      </c>
    </row>
    <row r="48" spans="1:5" ht="14.25" customHeight="1">
      <c r="A48" s="41" t="s">
        <v>6728</v>
      </c>
      <c r="B48" s="10" t="s">
        <v>6729</v>
      </c>
      <c r="C48" s="10"/>
      <c r="D48" s="10" t="s">
        <v>6730</v>
      </c>
      <c r="E48" s="4" t="str">
        <f ca="1">IFERROR(__xludf.DUMMYFUNCTION("""COMPUTED_VALUE"""),"Zhège xíngzhuàng hěn xiàndài.")</f>
        <v>Zhège xíngzhuàng hěn xiàndài.</v>
      </c>
    </row>
    <row r="49" spans="1:5" ht="14.25" customHeight="1">
      <c r="A49" s="41" t="s">
        <v>6731</v>
      </c>
      <c r="B49" s="10" t="s">
        <v>6732</v>
      </c>
      <c r="C49" s="10"/>
      <c r="D49" s="10"/>
      <c r="E49" s="5" t="str">
        <f ca="1">IFERROR(__xludf.DUMMYFUNCTION("""COMPUTED_VALUE"""),"Wǒ xǐhuān lìtǐ xíngzhuàng.")</f>
        <v>Wǒ xǐhuān lìtǐ xíngzhuàng.</v>
      </c>
    </row>
    <row r="50" spans="1:5" ht="14.25" customHeight="1">
      <c r="A50" s="41" t="s">
        <v>6733</v>
      </c>
      <c r="B50" s="10" t="s">
        <v>6734</v>
      </c>
      <c r="C50" s="10"/>
      <c r="D50" s="10" t="s">
        <v>6735</v>
      </c>
      <c r="E50" s="6" t="str">
        <f ca="1">IFERROR(__xludf.DUMMYFUNCTION("""COMPUTED_VALUE"""),"Wǒ zhōuwéi de yīqiè dōu yǒuzhe zìjǐ dútè de xíngzhuàng.")</f>
        <v>Wǒ zhōuwéi de yīqiè dōu yǒuzhe zìjǐ dútè de xíngzhuàng.</v>
      </c>
    </row>
    <row r="51" spans="1:5" ht="14.25" customHeight="1">
      <c r="A51" s="41" t="s">
        <v>6736</v>
      </c>
      <c r="B51" s="10" t="s">
        <v>6737</v>
      </c>
      <c r="C51" s="10"/>
      <c r="D51" s="10"/>
      <c r="E51" s="6" t="str">
        <f ca="1">IFERROR(__xludf.DUMMYFUNCTION("""COMPUTED_VALUE"""),"Zhège shìjiè zhēn duōcǎi!")</f>
        <v>Zhège shìjiè zhēn duōcǎi!</v>
      </c>
    </row>
    <row r="52" spans="1:5" ht="14.25" customHeight="1">
      <c r="A52" s="42"/>
      <c r="B52" s="10"/>
      <c r="C52" s="10"/>
      <c r="D52" s="10" t="s">
        <v>6738</v>
      </c>
    </row>
    <row r="53" spans="1:5" ht="14.25" customHeight="1">
      <c r="A53" s="42"/>
      <c r="B53" s="10"/>
      <c r="C53" s="10"/>
      <c r="D53" s="10"/>
      <c r="E53" s="5"/>
    </row>
    <row r="54" spans="1:5" ht="14.25" customHeight="1">
      <c r="A54" s="42"/>
      <c r="B54" s="10"/>
      <c r="C54" s="10"/>
      <c r="D54" s="10" t="s">
        <v>6739</v>
      </c>
      <c r="E54" s="5"/>
    </row>
    <row r="55" spans="1:5" ht="14.25" customHeight="1">
      <c r="A55" s="42"/>
      <c r="B55" s="10"/>
      <c r="C55" s="10"/>
      <c r="D55" s="10"/>
      <c r="E55" s="5"/>
    </row>
    <row r="56" spans="1:5" ht="14.25" customHeight="1">
      <c r="A56" s="42"/>
      <c r="B56" s="10"/>
      <c r="C56" s="10"/>
      <c r="D56" s="10" t="s">
        <v>6740</v>
      </c>
      <c r="E56" s="5"/>
    </row>
    <row r="57" spans="1:5" ht="14.25" customHeight="1">
      <c r="A57" s="42"/>
      <c r="B57" s="10"/>
      <c r="C57" s="10"/>
      <c r="D57" s="10"/>
      <c r="E57" s="5"/>
    </row>
    <row r="58" spans="1:5" ht="14.25" customHeight="1">
      <c r="A58" s="42"/>
      <c r="B58" s="10"/>
      <c r="C58" s="10"/>
      <c r="D58" s="10" t="s">
        <v>6741</v>
      </c>
      <c r="E58" s="5"/>
    </row>
    <row r="59" spans="1:5" ht="14.25" customHeight="1">
      <c r="A59" s="42"/>
      <c r="B59" s="10"/>
      <c r="C59" s="10"/>
      <c r="D59" s="10"/>
    </row>
    <row r="60" spans="1:5" ht="14.25" customHeight="1">
      <c r="A60" s="42"/>
      <c r="B60" s="10"/>
      <c r="C60" s="10"/>
      <c r="D60" s="10" t="s">
        <v>6742</v>
      </c>
      <c r="E60" s="5"/>
    </row>
    <row r="61" spans="1:5" ht="14.25" customHeight="1">
      <c r="A61" s="42"/>
      <c r="B61" s="10"/>
      <c r="C61" s="10"/>
      <c r="D61" s="10"/>
      <c r="E61" s="5"/>
    </row>
    <row r="62" spans="1:5" ht="14.25" customHeight="1">
      <c r="A62" s="42"/>
      <c r="B62" s="10"/>
      <c r="C62" s="10"/>
      <c r="D62" s="10" t="s">
        <v>6743</v>
      </c>
      <c r="E62" s="5"/>
    </row>
    <row r="63" spans="1:5" ht="14.25" customHeight="1">
      <c r="A63" s="42"/>
      <c r="B63" s="10"/>
      <c r="C63" s="10"/>
      <c r="D63" s="10"/>
      <c r="E63" s="5"/>
    </row>
    <row r="64" spans="1:5" ht="14.25" customHeight="1">
      <c r="A64" s="42"/>
      <c r="B64" s="10"/>
      <c r="C64" s="10"/>
      <c r="D64" s="10" t="s">
        <v>6744</v>
      </c>
      <c r="E64" s="5"/>
    </row>
    <row r="65" spans="1:5" ht="14.25" customHeight="1">
      <c r="A65" s="42"/>
      <c r="B65" s="10"/>
      <c r="C65" s="10"/>
      <c r="D65" s="10"/>
      <c r="E65" s="5"/>
    </row>
    <row r="66" spans="1:5" ht="14.25" customHeight="1">
      <c r="A66" s="42"/>
      <c r="B66" s="10"/>
      <c r="C66" s="10"/>
      <c r="D66" s="10" t="s">
        <v>6745</v>
      </c>
      <c r="E66" s="5"/>
    </row>
    <row r="67" spans="1:5" ht="14.25" customHeight="1">
      <c r="A67" s="42"/>
      <c r="B67" s="10"/>
      <c r="C67" s="10"/>
      <c r="D67" s="10"/>
      <c r="E67" s="5"/>
    </row>
    <row r="68" spans="1:5" ht="14.25" customHeight="1">
      <c r="A68" s="42"/>
      <c r="B68" s="10"/>
      <c r="C68" s="10"/>
      <c r="D68" s="10" t="s">
        <v>6746</v>
      </c>
      <c r="E68" s="5"/>
    </row>
    <row r="69" spans="1:5" ht="14.25" customHeight="1">
      <c r="A69" s="42"/>
      <c r="B69" s="10"/>
      <c r="C69" s="10"/>
      <c r="D69" s="10"/>
      <c r="E69" s="5"/>
    </row>
    <row r="70" spans="1:5" ht="14.25" customHeight="1">
      <c r="A70" s="42"/>
      <c r="B70" s="10"/>
      <c r="C70" s="10"/>
      <c r="D70" s="10" t="s">
        <v>6747</v>
      </c>
      <c r="E70" s="5"/>
    </row>
    <row r="71" spans="1:5" ht="14.25" customHeight="1">
      <c r="A71" s="42"/>
      <c r="B71" s="10"/>
      <c r="C71" s="10"/>
      <c r="D71" s="10"/>
      <c r="E71" s="5"/>
    </row>
    <row r="72" spans="1:5" ht="14.25" customHeight="1">
      <c r="A72" s="42"/>
      <c r="B72" s="10"/>
      <c r="C72" s="10"/>
      <c r="D72" s="10" t="s">
        <v>6748</v>
      </c>
      <c r="E72" s="5"/>
    </row>
    <row r="73" spans="1:5" ht="14.25" customHeight="1">
      <c r="A73" s="42"/>
      <c r="B73" s="10"/>
      <c r="C73" s="10"/>
      <c r="D73" s="10"/>
      <c r="E73" s="5"/>
    </row>
    <row r="74" spans="1:5" ht="14.25" customHeight="1">
      <c r="A74" s="42"/>
      <c r="B74" s="10"/>
      <c r="C74" s="10"/>
      <c r="D74" s="10" t="s">
        <v>6749</v>
      </c>
      <c r="E74" s="5"/>
    </row>
    <row r="75" spans="1:5" ht="14.25" customHeight="1">
      <c r="A75" s="42"/>
      <c r="B75" s="10"/>
      <c r="C75" s="10"/>
      <c r="D75" s="10"/>
      <c r="E75" s="5"/>
    </row>
    <row r="76" spans="1:5" ht="14.25" customHeight="1">
      <c r="A76" s="42"/>
      <c r="B76" s="10"/>
      <c r="C76" s="10"/>
      <c r="D76" s="10" t="s">
        <v>6750</v>
      </c>
      <c r="E76" s="5"/>
    </row>
    <row r="77" spans="1:5" ht="14.25" customHeight="1">
      <c r="A77" s="42"/>
      <c r="B77" s="10"/>
      <c r="C77" s="10"/>
      <c r="D77" s="10"/>
      <c r="E77" s="5"/>
    </row>
    <row r="78" spans="1:5" ht="14.25" customHeight="1">
      <c r="A78" s="42"/>
      <c r="B78" s="10"/>
      <c r="C78" s="10"/>
      <c r="D78" s="10" t="s">
        <v>6751</v>
      </c>
      <c r="E78" s="5"/>
    </row>
    <row r="79" spans="1:5" ht="14.25" customHeight="1">
      <c r="A79" s="42"/>
      <c r="B79" s="10"/>
      <c r="C79" s="10"/>
      <c r="D79" s="10"/>
      <c r="E79" s="5"/>
    </row>
    <row r="80" spans="1:5" ht="14.25" customHeight="1">
      <c r="A80" s="42"/>
      <c r="B80" s="10"/>
      <c r="C80" s="10"/>
      <c r="D80" s="10" t="s">
        <v>6752</v>
      </c>
      <c r="E80" s="5"/>
    </row>
    <row r="81" spans="1:5" ht="14.25" customHeight="1">
      <c r="A81" s="42"/>
      <c r="B81" s="10"/>
      <c r="C81" s="10"/>
      <c r="D81" s="10"/>
      <c r="E81" s="5"/>
    </row>
    <row r="82" spans="1:5" ht="14.25" customHeight="1">
      <c r="A82" s="42"/>
      <c r="B82" s="10"/>
      <c r="C82" s="10"/>
      <c r="D82" s="10" t="s">
        <v>6753</v>
      </c>
      <c r="E82" s="5"/>
    </row>
    <row r="83" spans="1:5" ht="14.25" customHeight="1">
      <c r="A83" s="42"/>
      <c r="B83" s="10"/>
      <c r="C83" s="10"/>
      <c r="D83" s="10"/>
      <c r="E83" s="5"/>
    </row>
    <row r="84" spans="1:5" ht="14.25" customHeight="1">
      <c r="A84" s="42"/>
      <c r="B84" s="10"/>
      <c r="C84" s="10"/>
      <c r="D84" s="10" t="s">
        <v>6754</v>
      </c>
      <c r="E84" s="5"/>
    </row>
    <row r="85" spans="1:5" ht="14.25" customHeight="1">
      <c r="A85" s="42"/>
      <c r="B85" s="10"/>
      <c r="C85" s="10"/>
      <c r="D85" s="10"/>
      <c r="E85" s="5"/>
    </row>
    <row r="86" spans="1:5" ht="14.25" customHeight="1">
      <c r="A86" s="42"/>
      <c r="B86" s="10"/>
      <c r="C86" s="10"/>
      <c r="D86" s="10" t="s">
        <v>6755</v>
      </c>
      <c r="E86" s="5"/>
    </row>
    <row r="87" spans="1:5" ht="14.25" customHeight="1">
      <c r="A87" s="42"/>
      <c r="B87" s="10"/>
      <c r="C87" s="10"/>
      <c r="D87" s="10"/>
      <c r="E87" s="5"/>
    </row>
    <row r="88" spans="1:5" ht="14.25" customHeight="1">
      <c r="A88" s="42"/>
      <c r="B88" s="10"/>
      <c r="C88" s="10"/>
      <c r="D88" s="10" t="s">
        <v>6756</v>
      </c>
      <c r="E88" s="5"/>
    </row>
    <row r="89" spans="1:5" ht="14.25" customHeight="1">
      <c r="A89" s="42"/>
      <c r="B89" s="10"/>
      <c r="C89" s="10"/>
      <c r="D89" s="10"/>
      <c r="E89" s="5"/>
    </row>
    <row r="90" spans="1:5" ht="14.25" customHeight="1">
      <c r="A90" s="42"/>
      <c r="B90" s="10"/>
      <c r="C90" s="10"/>
      <c r="D90" s="10" t="s">
        <v>6757</v>
      </c>
      <c r="E90" s="5"/>
    </row>
    <row r="91" spans="1:5" ht="14.25" customHeight="1">
      <c r="A91" s="42"/>
      <c r="B91" s="10"/>
      <c r="C91" s="10"/>
      <c r="D91" s="10"/>
      <c r="E91" s="5"/>
    </row>
    <row r="92" spans="1:5" ht="14.25" customHeight="1">
      <c r="A92" s="42"/>
      <c r="B92" s="10"/>
      <c r="C92" s="10"/>
      <c r="D92" s="10" t="s">
        <v>6758</v>
      </c>
      <c r="E92" s="5"/>
    </row>
    <row r="93" spans="1:5" ht="14.25" customHeight="1">
      <c r="A93" s="42"/>
      <c r="B93" s="10"/>
      <c r="C93" s="10"/>
      <c r="D93" s="10"/>
      <c r="E93" s="5"/>
    </row>
    <row r="94" spans="1:5" ht="14.25" customHeight="1">
      <c r="A94" s="42"/>
      <c r="B94" s="10"/>
      <c r="C94" s="10"/>
      <c r="D94" s="10" t="s">
        <v>6759</v>
      </c>
      <c r="E94" s="5"/>
    </row>
    <row r="95" spans="1:5" ht="14.25" customHeight="1">
      <c r="A95" s="42"/>
      <c r="B95" s="10"/>
      <c r="C95" s="10"/>
      <c r="D95" s="10"/>
      <c r="E95" s="5"/>
    </row>
    <row r="96" spans="1:5" ht="14.25" customHeight="1">
      <c r="A96" s="42"/>
      <c r="B96" s="10"/>
      <c r="C96" s="10"/>
      <c r="D96" s="10" t="s">
        <v>6760</v>
      </c>
      <c r="E96" s="5"/>
    </row>
    <row r="97" spans="1:5" ht="14.25" customHeight="1">
      <c r="A97" s="42"/>
      <c r="B97" s="10"/>
      <c r="C97" s="10"/>
      <c r="D97" s="10"/>
      <c r="E97" s="5"/>
    </row>
    <row r="98" spans="1:5" ht="14.25" customHeight="1">
      <c r="A98" s="42"/>
      <c r="B98" s="10"/>
      <c r="C98" s="10"/>
      <c r="D98" s="10" t="s">
        <v>6761</v>
      </c>
      <c r="E98" s="5"/>
    </row>
    <row r="99" spans="1:5" ht="14.25" customHeight="1">
      <c r="A99" s="42"/>
      <c r="B99" s="10"/>
      <c r="C99" s="10"/>
      <c r="D99" s="10"/>
      <c r="E99" s="5"/>
    </row>
    <row r="100" spans="1:5" ht="14.25" customHeight="1">
      <c r="A100" s="42"/>
      <c r="B100" s="10"/>
      <c r="C100" s="10"/>
      <c r="D100" s="10" t="s">
        <v>6762</v>
      </c>
      <c r="E100" s="5"/>
    </row>
  </sheetData>
  <pageMargins left="0.75" right="0.75" top="1" bottom="1"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sheetViews>
  <sheetFormatPr defaultColWidth="14.44140625" defaultRowHeight="15" customHeight="1"/>
  <cols>
    <col min="1" max="1" width="42.44140625" customWidth="1"/>
    <col min="2" max="2" width="57.5546875" customWidth="1"/>
    <col min="3" max="3" width="30.6640625" customWidth="1"/>
    <col min="4" max="4" width="57.5546875" customWidth="1"/>
    <col min="5" max="5" width="56.88671875" customWidth="1"/>
  </cols>
  <sheetData>
    <row r="1" spans="1:5" ht="14.25" customHeight="1">
      <c r="A1" s="12" t="s">
        <v>6763</v>
      </c>
      <c r="E1" s="2"/>
    </row>
    <row r="2" spans="1:5" ht="14.25" customHeight="1">
      <c r="A2" s="41" t="s">
        <v>6764</v>
      </c>
      <c r="B2" s="43" t="s">
        <v>6765</v>
      </c>
      <c r="C2" s="46"/>
      <c r="D2" s="46" t="s">
        <v>6766</v>
      </c>
      <c r="E2" s="5" t="str">
        <f ca="1">IFERROR(__xludf.DUMMYFUNCTION("FILTER(D1:D1002,D1:D1002&lt;&gt; """")"),"Xiānshēng/nǚshì, nín shì zuò shénme gōngzuò de?")</f>
        <v>Xiānshēng/nǚshì, nín shì zuò shénme gōngzuò de?</v>
      </c>
    </row>
    <row r="3" spans="1:5" ht="14.25" customHeight="1">
      <c r="A3" s="41" t="s">
        <v>6767</v>
      </c>
      <c r="B3" s="43" t="s">
        <v>6768</v>
      </c>
      <c r="C3" s="46"/>
      <c r="D3" s="46"/>
      <c r="E3" s="6" t="str">
        <f ca="1">IFERROR(__xludf.DUMMYFUNCTION("""COMPUTED_VALUE"""),"Wǒ xiǎng chéngwéi yī míng yōuxiù de yīshēng.")</f>
        <v>Wǒ xiǎng chéngwéi yī míng yōuxiù de yīshēng.</v>
      </c>
    </row>
    <row r="4" spans="1:5" ht="14.25" customHeight="1">
      <c r="A4" s="41" t="s">
        <v>6769</v>
      </c>
      <c r="B4" s="43" t="s">
        <v>6770</v>
      </c>
      <c r="C4" s="46"/>
      <c r="D4" s="46" t="s">
        <v>6771</v>
      </c>
      <c r="E4" s="5" t="str">
        <f ca="1">IFERROR(__xludf.DUMMYFUNCTION("""COMPUTED_VALUE"""),"Tā shì yī wèi jìnzhí jìnzé de lǎoshī.")</f>
        <v>Tā shì yī wèi jìnzhí jìnzé de lǎoshī.</v>
      </c>
    </row>
    <row r="5" spans="1:5" ht="14.25" customHeight="1">
      <c r="A5" s="41" t="s">
        <v>6772</v>
      </c>
      <c r="B5" s="43" t="s">
        <v>6773</v>
      </c>
      <c r="C5" s="46"/>
      <c r="D5" s="46"/>
      <c r="E5" s="5" t="str">
        <f ca="1">IFERROR(__xludf.DUMMYFUNCTION("""COMPUTED_VALUE"""),"Tā shì yī wèi yǒnggǎn de jǐngchá.")</f>
        <v>Tā shì yī wèi yǒnggǎn de jǐngchá.</v>
      </c>
    </row>
    <row r="6" spans="1:5" ht="14.25" customHeight="1">
      <c r="A6" s="41" t="s">
        <v>6774</v>
      </c>
      <c r="B6" s="43" t="s">
        <v>6775</v>
      </c>
      <c r="C6" s="46"/>
      <c r="D6" s="46" t="s">
        <v>6776</v>
      </c>
      <c r="E6" s="5" t="str">
        <f ca="1">IFERROR(__xludf.DUMMYFUNCTION("""COMPUTED_VALUE"""),"Wǒ xǐhuān dāng xiāofáng yuán, qù jiù rén.")</f>
        <v>Wǒ xǐhuān dāng xiāofáng yuán, qù jiù rén.</v>
      </c>
    </row>
    <row r="7" spans="1:5" ht="14.25" customHeight="1">
      <c r="A7" s="41" t="s">
        <v>6777</v>
      </c>
      <c r="B7" s="43" t="s">
        <v>6778</v>
      </c>
      <c r="C7" s="46"/>
      <c r="D7" s="46"/>
      <c r="E7" s="5" t="str">
        <f ca="1">IFERROR(__xludf.DUMMYFUNCTION("""COMPUTED_VALUE"""),"Zhè wèi chúshī chú yì jīngzhàn.")</f>
        <v>Zhè wèi chúshī chú yì jīngzhàn.</v>
      </c>
    </row>
    <row r="8" spans="1:5" ht="14.25" customHeight="1">
      <c r="A8" s="41" t="s">
        <v>6779</v>
      </c>
      <c r="B8" s="43" t="s">
        <v>6780</v>
      </c>
      <c r="C8" s="46"/>
      <c r="D8" s="46" t="s">
        <v>6781</v>
      </c>
      <c r="E8" s="5" t="str">
        <f ca="1">IFERROR(__xludf.DUMMYFUNCTION("""COMPUTED_VALUE"""),"Wǒ xiǎng chéngwéi yī míng fēixíngyuán, fēi biàn shìjiè gèdì.")</f>
        <v>Wǒ xiǎng chéngwéi yī míng fēixíngyuán, fēi biàn shìjiè gèdì.</v>
      </c>
    </row>
    <row r="9" spans="1:5" ht="14.25" customHeight="1">
      <c r="A9" s="41" t="s">
        <v>6782</v>
      </c>
      <c r="B9" s="43" t="s">
        <v>6783</v>
      </c>
      <c r="C9" s="46"/>
      <c r="D9" s="46"/>
      <c r="E9" s="5" t="str">
        <f ca="1">IFERROR(__xludf.DUMMYFUNCTION("""COMPUTED_VALUE"""),"Zhè wèi nóngmín zài tián lǐ xīnqínláozuò.")</f>
        <v>Zhè wèi nóngmín zài tián lǐ xīnqínláozuò.</v>
      </c>
    </row>
    <row r="10" spans="1:5" ht="14.25" customHeight="1">
      <c r="A10" s="41" t="s">
        <v>6784</v>
      </c>
      <c r="B10" s="43" t="s">
        <v>6785</v>
      </c>
      <c r="C10" s="46"/>
      <c r="D10" s="46" t="s">
        <v>6786</v>
      </c>
      <c r="E10" s="5" t="str">
        <f ca="1">IFERROR(__xludf.DUMMYFUNCTION("""COMPUTED_VALUE"""),"Wǒ xiǎng chéngwéi yī míng gōngchéngshī, qù jiànzào mótiān dàlóu.")</f>
        <v>Wǒ xiǎng chéngwéi yī míng gōngchéngshī, qù jiànzào mótiān dàlóu.</v>
      </c>
    </row>
    <row r="11" spans="1:5" ht="14.25" customHeight="1">
      <c r="A11" s="41" t="s">
        <v>6787</v>
      </c>
      <c r="B11" s="43" t="s">
        <v>6788</v>
      </c>
      <c r="C11" s="46"/>
      <c r="D11" s="46"/>
      <c r="E11" s="5" t="str">
        <f ca="1">IFERROR(__xludf.DUMMYFUNCTION("""COMPUTED_VALUE"""),"Tā shì yī wèi diànnǎo chéngxù yuán.")</f>
        <v>Tā shì yī wèi diànnǎo chéngxù yuán.</v>
      </c>
    </row>
    <row r="12" spans="1:5" ht="14.25" customHeight="1">
      <c r="A12" s="41" t="s">
        <v>6789</v>
      </c>
      <c r="B12" s="43" t="s">
        <v>3891</v>
      </c>
      <c r="C12" s="46"/>
      <c r="D12" s="46" t="s">
        <v>6790</v>
      </c>
      <c r="E12" s="6" t="str">
        <f ca="1">IFERROR(__xludf.DUMMYFUNCTION("""COMPUTED_VALUE"""),"Wǒ xǐhuān huà huà, wǒ xiǎng chéngwéi yī míng yìshùjiā.")</f>
        <v>Wǒ xǐhuān huà huà, wǒ xiǎng chéngwéi yī míng yìshùjiā.</v>
      </c>
    </row>
    <row r="13" spans="1:5" ht="14.25" customHeight="1">
      <c r="A13" s="41" t="s">
        <v>6791</v>
      </c>
      <c r="B13" s="43" t="s">
        <v>6792</v>
      </c>
      <c r="C13" s="46"/>
      <c r="D13" s="46"/>
      <c r="E13" s="6" t="str">
        <f ca="1">IFERROR(__xludf.DUMMYFUNCTION("""COMPUTED_VALUE"""),"Tā chànggē xiàng zhuānyè gēshǒu yīyàng hǎotīng.")</f>
        <v>Tā chànggē xiàng zhuānyè gēshǒu yīyàng hǎotīng.</v>
      </c>
    </row>
    <row r="14" spans="1:5" ht="14.25" customHeight="1">
      <c r="A14" s="41" t="s">
        <v>6793</v>
      </c>
      <c r="B14" s="43" t="s">
        <v>6794</v>
      </c>
      <c r="C14" s="46"/>
      <c r="D14" s="46" t="s">
        <v>6795</v>
      </c>
      <c r="E14" s="6" t="str">
        <f ca="1">IFERROR(__xludf.DUMMYFUNCTION("""COMPUTED_VALUE"""),"Wǒ xiǎng chéngwéi yī míng shòuyī, qù zhìliáo shēngbìng de māo.")</f>
        <v>Wǒ xiǎng chéngwéi yī míng shòuyī, qù zhìliáo shēngbìng de māo.</v>
      </c>
    </row>
    <row r="15" spans="1:5" ht="14.25" customHeight="1">
      <c r="A15" s="41" t="s">
        <v>6796</v>
      </c>
      <c r="B15" s="43" t="s">
        <v>6797</v>
      </c>
      <c r="C15" s="46"/>
      <c r="D15" s="46"/>
      <c r="E15" s="6" t="str">
        <f ca="1">IFERROR(__xludf.DUMMYFUNCTION("""COMPUTED_VALUE"""),"Nín kāichē fēicháng xiǎoxīn.")</f>
        <v>Nín kāichē fēicháng xiǎoxīn.</v>
      </c>
    </row>
    <row r="16" spans="1:5" ht="14.25" customHeight="1">
      <c r="A16" s="41" t="s">
        <v>6798</v>
      </c>
      <c r="B16" s="43" t="s">
        <v>6799</v>
      </c>
      <c r="C16" s="46"/>
      <c r="D16" s="46" t="s">
        <v>6800</v>
      </c>
      <c r="E16" s="6" t="str">
        <f ca="1">IFERROR(__xludf.DUMMYFUNCTION("""COMPUTED_VALUE"""),"Wǒ xiǎng chéngwéi yī míng jiéchū de kēxuéjiā.")</f>
        <v>Wǒ xiǎng chéngwéi yī míng jiéchū de kēxuéjiā.</v>
      </c>
    </row>
    <row r="17" spans="1:5" ht="14.25" customHeight="1">
      <c r="A17" s="41" t="s">
        <v>6801</v>
      </c>
      <c r="B17" s="43" t="s">
        <v>6802</v>
      </c>
      <c r="C17" s="46"/>
      <c r="D17" s="46"/>
      <c r="E17" s="6" t="str">
        <f ca="1">IFERROR(__xludf.DUMMYFUNCTION("""COMPUTED_VALUE"""),"Zhè wèi hùshì duì bìngrén zhàogù dé fēicháng wēnróu.")</f>
        <v>Zhè wèi hùshì duì bìngrén zhàogù dé fēicháng wēnróu.</v>
      </c>
    </row>
    <row r="18" spans="1:5" ht="14.25" customHeight="1">
      <c r="A18" s="41" t="s">
        <v>6803</v>
      </c>
      <c r="B18" s="43" t="s">
        <v>6804</v>
      </c>
      <c r="C18" s="46"/>
      <c r="D18" s="46" t="s">
        <v>6805</v>
      </c>
      <c r="E18" s="5" t="str">
        <f ca="1">IFERROR(__xludf.DUMMYFUNCTION("""COMPUTED_VALUE"""),"Wǒ xiǎng chéngwéi yī míng yǔháng yuán.")</f>
        <v>Wǒ xiǎng chéngwéi yī míng yǔháng yuán.</v>
      </c>
    </row>
    <row r="19" spans="1:5" ht="14.25" customHeight="1">
      <c r="A19" s="41" t="s">
        <v>6806</v>
      </c>
      <c r="B19" s="43" t="s">
        <v>6807</v>
      </c>
      <c r="C19" s="46"/>
      <c r="D19" s="46"/>
      <c r="E19" s="4" t="str">
        <f ca="1">IFERROR(__xludf.DUMMYFUNCTION("""COMPUTED_VALUE"""),"Xiānshēng/nǚshì, nín de gōngzuò yǒuqù ma?")</f>
        <v>Xiānshēng/nǚshì, nín de gōngzuò yǒuqù ma?</v>
      </c>
    </row>
    <row r="20" spans="1:5" ht="14.25" customHeight="1">
      <c r="A20" s="41" t="s">
        <v>6808</v>
      </c>
      <c r="B20" s="43" t="s">
        <v>2026</v>
      </c>
      <c r="C20" s="46"/>
      <c r="D20" s="46" t="s">
        <v>6809</v>
      </c>
      <c r="E20" s="5" t="str">
        <f ca="1">IFERROR(__xludf.DUMMYFUNCTION("""COMPUTED_VALUE"""),"Wǒ huì nǔlì xuéxí, shíxiàn wǒ de mèngxiǎng.")</f>
        <v>Wǒ huì nǔlì xuéxí, shíxiàn wǒ de mèngxiǎng.</v>
      </c>
    </row>
    <row r="21" spans="1:5" ht="14.25" customHeight="1">
      <c r="A21" s="41" t="s">
        <v>6810</v>
      </c>
      <c r="B21" s="43" t="s">
        <v>6811</v>
      </c>
      <c r="C21" s="46"/>
      <c r="D21" s="46"/>
      <c r="E21" s="6" t="str">
        <f ca="1">IFERROR(__xludf.DUMMYFUNCTION("""COMPUTED_VALUE"""),"Tā shì yī wèi jìyì jīngzhàn de mùjiàng.")</f>
        <v>Tā shì yī wèi jìyì jīngzhàn de mùjiàng.</v>
      </c>
    </row>
    <row r="22" spans="1:5" ht="14.25" customHeight="1">
      <c r="A22" s="41" t="s">
        <v>6812</v>
      </c>
      <c r="B22" s="43" t="s">
        <v>6813</v>
      </c>
      <c r="C22" s="46"/>
      <c r="D22" s="46" t="s">
        <v>6814</v>
      </c>
      <c r="E22" s="6" t="str">
        <f ca="1">IFERROR(__xludf.DUMMYFUNCTION("""COMPUTED_VALUE"""),"Wǒ xiǎng chéngwéi yī míng lánqiú yùndòngyuán.")</f>
        <v>Wǒ xiǎng chéngwéi yī míng lánqiú yùndòngyuán.</v>
      </c>
    </row>
    <row r="23" spans="1:5" ht="14.25" customHeight="1">
      <c r="A23" s="41" t="s">
        <v>6815</v>
      </c>
      <c r="B23" s="43" t="s">
        <v>6816</v>
      </c>
      <c r="C23" s="46"/>
      <c r="D23" s="46"/>
      <c r="E23" s="6" t="str">
        <f ca="1">IFERROR(__xludf.DUMMYFUNCTION("""COMPUTED_VALUE"""),"Tā shì yī wèi zhùmíng de shèyǐng shī.")</f>
        <v>Tā shì yī wèi zhùmíng de shèyǐng shī.</v>
      </c>
    </row>
    <row r="24" spans="1:5" ht="14.25" customHeight="1">
      <c r="A24" s="41" t="s">
        <v>6817</v>
      </c>
      <c r="B24" s="43" t="s">
        <v>6818</v>
      </c>
      <c r="C24" s="46"/>
      <c r="D24" s="46" t="s">
        <v>6819</v>
      </c>
      <c r="E24" s="6" t="str">
        <f ca="1">IFERROR(__xludf.DUMMYFUNCTION("""COMPUTED_VALUE"""),"Wǒ xiǎng chéngwéi fēilǜbīn de dǎoyóu.")</f>
        <v>Wǒ xiǎng chéngwéi fēilǜbīn de dǎoyóu.</v>
      </c>
    </row>
    <row r="25" spans="1:5" ht="14.25" customHeight="1">
      <c r="A25" s="41" t="s">
        <v>6820</v>
      </c>
      <c r="B25" s="43" t="s">
        <v>6821</v>
      </c>
      <c r="C25" s="46"/>
      <c r="D25" s="46"/>
      <c r="E25" s="6" t="str">
        <f ca="1">IFERROR(__xludf.DUMMYFUNCTION("""COMPUTED_VALUE"""),"Diàngōng zhèngzài xiūlǐ dēng.")</f>
        <v>Diàngōng zhèngzài xiūlǐ dēng.</v>
      </c>
    </row>
    <row r="26" spans="1:5" ht="14.25" customHeight="1">
      <c r="A26" s="41" t="s">
        <v>6822</v>
      </c>
      <c r="B26" s="43" t="s">
        <v>6823</v>
      </c>
      <c r="C26" s="46"/>
      <c r="D26" s="46" t="s">
        <v>6824</v>
      </c>
      <c r="E26" s="6" t="str">
        <f ca="1">IFERROR(__xludf.DUMMYFUNCTION("""COMPUTED_VALUE"""),"Wǒ xiǎng chéngwéi yī míng lǜshī, wéihù zhèngyì.")</f>
        <v>Wǒ xiǎng chéngwéi yī míng lǜshī, wéihù zhèngyì.</v>
      </c>
    </row>
    <row r="27" spans="1:5" ht="14.25" customHeight="1">
      <c r="A27" s="41" t="s">
        <v>6825</v>
      </c>
      <c r="B27" s="43" t="s">
        <v>6826</v>
      </c>
      <c r="C27" s="46"/>
      <c r="D27" s="46"/>
      <c r="E27" s="6" t="str">
        <f ca="1">IFERROR(__xludf.DUMMYFUNCTION("""COMPUTED_VALUE"""),"Tā shì yī wèi jìshù xiánshú de jīxiè shī.")</f>
        <v>Tā shì yī wèi jìshù xiánshú de jīxiè shī.</v>
      </c>
    </row>
    <row r="28" spans="1:5" ht="14.25" customHeight="1">
      <c r="A28" s="41" t="s">
        <v>6827</v>
      </c>
      <c r="B28" s="43" t="s">
        <v>6828</v>
      </c>
      <c r="C28" s="46"/>
      <c r="D28" s="46" t="s">
        <v>6829</v>
      </c>
      <c r="E28" s="6" t="str">
        <f ca="1">IFERROR(__xludf.DUMMYFUNCTION("""COMPUTED_VALUE"""),"Wǒ xiǎng yǒngyǒu yījiā tángguǒ diàn.")</f>
        <v>Wǒ xiǎng yǒngyǒu yījiā tángguǒ diàn.</v>
      </c>
    </row>
    <row r="29" spans="1:5" ht="14.25" customHeight="1">
      <c r="A29" s="41" t="s">
        <v>6830</v>
      </c>
      <c r="B29" s="43" t="s">
        <v>6831</v>
      </c>
      <c r="C29" s="46"/>
      <c r="D29" s="46"/>
      <c r="E29" s="37" t="str">
        <f ca="1">IFERROR(__xludf.DUMMYFUNCTION("""COMPUTED_VALUE"""),"Tā shì yī wèi měilì de wǔ zhě.")</f>
        <v>Tā shì yī wèi měilì de wǔ zhě.</v>
      </c>
    </row>
    <row r="30" spans="1:5" ht="14.25" customHeight="1">
      <c r="A30" s="41" t="s">
        <v>6832</v>
      </c>
      <c r="B30" s="43" t="s">
        <v>6833</v>
      </c>
      <c r="C30" s="46"/>
      <c r="D30" s="46" t="s">
        <v>6834</v>
      </c>
      <c r="E30" s="6" t="str">
        <f ca="1">IFERROR(__xludf.DUMMYFUNCTION("""COMPUTED_VALUE"""),"Wǒ xiǎng chéngwéi yī míng zhōuyóu shìjiè de jìzhě.")</f>
        <v>Wǒ xiǎng chéngwéi yī míng zhōuyóu shìjiè de jìzhě.</v>
      </c>
    </row>
    <row r="31" spans="1:5" ht="14.25" customHeight="1">
      <c r="A31" s="41" t="s">
        <v>6835</v>
      </c>
      <c r="B31" s="43" t="s">
        <v>6836</v>
      </c>
      <c r="C31" s="46"/>
      <c r="D31" s="46"/>
      <c r="E31" s="4" t="str">
        <f ca="1">IFERROR(__xludf.DUMMYFUNCTION("""COMPUTED_VALUE"""),"Lǐfǎ shī huì bǎ wǒ de tóufǎ jiǎn chéng zhèyàng.")</f>
        <v>Lǐfǎ shī huì bǎ wǒ de tóufǎ jiǎn chéng zhèyàng.</v>
      </c>
    </row>
    <row r="32" spans="1:5" ht="14.25" customHeight="1">
      <c r="A32" s="41" t="s">
        <v>6837</v>
      </c>
      <c r="B32" s="43" t="s">
        <v>6838</v>
      </c>
      <c r="C32" s="46"/>
      <c r="D32" s="46" t="s">
        <v>6839</v>
      </c>
      <c r="E32" s="4" t="str">
        <f ca="1">IFERROR(__xludf.DUMMYFUNCTION("""COMPUTED_VALUE"""),"Wǒ xiǎng chéngwéi yī míng yínháng zhíyuán.")</f>
        <v>Wǒ xiǎng chéngwéi yī míng yínháng zhíyuán.</v>
      </c>
    </row>
    <row r="33" spans="1:5" ht="14.25" customHeight="1">
      <c r="A33" s="41" t="s">
        <v>6840</v>
      </c>
      <c r="B33" s="43" t="s">
        <v>6841</v>
      </c>
      <c r="C33" s="46"/>
      <c r="D33" s="46"/>
      <c r="E33" s="4" t="str">
        <f ca="1">IFERROR(__xludf.DUMMYFUNCTION("""COMPUTED_VALUE"""),"Tā shì yī wèi àiguó dí shìbīng.")</f>
        <v>Tā shì yī wèi àiguó dí shìbīng.</v>
      </c>
    </row>
    <row r="34" spans="1:5" ht="14.25" customHeight="1">
      <c r="A34" s="41" t="s">
        <v>6842</v>
      </c>
      <c r="B34" s="43" t="s">
        <v>6843</v>
      </c>
      <c r="C34" s="46"/>
      <c r="D34" s="46" t="s">
        <v>6844</v>
      </c>
      <c r="E34" s="4" t="str">
        <f ca="1">IFERROR(__xludf.DUMMYFUNCTION("""COMPUTED_VALUE"""),"Wǒ xiǎng chéngwéi yī míng shízhuāng shèjì shī.")</f>
        <v>Wǒ xiǎng chéngwéi yī míng shízhuāng shèjì shī.</v>
      </c>
    </row>
    <row r="35" spans="1:5" ht="14.25" customHeight="1">
      <c r="A35" s="41" t="s">
        <v>6845</v>
      </c>
      <c r="B35" s="43" t="s">
        <v>6846</v>
      </c>
      <c r="C35" s="46"/>
      <c r="D35" s="46"/>
      <c r="E35" s="8" t="str">
        <f ca="1">IFERROR(__xludf.DUMMYFUNCTION("""COMPUTED_VALUE"""),"Tā shì yī wèi kāilǎng de shòuhuòyuán.")</f>
        <v>Tā shì yī wèi kāilǎng de shòuhuòyuán.</v>
      </c>
    </row>
    <row r="36" spans="1:5" ht="14.25" customHeight="1">
      <c r="A36" s="41" t="s">
        <v>6847</v>
      </c>
      <c r="B36" s="43" t="s">
        <v>6242</v>
      </c>
      <c r="C36" s="46"/>
      <c r="D36" s="46" t="s">
        <v>6848</v>
      </c>
      <c r="E36" s="5" t="str">
        <f ca="1">IFERROR(__xludf.DUMMYFUNCTION("""COMPUTED_VALUE"""),"Wǒ xiǎng chéngwéi yī míng shēnhǎi qiánshuǐyuán.")</f>
        <v>Wǒ xiǎng chéngwéi yī míng shēnhǎi qiánshuǐyuán.</v>
      </c>
    </row>
    <row r="37" spans="1:5" ht="14.25" customHeight="1">
      <c r="A37" s="41" t="s">
        <v>6849</v>
      </c>
      <c r="B37" s="43" t="s">
        <v>6850</v>
      </c>
      <c r="C37" s="46"/>
      <c r="D37" s="46"/>
      <c r="E37" s="8" t="str">
        <f ca="1">IFERROR(__xludf.DUMMYFUNCTION("""COMPUTED_VALUE"""),"Bǎo'ān yīzhí zài shǒuhùzhe wǒmen.")</f>
        <v>Bǎo'ān yīzhí zài shǒuhùzhe wǒmen.</v>
      </c>
    </row>
    <row r="38" spans="1:5" ht="14.25" customHeight="1">
      <c r="A38" s="41" t="s">
        <v>6851</v>
      </c>
      <c r="B38" s="43" t="s">
        <v>6852</v>
      </c>
      <c r="C38" s="46"/>
      <c r="D38" s="46" t="s">
        <v>6853</v>
      </c>
      <c r="E38" s="5" t="str">
        <f ca="1">IFERROR(__xludf.DUMMYFUNCTION("""COMPUTED_VALUE"""),"Wǒ xiǎng chéngwéi yī míng gāodiǎn shī.")</f>
        <v>Wǒ xiǎng chéngwéi yī míng gāodiǎn shī.</v>
      </c>
    </row>
    <row r="39" spans="1:5" ht="14.25" customHeight="1">
      <c r="A39" s="41" t="s">
        <v>6854</v>
      </c>
      <c r="B39" s="43" t="s">
        <v>6855</v>
      </c>
      <c r="C39" s="46"/>
      <c r="D39" s="46"/>
      <c r="E39" s="6" t="str">
        <f ca="1">IFERROR(__xludf.DUMMYFUNCTION("""COMPUTED_VALUE"""),"Tā shì yī wèi qín láo de jiànzhú gōngrén.")</f>
        <v>Tā shì yī wèi qín láo de jiànzhú gōngrén.</v>
      </c>
    </row>
    <row r="40" spans="1:5" ht="14.25" customHeight="1">
      <c r="A40" s="41" t="s">
        <v>6856</v>
      </c>
      <c r="B40" s="43" t="s">
        <v>6857</v>
      </c>
      <c r="C40" s="46"/>
      <c r="D40" s="46" t="s">
        <v>6858</v>
      </c>
      <c r="E40" s="6" t="str">
        <f ca="1">IFERROR(__xludf.DUMMYFUNCTION("""COMPUTED_VALUE"""),"Wǒ xiǎng chéngwéi yī míng er tóng mótè.")</f>
        <v>Wǒ xiǎng chéngwéi yī míng er tóng mótè.</v>
      </c>
    </row>
    <row r="41" spans="1:5" ht="14.25" customHeight="1">
      <c r="A41" s="41" t="s">
        <v>6859</v>
      </c>
      <c r="B41" s="43" t="s">
        <v>6860</v>
      </c>
      <c r="C41" s="46"/>
      <c r="D41" s="46"/>
      <c r="E41" s="5" t="str">
        <f ca="1">IFERROR(__xludf.DUMMYFUNCTION("""COMPUTED_VALUE"""),"Tā shì yī wèi diànyǐng jiǎnjí shī.")</f>
        <v>Tā shì yī wèi diànyǐng jiǎnjí shī.</v>
      </c>
    </row>
    <row r="42" spans="1:5" ht="14.25" customHeight="1">
      <c r="A42" s="41" t="s">
        <v>6861</v>
      </c>
      <c r="B42" s="43" t="s">
        <v>6862</v>
      </c>
      <c r="C42" s="46"/>
      <c r="D42" s="46" t="s">
        <v>6863</v>
      </c>
      <c r="E42" s="4" t="str">
        <f ca="1">IFERROR(__xludf.DUMMYFUNCTION("""COMPUTED_VALUE"""),"Wǒ xiǎng chéngwéi yī míng kǎogǔ xué jiā.")</f>
        <v>Wǒ xiǎng chéngwéi yī míng kǎogǔ xué jiā.</v>
      </c>
    </row>
    <row r="43" spans="1:5" ht="14.25" customHeight="1">
      <c r="A43" s="41" t="s">
        <v>6864</v>
      </c>
      <c r="B43" s="43" t="s">
        <v>6865</v>
      </c>
      <c r="C43" s="46"/>
      <c r="D43" s="46"/>
      <c r="E43" s="5" t="str">
        <f ca="1">IFERROR(__xludf.DUMMYFUNCTION("""COMPUTED_VALUE"""),"Wǒ de shūshu shì yī wèi wěidà de chuánzhǎng.")</f>
        <v>Wǒ de shūshu shì yī wèi wěidà de chuánzhǎng.</v>
      </c>
    </row>
    <row r="44" spans="1:5" ht="14.25" customHeight="1">
      <c r="A44" s="41" t="s">
        <v>6866</v>
      </c>
      <c r="B44" s="43" t="s">
        <v>6867</v>
      </c>
      <c r="C44" s="46"/>
      <c r="D44" s="46" t="s">
        <v>6868</v>
      </c>
      <c r="E44" s="4" t="str">
        <f ca="1">IFERROR(__xludf.DUMMYFUNCTION("""COMPUTED_VALUE"""),"Wǒ xiǎng chéngwéi yī míng tā jiā lù yǔ fānyì.")</f>
        <v>Wǒ xiǎng chéngwéi yī míng tā jiā lù yǔ fānyì.</v>
      </c>
    </row>
    <row r="45" spans="1:5" ht="14.25" customHeight="1">
      <c r="A45" s="41" t="s">
        <v>6869</v>
      </c>
      <c r="B45" s="43" t="s">
        <v>6870</v>
      </c>
      <c r="C45" s="46"/>
      <c r="D45" s="46"/>
      <c r="E45" s="5" t="str">
        <f ca="1">IFERROR(__xludf.DUMMYFUNCTION("""COMPUTED_VALUE"""),"Tā shì yī wèi zhǔnshí de yóudìyuán. ")</f>
        <v xml:space="preserve">Tā shì yī wèi zhǔnshí de yóudìyuán. </v>
      </c>
    </row>
    <row r="46" spans="1:5" ht="14.25" customHeight="1">
      <c r="A46" s="41" t="s">
        <v>6871</v>
      </c>
      <c r="B46" s="43" t="s">
        <v>6872</v>
      </c>
      <c r="C46" s="46"/>
      <c r="D46" s="46" t="s">
        <v>6873</v>
      </c>
      <c r="E46" s="4" t="str">
        <f ca="1">IFERROR(__xludf.DUMMYFUNCTION("""COMPUTED_VALUE"""),"Wǒ xiǎng chéngwéi yī míng huánbǎo zhǔyì zhě.")</f>
        <v>Wǒ xiǎng chéngwéi yī míng huánbǎo zhǔyì zhě.</v>
      </c>
    </row>
    <row r="47" spans="1:5" ht="14.25" customHeight="1">
      <c r="A47" s="41" t="s">
        <v>6874</v>
      </c>
      <c r="B47" s="43" t="s">
        <v>6875</v>
      </c>
      <c r="C47" s="46"/>
      <c r="D47" s="46"/>
      <c r="E47" s="4" t="str">
        <f ca="1">IFERROR(__xludf.DUMMYFUNCTION("""COMPUTED_VALUE"""),"Tā shì yī míng yàojì shī.")</f>
        <v>Tā shì yī míng yàojì shī.</v>
      </c>
    </row>
    <row r="48" spans="1:5" ht="14.25" customHeight="1">
      <c r="A48" s="41" t="s">
        <v>6876</v>
      </c>
      <c r="B48" s="43" t="s">
        <v>6877</v>
      </c>
      <c r="C48" s="46"/>
      <c r="D48" s="46" t="s">
        <v>6878</v>
      </c>
      <c r="E48" s="4" t="str">
        <f ca="1">IFERROR(__xludf.DUMMYFUNCTION("""COMPUTED_VALUE"""),"Wǒ xiǎng chéngwéi yī míng yóuyǒng yùndòngyuán.")</f>
        <v>Wǒ xiǎng chéngwéi yī míng yóuyǒng yùndòngyuán.</v>
      </c>
    </row>
    <row r="49" spans="1:5" ht="14.25" customHeight="1">
      <c r="A49" s="41" t="s">
        <v>6879</v>
      </c>
      <c r="B49" s="43" t="s">
        <v>6880</v>
      </c>
      <c r="C49" s="46"/>
      <c r="D49" s="46"/>
      <c r="E49" s="5" t="str">
        <f ca="1">IFERROR(__xludf.DUMMYFUNCTION("""COMPUTED_VALUE"""),"Měi gè zhíyè dōu hěn yǒu jiàzhí.")</f>
        <v>Měi gè zhíyè dōu hěn yǒu jiàzhí.</v>
      </c>
    </row>
    <row r="50" spans="1:5" ht="14.25" customHeight="1">
      <c r="A50" s="41" t="s">
        <v>6881</v>
      </c>
      <c r="B50" s="43" t="s">
        <v>6882</v>
      </c>
      <c r="C50" s="46"/>
      <c r="D50" s="46" t="s">
        <v>6883</v>
      </c>
      <c r="E50" s="6" t="str">
        <f ca="1">IFERROR(__xludf.DUMMYFUNCTION("""COMPUTED_VALUE"""),"Wǒ huì měitiān nǔlì fèndòu.")</f>
        <v>Wǒ huì měitiān nǔlì fèndòu.</v>
      </c>
    </row>
    <row r="51" spans="1:5" ht="14.25" customHeight="1">
      <c r="A51" s="42"/>
      <c r="B51" s="46"/>
      <c r="C51" s="46"/>
      <c r="D51" s="46"/>
    </row>
    <row r="52" spans="1:5" ht="14.25" customHeight="1">
      <c r="A52" s="42"/>
      <c r="B52" s="46"/>
      <c r="C52" s="46"/>
      <c r="D52" s="46" t="s">
        <v>6884</v>
      </c>
    </row>
    <row r="53" spans="1:5" ht="14.25" customHeight="1">
      <c r="A53" s="42"/>
      <c r="B53" s="46"/>
      <c r="C53" s="46"/>
      <c r="D53" s="46"/>
      <c r="E53" s="5"/>
    </row>
    <row r="54" spans="1:5" ht="14.25" customHeight="1">
      <c r="A54" s="42"/>
      <c r="B54" s="46"/>
      <c r="C54" s="46"/>
      <c r="D54" s="46" t="s">
        <v>6885</v>
      </c>
      <c r="E54" s="5"/>
    </row>
    <row r="55" spans="1:5" ht="14.25" customHeight="1">
      <c r="A55" s="42"/>
      <c r="B55" s="46"/>
      <c r="C55" s="46"/>
      <c r="D55" s="46"/>
      <c r="E55" s="5"/>
    </row>
    <row r="56" spans="1:5" ht="14.25" customHeight="1">
      <c r="A56" s="42"/>
      <c r="B56" s="46"/>
      <c r="C56" s="46"/>
      <c r="D56" s="46" t="s">
        <v>6886</v>
      </c>
      <c r="E56" s="5"/>
    </row>
    <row r="57" spans="1:5" ht="14.25" customHeight="1">
      <c r="A57" s="42"/>
      <c r="B57" s="46"/>
      <c r="C57" s="46"/>
      <c r="D57" s="46"/>
      <c r="E57" s="5"/>
    </row>
    <row r="58" spans="1:5" ht="14.25" customHeight="1">
      <c r="A58" s="42"/>
      <c r="B58" s="46"/>
      <c r="C58" s="46"/>
      <c r="D58" s="46" t="s">
        <v>6887</v>
      </c>
      <c r="E58" s="5"/>
    </row>
    <row r="59" spans="1:5" ht="14.25" customHeight="1">
      <c r="A59" s="42"/>
      <c r="B59" s="46"/>
      <c r="C59" s="46"/>
      <c r="D59" s="46"/>
    </row>
    <row r="60" spans="1:5" ht="14.25" customHeight="1">
      <c r="A60" s="42"/>
      <c r="B60" s="46"/>
      <c r="C60" s="46"/>
      <c r="D60" s="46" t="s">
        <v>6888</v>
      </c>
      <c r="E60" s="5"/>
    </row>
    <row r="61" spans="1:5" ht="14.25" customHeight="1">
      <c r="A61" s="42"/>
      <c r="B61" s="46"/>
      <c r="C61" s="46"/>
      <c r="D61" s="46"/>
      <c r="E61" s="5"/>
    </row>
    <row r="62" spans="1:5" ht="14.25" customHeight="1">
      <c r="A62" s="42"/>
      <c r="B62" s="46"/>
      <c r="C62" s="46"/>
      <c r="D62" s="46" t="s">
        <v>6889</v>
      </c>
      <c r="E62" s="5"/>
    </row>
    <row r="63" spans="1:5" ht="14.25" customHeight="1">
      <c r="A63" s="42"/>
      <c r="B63" s="46"/>
      <c r="C63" s="46"/>
      <c r="D63" s="46"/>
      <c r="E63" s="5"/>
    </row>
    <row r="64" spans="1:5" ht="14.25" customHeight="1">
      <c r="A64" s="42"/>
      <c r="B64" s="46"/>
      <c r="C64" s="46"/>
      <c r="D64" s="46" t="s">
        <v>6890</v>
      </c>
      <c r="E64" s="5"/>
    </row>
    <row r="65" spans="1:5" ht="14.25" customHeight="1">
      <c r="A65" s="42"/>
      <c r="B65" s="46"/>
      <c r="C65" s="46"/>
      <c r="D65" s="46"/>
      <c r="E65" s="5"/>
    </row>
    <row r="66" spans="1:5" ht="14.25" customHeight="1">
      <c r="A66" s="42"/>
      <c r="B66" s="46"/>
      <c r="C66" s="46"/>
      <c r="D66" s="46" t="s">
        <v>6891</v>
      </c>
      <c r="E66" s="5"/>
    </row>
    <row r="67" spans="1:5" ht="14.25" customHeight="1">
      <c r="A67" s="42"/>
      <c r="B67" s="46"/>
      <c r="C67" s="46"/>
      <c r="D67" s="46"/>
      <c r="E67" s="5"/>
    </row>
    <row r="68" spans="1:5" ht="14.25" customHeight="1">
      <c r="A68" s="42"/>
      <c r="B68" s="46"/>
      <c r="C68" s="46"/>
      <c r="D68" s="46" t="s">
        <v>6892</v>
      </c>
      <c r="E68" s="5"/>
    </row>
    <row r="69" spans="1:5" ht="14.25" customHeight="1">
      <c r="A69" s="42"/>
      <c r="B69" s="46"/>
      <c r="C69" s="46"/>
      <c r="D69" s="46"/>
      <c r="E69" s="5"/>
    </row>
    <row r="70" spans="1:5" ht="14.25" customHeight="1">
      <c r="A70" s="42"/>
      <c r="B70" s="46"/>
      <c r="C70" s="46"/>
      <c r="D70" s="46" t="s">
        <v>6893</v>
      </c>
      <c r="E70" s="5"/>
    </row>
    <row r="71" spans="1:5" ht="14.25" customHeight="1">
      <c r="A71" s="42"/>
      <c r="B71" s="46"/>
      <c r="C71" s="46"/>
      <c r="D71" s="46"/>
      <c r="E71" s="5"/>
    </row>
    <row r="72" spans="1:5" ht="14.25" customHeight="1">
      <c r="A72" s="42"/>
      <c r="B72" s="46"/>
      <c r="C72" s="46"/>
      <c r="D72" s="46" t="s">
        <v>6894</v>
      </c>
      <c r="E72" s="5"/>
    </row>
    <row r="73" spans="1:5" ht="14.25" customHeight="1">
      <c r="A73" s="42"/>
      <c r="B73" s="46"/>
      <c r="C73" s="46"/>
      <c r="D73" s="46"/>
      <c r="E73" s="5"/>
    </row>
    <row r="74" spans="1:5" ht="14.25" customHeight="1">
      <c r="A74" s="42"/>
      <c r="B74" s="46"/>
      <c r="C74" s="46"/>
      <c r="D74" s="46" t="s">
        <v>6895</v>
      </c>
      <c r="E74" s="5"/>
    </row>
    <row r="75" spans="1:5" ht="14.25" customHeight="1">
      <c r="A75" s="42"/>
      <c r="B75" s="46"/>
      <c r="C75" s="46"/>
      <c r="D75" s="46"/>
      <c r="E75" s="5"/>
    </row>
    <row r="76" spans="1:5" ht="14.25" customHeight="1">
      <c r="A76" s="42"/>
      <c r="B76" s="46"/>
      <c r="C76" s="46"/>
      <c r="D76" s="46" t="s">
        <v>6896</v>
      </c>
      <c r="E76" s="5"/>
    </row>
    <row r="77" spans="1:5" ht="14.25" customHeight="1">
      <c r="A77" s="42"/>
      <c r="B77" s="46"/>
      <c r="C77" s="46"/>
      <c r="D77" s="46"/>
      <c r="E77" s="5"/>
    </row>
    <row r="78" spans="1:5" ht="14.25" customHeight="1">
      <c r="A78" s="42"/>
      <c r="B78" s="46"/>
      <c r="C78" s="46"/>
      <c r="D78" s="46" t="s">
        <v>6897</v>
      </c>
      <c r="E78" s="5"/>
    </row>
    <row r="79" spans="1:5" ht="14.25" customHeight="1">
      <c r="A79" s="42"/>
      <c r="B79" s="46"/>
      <c r="C79" s="46"/>
      <c r="D79" s="46"/>
      <c r="E79" s="5"/>
    </row>
    <row r="80" spans="1:5" ht="14.25" customHeight="1">
      <c r="A80" s="42"/>
      <c r="B80" s="46"/>
      <c r="C80" s="46"/>
      <c r="D80" s="46" t="s">
        <v>6898</v>
      </c>
      <c r="E80" s="5"/>
    </row>
    <row r="81" spans="1:5" ht="14.25" customHeight="1">
      <c r="A81" s="42"/>
      <c r="B81" s="46"/>
      <c r="C81" s="46"/>
      <c r="D81" s="46"/>
      <c r="E81" s="5"/>
    </row>
    <row r="82" spans="1:5" ht="14.25" customHeight="1">
      <c r="A82" s="42"/>
      <c r="B82" s="46"/>
      <c r="C82" s="46"/>
      <c r="D82" s="46" t="s">
        <v>6899</v>
      </c>
      <c r="E82" s="5"/>
    </row>
    <row r="83" spans="1:5" ht="14.25" customHeight="1">
      <c r="A83" s="42"/>
      <c r="B83" s="46"/>
      <c r="C83" s="46"/>
      <c r="D83" s="46"/>
      <c r="E83" s="5"/>
    </row>
    <row r="84" spans="1:5" ht="14.25" customHeight="1">
      <c r="A84" s="42"/>
      <c r="B84" s="46"/>
      <c r="C84" s="46"/>
      <c r="D84" s="46" t="s">
        <v>6900</v>
      </c>
      <c r="E84" s="5"/>
    </row>
    <row r="85" spans="1:5" ht="14.25" customHeight="1">
      <c r="A85" s="42"/>
      <c r="B85" s="46"/>
      <c r="C85" s="46"/>
      <c r="D85" s="46"/>
      <c r="E85" s="5"/>
    </row>
    <row r="86" spans="1:5" ht="14.25" customHeight="1">
      <c r="A86" s="42"/>
      <c r="B86" s="46"/>
      <c r="C86" s="46"/>
      <c r="D86" s="46" t="s">
        <v>6901</v>
      </c>
      <c r="E86" s="5"/>
    </row>
    <row r="87" spans="1:5" ht="14.25" customHeight="1">
      <c r="A87" s="42"/>
      <c r="B87" s="46"/>
      <c r="C87" s="46"/>
      <c r="D87" s="46"/>
      <c r="E87" s="5"/>
    </row>
    <row r="88" spans="1:5" ht="14.25" customHeight="1">
      <c r="A88" s="42"/>
      <c r="B88" s="46"/>
      <c r="C88" s="46"/>
      <c r="D88" s="46" t="s">
        <v>6902</v>
      </c>
      <c r="E88" s="5"/>
    </row>
    <row r="89" spans="1:5" ht="14.25" customHeight="1">
      <c r="A89" s="42"/>
      <c r="B89" s="46"/>
      <c r="C89" s="46"/>
      <c r="D89" s="46" t="s">
        <v>6903</v>
      </c>
      <c r="E89" s="5"/>
    </row>
    <row r="90" spans="1:5" ht="14.25" customHeight="1">
      <c r="A90" s="42"/>
      <c r="B90" s="46"/>
      <c r="C90" s="46"/>
      <c r="D90" s="46" t="s">
        <v>6904</v>
      </c>
      <c r="E90" s="5"/>
    </row>
    <row r="91" spans="1:5" ht="14.25" customHeight="1">
      <c r="A91" s="42"/>
      <c r="B91" s="46"/>
      <c r="C91" s="46"/>
      <c r="D91" s="46"/>
      <c r="E91" s="5"/>
    </row>
    <row r="92" spans="1:5" ht="14.25" customHeight="1">
      <c r="A92" s="42"/>
      <c r="B92" s="46"/>
      <c r="C92" s="46"/>
      <c r="D92" s="46" t="s">
        <v>6905</v>
      </c>
      <c r="E92" s="5"/>
    </row>
    <row r="93" spans="1:5" ht="14.25" customHeight="1">
      <c r="A93" s="42"/>
      <c r="B93" s="46"/>
      <c r="C93" s="46"/>
      <c r="D93" s="46"/>
      <c r="E93" s="5"/>
    </row>
    <row r="94" spans="1:5" ht="14.25" customHeight="1">
      <c r="A94" s="42"/>
      <c r="B94" s="46"/>
      <c r="C94" s="46"/>
      <c r="D94" s="46" t="s">
        <v>6906</v>
      </c>
      <c r="E94" s="5"/>
    </row>
    <row r="95" spans="1:5" ht="14.25" customHeight="1">
      <c r="A95" s="42"/>
      <c r="B95" s="46"/>
      <c r="C95" s="46"/>
      <c r="D95" s="46"/>
      <c r="E95" s="5"/>
    </row>
    <row r="96" spans="1:5" ht="14.25" customHeight="1">
      <c r="A96" s="42"/>
      <c r="B96" s="46"/>
      <c r="C96" s="46"/>
      <c r="D96" s="46" t="s">
        <v>6907</v>
      </c>
      <c r="E96" s="5"/>
    </row>
    <row r="97" spans="1:5" ht="14.25" customHeight="1">
      <c r="A97" s="42"/>
      <c r="B97" s="46"/>
      <c r="C97" s="46"/>
      <c r="D97" s="46"/>
      <c r="E97" s="5"/>
    </row>
    <row r="98" spans="1:5" ht="14.25" customHeight="1">
      <c r="A98" s="42"/>
      <c r="B98" s="46"/>
      <c r="C98" s="46"/>
      <c r="D98" s="46"/>
      <c r="E98" s="5"/>
    </row>
  </sheetData>
  <pageMargins left="0.75" right="0.75" top="1" bottom="1"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tabSelected="1" topLeftCell="A28" workbookViewId="0">
      <selection activeCell="A50" sqref="A50"/>
    </sheetView>
  </sheetViews>
  <sheetFormatPr defaultColWidth="14.44140625" defaultRowHeight="15" customHeight="1"/>
  <cols>
    <col min="1" max="4" width="42.44140625" customWidth="1"/>
    <col min="5" max="5" width="56.88671875" customWidth="1"/>
  </cols>
  <sheetData>
    <row r="1" spans="1:5" ht="14.25" customHeight="1">
      <c r="A1" s="12" t="s">
        <v>6908</v>
      </c>
      <c r="E1" s="2"/>
    </row>
    <row r="2" spans="1:5" ht="14.25" customHeight="1">
      <c r="A2" s="41" t="s">
        <v>6909</v>
      </c>
      <c r="B2" s="43" t="s">
        <v>6910</v>
      </c>
      <c r="C2" s="46"/>
      <c r="D2" s="46" t="s">
        <v>6911</v>
      </c>
      <c r="E2" s="5" t="str">
        <f ca="1">IFERROR(__xludf.DUMMYFUNCTION("FILTER(D1:D1002,D1:D1002&lt;&gt; """")"),"Wǒ xiànzài bìxū qù jīchǎng.")</f>
        <v>Wǒ xiànzài bìxū qù jīchǎng.</v>
      </c>
    </row>
    <row r="3" spans="1:5" ht="14.25" customHeight="1">
      <c r="A3" s="41" t="s">
        <v>6912</v>
      </c>
      <c r="B3" s="43" t="s">
        <v>6913</v>
      </c>
      <c r="C3" s="46"/>
      <c r="D3" s="46"/>
      <c r="E3" s="6" t="str">
        <f ca="1">IFERROR(__xludf.DUMMYFUNCTION("""COMPUTED_VALUE"""),"Wǒ de hùzhào zài zhège bāo lǐ.")</f>
        <v>Wǒ de hùzhào zài zhège bāo lǐ.</v>
      </c>
    </row>
    <row r="4" spans="1:5" ht="14.25" customHeight="1">
      <c r="A4" s="41" t="s">
        <v>6914</v>
      </c>
      <c r="B4" s="43" t="s">
        <v>6915</v>
      </c>
      <c r="C4" s="46"/>
      <c r="D4" s="46" t="s">
        <v>6916</v>
      </c>
      <c r="E4" s="5" t="str">
        <f ca="1">IFERROR(__xludf.DUMMYFUNCTION("""COMPUTED_VALUE"""),"Wǒ yǐjīng yǒu jīpiàole.")</f>
        <v>Wǒ yǐjīng yǒu jīpiàole.</v>
      </c>
    </row>
    <row r="5" spans="1:5" ht="14.25" customHeight="1">
      <c r="A5" s="41" t="s">
        <v>6917</v>
      </c>
      <c r="B5" s="43" t="s">
        <v>6918</v>
      </c>
      <c r="C5" s="46"/>
      <c r="D5" s="46"/>
      <c r="E5" s="5" t="str">
        <f ca="1">IFERROR(__xludf.DUMMYFUNCTION("""COMPUTED_VALUE"""),"Wǒ de hángbān jǐ diǎn qǐfēi?")</f>
        <v>Wǒ de hángbān jǐ diǎn qǐfēi?</v>
      </c>
    </row>
    <row r="6" spans="1:5" ht="14.25" customHeight="1">
      <c r="A6" s="41" t="s">
        <v>6919</v>
      </c>
      <c r="B6" s="43" t="s">
        <v>376</v>
      </c>
      <c r="C6" s="46"/>
      <c r="D6" s="46" t="s">
        <v>6920</v>
      </c>
      <c r="E6" s="5" t="str">
        <f ca="1">IFERROR(__xludf.DUMMYFUNCTION("""COMPUTED_VALUE"""),"Wǒ xiǎng yào kào chuāng de zuòwèi.")</f>
        <v>Wǒ xiǎng yào kào chuāng de zuòwèi.</v>
      </c>
    </row>
    <row r="7" spans="1:5" ht="14.25" customHeight="1">
      <c r="A7" s="41" t="s">
        <v>6921</v>
      </c>
      <c r="B7" s="43" t="s">
        <v>6922</v>
      </c>
      <c r="C7" s="46"/>
      <c r="D7" s="46"/>
      <c r="E7" s="5" t="str">
        <f ca="1">IFERROR(__xludf.DUMMYFUNCTION("""COMPUTED_VALUE"""),"Wǒ de xínglǐ xiāng yǒudiǎn zhòng.")</f>
        <v>Wǒ de xínglǐ xiāng yǒudiǎn zhòng.</v>
      </c>
    </row>
    <row r="8" spans="1:5" ht="14.25" customHeight="1">
      <c r="A8" s="41" t="s">
        <v>6923</v>
      </c>
      <c r="B8" s="43" t="s">
        <v>6924</v>
      </c>
      <c r="C8" s="46"/>
      <c r="D8" s="46" t="s">
        <v>6925</v>
      </c>
      <c r="E8" s="5" t="str">
        <f ca="1">IFERROR(__xludf.DUMMYFUNCTION("""COMPUTED_VALUE"""),"Wǒ xūyào tuōyùn xínglǐ.")</f>
        <v>Wǒ xūyào tuōyùn xínglǐ.</v>
      </c>
    </row>
    <row r="9" spans="1:5" ht="14.25" customHeight="1">
      <c r="A9" s="41" t="s">
        <v>6926</v>
      </c>
      <c r="B9" s="43" t="s">
        <v>6927</v>
      </c>
      <c r="C9" s="46"/>
      <c r="D9" s="46"/>
      <c r="E9" s="5" t="str">
        <f ca="1">IFERROR(__xludf.DUMMYFUNCTION("""COMPUTED_VALUE"""),"Dēng jī kǒuhào shì duōshǎo?")</f>
        <v>Dēng jī kǒuhào shì duōshǎo?</v>
      </c>
    </row>
    <row r="10" spans="1:5" ht="14.25" customHeight="1">
      <c r="A10" s="41" t="s">
        <v>6928</v>
      </c>
      <c r="B10" s="43" t="s">
        <v>6929</v>
      </c>
      <c r="C10" s="46"/>
      <c r="D10" s="46" t="s">
        <v>6930</v>
      </c>
      <c r="E10" s="5" t="str">
        <f ca="1">IFERROR(__xludf.DUMMYFUNCTION("""COMPUTED_VALUE"""),"Fēijī jíjiāng qǐfēi.")</f>
        <v>Fēijī jíjiāng qǐfēi.</v>
      </c>
    </row>
    <row r="11" spans="1:5" ht="14.25" customHeight="1">
      <c r="A11" s="41" t="s">
        <v>6931</v>
      </c>
      <c r="B11" s="43" t="s">
        <v>6932</v>
      </c>
      <c r="C11" s="46"/>
      <c r="D11" s="46"/>
      <c r="E11" s="5" t="str">
        <f ca="1">IFERROR(__xludf.DUMMYFUNCTION("""COMPUTED_VALUE"""),"Qǐng xì hǎo ānquán dài.")</f>
        <v>Qǐng xì hǎo ānquán dài.</v>
      </c>
    </row>
    <row r="12" spans="1:5" ht="14.25" customHeight="1">
      <c r="A12" s="41" t="s">
        <v>6933</v>
      </c>
      <c r="B12" s="43" t="s">
        <v>6934</v>
      </c>
      <c r="C12" s="46"/>
      <c r="D12" s="46" t="s">
        <v>6935</v>
      </c>
      <c r="E12" s="6" t="str">
        <f ca="1">IFERROR(__xludf.DUMMYFUNCTION("""COMPUTED_VALUE"""),"Wǒ xiǎng zài fēijī shàng hē chéngzhī.")</f>
        <v>Wǒ xiǎng zài fēijī shàng hē chéngzhī.</v>
      </c>
    </row>
    <row r="13" spans="1:5" ht="14.25" customHeight="1">
      <c r="A13" s="41" t="s">
        <v>6936</v>
      </c>
      <c r="B13" s="43" t="s">
        <v>6937</v>
      </c>
      <c r="C13" s="46"/>
      <c r="D13" s="46"/>
      <c r="E13" s="6" t="str">
        <f ca="1">IFERROR(__xludf.DUMMYFUNCTION("""COMPUTED_VALUE"""),"Fēijī zhèngzài mǎnílā jiàngluò.")</f>
        <v>Fēijī zhèngzài mǎnílā jiàngluò.</v>
      </c>
    </row>
    <row r="14" spans="1:5" ht="14.25" customHeight="1">
      <c r="A14" s="41" t="s">
        <v>6938</v>
      </c>
      <c r="B14" s="43" t="s">
        <v>6939</v>
      </c>
      <c r="C14" s="46"/>
      <c r="D14" s="46" t="s">
        <v>6940</v>
      </c>
      <c r="E14" s="6" t="str">
        <f ca="1">IFERROR(__xludf.DUMMYFUNCTION("""COMPUTED_VALUE"""),"Wǒ xūyào qù xínglǐ chuánsòngdài qǔ xínglǐ.")</f>
        <v>Wǒ xūyào qù xínglǐ chuánsòngdài qǔ xínglǐ.</v>
      </c>
    </row>
    <row r="15" spans="1:5" ht="14.25" customHeight="1">
      <c r="A15" s="41" t="s">
        <v>6941</v>
      </c>
      <c r="B15" s="43" t="s">
        <v>6942</v>
      </c>
      <c r="C15" s="46"/>
      <c r="D15" s="46"/>
      <c r="E15" s="6" t="str">
        <f ca="1">IFERROR(__xludf.DUMMYFUNCTION("""COMPUTED_VALUE"""),"Qǐng bāng wǒ jiào liàng chūzū chē.")</f>
        <v>Qǐng bāng wǒ jiào liàng chūzū chē.</v>
      </c>
    </row>
    <row r="16" spans="1:5" ht="14.25" customHeight="1">
      <c r="A16" s="41" t="s">
        <v>6943</v>
      </c>
      <c r="B16" s="43" t="s">
        <v>6944</v>
      </c>
      <c r="C16" s="46"/>
      <c r="D16" s="46" t="s">
        <v>6945</v>
      </c>
      <c r="E16" s="6" t="str">
        <f ca="1">IFERROR(__xludf.DUMMYFUNCTION("""COMPUTED_VALUE"""),"Wǒ xiǎng zuò jípǔ ní wán wán.")</f>
        <v>Wǒ xiǎng zuò jípǔ ní wán wán.</v>
      </c>
    </row>
    <row r="17" spans="1:5" ht="14.25" customHeight="1">
      <c r="A17" s="41" t="s">
        <v>6946</v>
      </c>
      <c r="B17" s="43" t="s">
        <v>6947</v>
      </c>
      <c r="C17" s="46"/>
      <c r="D17" s="46"/>
      <c r="E17" s="6" t="str">
        <f ca="1">IFERROR(__xludf.DUMMYFUNCTION("""COMPUTED_VALUE"""),"Qù shì zhōngxīn yào duōshǎo qián?")</f>
        <v>Qù shì zhōngxīn yào duōshǎo qián?</v>
      </c>
    </row>
    <row r="18" spans="1:5" ht="14.25" customHeight="1">
      <c r="A18" s="41" t="s">
        <v>6948</v>
      </c>
      <c r="B18" s="43" t="s">
        <v>6949</v>
      </c>
      <c r="C18" s="46"/>
      <c r="D18" s="46" t="s">
        <v>6950</v>
      </c>
      <c r="E18" s="5" t="str">
        <f ca="1">IFERROR(__xludf.DUMMYFUNCTION("""COMPUTED_VALUE"""),"Wèile ānquán qǐjiàn, qǐng màn xíng.")</f>
        <v>Wèile ānquán qǐjiàn, qǐng màn xíng.</v>
      </c>
    </row>
    <row r="19" spans="1:5" ht="14.25" customHeight="1">
      <c r="A19" s="41" t="s">
        <v>6951</v>
      </c>
      <c r="B19" s="43" t="s">
        <v>6952</v>
      </c>
      <c r="C19" s="46"/>
      <c r="D19" s="46"/>
      <c r="E19" s="4" t="str">
        <f ca="1">IFERROR(__xludf.DUMMYFUNCTION("""COMPUTED_VALUE"""),"Wǒ xiǎng zuò sānlúnchē qù xiǎo xiàng.")</f>
        <v>Wǒ xiǎng zuò sānlúnchē qù xiǎo xiàng.</v>
      </c>
    </row>
    <row r="20" spans="1:5" ht="14.25" customHeight="1">
      <c r="A20" s="41" t="s">
        <v>6953</v>
      </c>
      <c r="B20" s="43" t="s">
        <v>316</v>
      </c>
      <c r="C20" s="46"/>
      <c r="D20" s="46" t="s">
        <v>6954</v>
      </c>
      <c r="E20" s="5" t="str">
        <f ca="1">IFERROR(__xludf.DUMMYFUNCTION("""COMPUTED_VALUE"""),"Zhèlǐ jīngcháng dǔchē ma?")</f>
        <v>Zhèlǐ jīngcháng dǔchē ma?</v>
      </c>
    </row>
    <row r="21" spans="1:5" ht="14.25" customHeight="1">
      <c r="A21" s="41" t="s">
        <v>6955</v>
      </c>
      <c r="B21" s="43" t="s">
        <v>6492</v>
      </c>
      <c r="C21" s="46"/>
      <c r="D21" s="46"/>
      <c r="E21" s="6" t="str">
        <f ca="1">IFERROR(__xludf.DUMMYFUNCTION("""COMPUTED_VALUE"""),"Wǒ zài chēzhàn děng gōngjiāo chē.")</f>
        <v>Wǒ zài chēzhàn děng gōngjiāo chē.</v>
      </c>
    </row>
    <row r="22" spans="1:5" ht="14.25" customHeight="1">
      <c r="A22" s="41" t="s">
        <v>6956</v>
      </c>
      <c r="B22" s="43" t="s">
        <v>6957</v>
      </c>
      <c r="C22" s="46"/>
      <c r="D22" s="46" t="s">
        <v>6958</v>
      </c>
      <c r="E22" s="6" t="str">
        <f ca="1">IFERROR(__xludf.DUMMYFUNCTION("""COMPUTED_VALUE"""),"Wǒ xiǎng chéngzuò qīngguǐ (LRT).")</f>
        <v>Wǒ xiǎng chéngzuò qīngguǐ (LRT).</v>
      </c>
    </row>
    <row r="23" spans="1:5" ht="14.25" customHeight="1">
      <c r="A23" s="41" t="s">
        <v>6959</v>
      </c>
      <c r="B23" s="43" t="s">
        <v>6960</v>
      </c>
      <c r="C23" s="46"/>
      <c r="D23" s="46"/>
      <c r="E23" s="6" t="str">
        <f ca="1">IFERROR(__xludf.DUMMYFUNCTION("""COMPUTED_VALUE"""),"Nǎlǐ kěyǐ mǎi dào qīngguǐ piào? ")</f>
        <v xml:space="preserve">Nǎlǐ kěyǐ mǎi dào qīngguǐ piào? </v>
      </c>
    </row>
    <row r="24" spans="1:5" ht="14.25" customHeight="1">
      <c r="A24" s="41" t="s">
        <v>6961</v>
      </c>
      <c r="B24" s="43" t="s">
        <v>6962</v>
      </c>
      <c r="C24" s="46"/>
      <c r="D24" s="46" t="s">
        <v>6963</v>
      </c>
      <c r="E24" s="6" t="str">
        <f ca="1">IFERROR(__xludf.DUMMYFUNCTION("""COMPUTED_VALUE"""),"Wǒ yùnchē, wǒ kěyǐ zuò qián pái ma?")</f>
        <v>Wǒ yùnchē, wǒ kěyǐ zuò qián pái ma?</v>
      </c>
    </row>
    <row r="25" spans="1:5" ht="14.25" customHeight="1">
      <c r="A25" s="41" t="s">
        <v>6964</v>
      </c>
      <c r="B25" s="43" t="s">
        <v>6965</v>
      </c>
      <c r="C25" s="46"/>
      <c r="D25" s="46"/>
      <c r="E25" s="6" t="str">
        <f ca="1">IFERROR(__xludf.DUMMYFUNCTION("""COMPUTED_VALUE"""),"Guò mǎlù shí, yīdìng yào kàn jiāotōng xìnhàodēng.")</f>
        <v>Guò mǎlù shí, yīdìng yào kàn jiāotōng xìnhàodēng.</v>
      </c>
    </row>
    <row r="26" spans="1:5" ht="14.25" customHeight="1">
      <c r="A26" s="41" t="s">
        <v>6966</v>
      </c>
      <c r="B26" s="43" t="s">
        <v>6967</v>
      </c>
      <c r="C26" s="46"/>
      <c r="D26" s="46" t="s">
        <v>6968</v>
      </c>
      <c r="E26" s="6" t="str">
        <f ca="1">IFERROR(__xludf.DUMMYFUNCTION("""COMPUTED_VALUE"""),"Wǒ xūyào zhǎodào zuìjìn de jiāyóu zhàn.")</f>
        <v>Wǒ xūyào zhǎodào zuìjìn de jiāyóu zhàn.</v>
      </c>
    </row>
    <row r="27" spans="1:5" ht="14.25" customHeight="1">
      <c r="A27" s="41" t="s">
        <v>6969</v>
      </c>
      <c r="B27" s="43" t="s">
        <v>6970</v>
      </c>
      <c r="C27" s="46"/>
      <c r="D27" s="46"/>
      <c r="E27" s="6" t="str">
        <f ca="1">IFERROR(__xludf.DUMMYFUNCTION("""COMPUTED_VALUE"""),"Nǐ néng bǎ wǒ sòng dào nàgè lùkǒu ma?")</f>
        <v>Nǐ néng bǎ wǒ sòng dào nàgè lùkǒu ma?</v>
      </c>
    </row>
    <row r="28" spans="1:5" ht="14.25" customHeight="1">
      <c r="A28" s="41" t="s">
        <v>6971</v>
      </c>
      <c r="B28" s="43" t="s">
        <v>6972</v>
      </c>
      <c r="C28" s="46"/>
      <c r="D28" s="46" t="s">
        <v>6973</v>
      </c>
      <c r="E28" s="6" t="str">
        <f ca="1">IFERROR(__xludf.DUMMYFUNCTION("""COMPUTED_VALUE"""),"Wǒ xiǎng zū yī liàng zìxíngchē.")</f>
        <v>Wǒ xiǎng zū yī liàng zìxíngchē.</v>
      </c>
    </row>
    <row r="29" spans="1:5" ht="14.25" customHeight="1">
      <c r="A29" s="41" t="s">
        <v>6974</v>
      </c>
      <c r="B29" s="43" t="s">
        <v>6975</v>
      </c>
      <c r="C29" s="46"/>
      <c r="D29" s="46"/>
      <c r="E29" s="37" t="str">
        <f ca="1">IFERROR(__xludf.DUMMYFUNCTION("""COMPUTED_VALUE"""),"Zhè tiáo lù tōng wǎng nǎlǐ?")</f>
        <v>Zhè tiáo lù tōng wǎng nǎlǐ?</v>
      </c>
    </row>
    <row r="30" spans="1:5" ht="14.25" customHeight="1">
      <c r="A30" s="41" t="s">
        <v>6976</v>
      </c>
      <c r="B30" s="43" t="s">
        <v>6977</v>
      </c>
      <c r="C30" s="46"/>
      <c r="D30" s="46" t="s">
        <v>6978</v>
      </c>
      <c r="E30" s="6" t="str">
        <f ca="1">IFERROR(__xludf.DUMMYFUNCTION("""COMPUTED_VALUE"""),"Wǒ xǐhuān zuò dùlún qù dǎo shàng.")</f>
        <v>Wǒ xǐhuān zuò dùlún qù dǎo shàng.</v>
      </c>
    </row>
    <row r="31" spans="1:5" ht="14.25" customHeight="1">
      <c r="A31" s="41" t="s">
        <v>6979</v>
      </c>
      <c r="B31" s="43" t="s">
        <v>6980</v>
      </c>
      <c r="C31" s="46"/>
      <c r="D31" s="46"/>
      <c r="E31" s="4" t="str">
        <f ca="1">IFERROR(__xludf.DUMMYFUNCTION("""COMPUTED_VALUE"""),"Zhège biāozhì shì shénme yìsi?")</f>
        <v>Zhège biāozhì shì shénme yìsi?</v>
      </c>
    </row>
    <row r="32" spans="1:5" ht="14.25" customHeight="1">
      <c r="A32" s="41" t="s">
        <v>6981</v>
      </c>
      <c r="B32" s="43" t="s">
        <v>6982</v>
      </c>
      <c r="C32" s="46"/>
      <c r="D32" s="46" t="s">
        <v>6983</v>
      </c>
      <c r="E32" s="4" t="str">
        <f ca="1">IFERROR(__xludf.DUMMYFUNCTION("""COMPUTED_VALUE"""),"Bié wàngle dài lǚyóu dìtú.")</f>
        <v>Bié wàngle dài lǚyóu dìtú.</v>
      </c>
    </row>
    <row r="33" spans="1:5" ht="14.25" customHeight="1">
      <c r="A33" s="41" t="s">
        <v>6984</v>
      </c>
      <c r="B33" s="43" t="s">
        <v>6985</v>
      </c>
      <c r="C33" s="46"/>
      <c r="D33" s="46"/>
      <c r="E33" s="4" t="str">
        <f ca="1">IFERROR(__xludf.DUMMYFUNCTION("""COMPUTED_VALUE"""),"Wǒ kàn dào lùshàng yǒu hěnduō mótuō chē.")</f>
        <v>Wǒ kàn dào lùshàng yǒu hěnduō mótuō chē.</v>
      </c>
    </row>
    <row r="34" spans="1:5" ht="14.25" customHeight="1">
      <c r="A34" s="41" t="s">
        <v>6986</v>
      </c>
      <c r="B34" s="43" t="s">
        <v>6987</v>
      </c>
      <c r="C34" s="46"/>
      <c r="D34" s="46" t="s">
        <v>6988</v>
      </c>
      <c r="E34" s="4" t="str">
        <f ca="1">IFERROR(__xludf.DUMMYFUNCTION("""COMPUTED_VALUE"""),"Wǒ xiǎng qù kàn kàn hǎigǎng.")</f>
        <v>Wǒ xiǎng qù kàn kàn hǎigǎng.</v>
      </c>
    </row>
    <row r="35" spans="1:5" ht="14.25" customHeight="1">
      <c r="A35" s="41" t="s">
        <v>6989</v>
      </c>
      <c r="B35" s="43" t="s">
        <v>6990</v>
      </c>
      <c r="C35" s="46"/>
      <c r="D35" s="46"/>
      <c r="E35" s="8" t="str">
        <f ca="1">IFERROR(__xludf.DUMMYFUNCTION("""COMPUTED_VALUE"""),"Zhè cì lǚxíng zhēn yǒuqù!")</f>
        <v>Zhè cì lǚxíng zhēn yǒuqù!</v>
      </c>
    </row>
    <row r="36" spans="1:5" ht="14.25" customHeight="1">
      <c r="A36" s="41" t="s">
        <v>6991</v>
      </c>
      <c r="B36" s="43" t="s">
        <v>6992</v>
      </c>
      <c r="C36" s="46"/>
      <c r="D36" s="46" t="s">
        <v>6993</v>
      </c>
      <c r="E36" s="5" t="str">
        <f ca="1">IFERROR(__xludf.DUMMYFUNCTION("""COMPUTED_VALUE"""),"Chángtú lǚxíng ràng wǒ yǒudiǎn lèile.")</f>
        <v>Chángtú lǚxíng ràng wǒ yǒudiǎn lèile.</v>
      </c>
    </row>
    <row r="37" spans="1:5" ht="14.25" customHeight="1">
      <c r="A37" s="41" t="s">
        <v>6994</v>
      </c>
      <c r="B37" s="43" t="s">
        <v>6995</v>
      </c>
      <c r="C37" s="46"/>
      <c r="D37" s="46"/>
      <c r="E37" s="8" t="str">
        <f ca="1">IFERROR(__xludf.DUMMYFUNCTION("""COMPUTED_VALUE"""),"Wǒmen kuài dàole ma?")</f>
        <v>Wǒmen kuài dàole ma?</v>
      </c>
    </row>
    <row r="38" spans="1:5" ht="14.25" customHeight="1">
      <c r="A38" s="41" t="s">
        <v>6996</v>
      </c>
      <c r="B38" s="43" t="s">
        <v>6997</v>
      </c>
      <c r="C38" s="46"/>
      <c r="D38" s="46" t="s">
        <v>6998</v>
      </c>
      <c r="E38" s="5" t="str">
        <f ca="1">IFERROR(__xludf.DUMMYFUNCTION("""COMPUTED_VALUE"""),"Hái yǒu 10 gōnglǐ.")</f>
        <v>Hái yǒu 10 gōnglǐ.</v>
      </c>
    </row>
    <row r="39" spans="1:5" ht="14.25" customHeight="1">
      <c r="A39" s="41" t="s">
        <v>6999</v>
      </c>
      <c r="B39" s="43" t="s">
        <v>7000</v>
      </c>
      <c r="C39" s="46"/>
      <c r="D39" s="46"/>
      <c r="E39" s="6" t="str">
        <f ca="1">IFERROR(__xludf.DUMMYFUNCTION("""COMPUTED_VALUE"""),"Wǒ xǐhuān tòuguò chē chuāng xīnshǎng fēngjǐng.")</f>
        <v>Wǒ xǐhuān tòuguò chē chuāng xīnshǎng fēngjǐng.</v>
      </c>
    </row>
    <row r="40" spans="1:5" ht="14.25" customHeight="1">
      <c r="A40" s="41" t="s">
        <v>7001</v>
      </c>
      <c r="B40" s="43" t="s">
        <v>7728</v>
      </c>
      <c r="C40" s="46"/>
      <c r="D40" s="46" t="s">
        <v>7002</v>
      </c>
      <c r="E40" s="6" t="str">
        <f ca="1">IFERROR(__xludf.DUMMYFUNCTION("""COMPUTED_VALUE"""),"Wǒ yào pāi yīxiē zhèlǐ de chēliàng zhàopiàn.")</f>
        <v>Wǒ yào pāi yīxiē zhèlǐ de chēliàng zhàopiàn.</v>
      </c>
    </row>
    <row r="41" spans="1:5" ht="14.25" customHeight="1">
      <c r="A41" s="41" t="s">
        <v>7003</v>
      </c>
      <c r="B41" s="43" t="s">
        <v>7004</v>
      </c>
      <c r="C41" s="46"/>
      <c r="D41" s="46"/>
      <c r="E41" s="5" t="str">
        <f ca="1">IFERROR(__xludf.DUMMYFUNCTION("""COMPUTED_VALUE"""),"Jípǔ ní zhuāngshì dé zhēn piàoliang!")</f>
        <v>Jípǔ ní zhuāngshì dé zhēn piàoliang!</v>
      </c>
    </row>
    <row r="42" spans="1:5" ht="14.25" customHeight="1">
      <c r="A42" s="41" t="s">
        <v>7005</v>
      </c>
      <c r="B42" s="43" t="s">
        <v>7006</v>
      </c>
      <c r="C42" s="46"/>
      <c r="D42" s="46" t="s">
        <v>7007</v>
      </c>
      <c r="E42" s="4" t="str">
        <f ca="1">IFERROR(__xludf.DUMMYFUNCTION("""COMPUTED_VALUE"""),"Wǒ xiǎng mǎi gè xīn tóukuī.")</f>
        <v>Wǒ xiǎng mǎi gè xīn tóukuī.</v>
      </c>
    </row>
    <row r="43" spans="1:5" ht="14.25" customHeight="1">
      <c r="A43" s="41" t="s">
        <v>7008</v>
      </c>
      <c r="B43" s="43" t="s">
        <v>7009</v>
      </c>
      <c r="C43" s="46"/>
      <c r="D43" s="46"/>
      <c r="E43" s="5" t="str">
        <f ca="1">IFERROR(__xludf.DUMMYFUNCTION("""COMPUTED_VALUE"""),"Gāofēng shíduàn yào xiǎoxīn.")</f>
        <v>Gāofēng shíduàn yào xiǎoxīn.</v>
      </c>
    </row>
    <row r="44" spans="1:5" ht="14.25" customHeight="1">
      <c r="A44" s="41" t="s">
        <v>7010</v>
      </c>
      <c r="B44" s="43" t="s">
        <v>7011</v>
      </c>
      <c r="C44" s="46"/>
      <c r="D44" s="46" t="s">
        <v>7012</v>
      </c>
      <c r="E44" s="4" t="str">
        <f ca="1">IFERROR(__xludf.DUMMYFUNCTION("""COMPUTED_VALUE"""),"Wǒ xūyào wèn lù qù jiǔdiàn.")</f>
        <v>Wǒ xūyào wèn lù qù jiǔdiàn.</v>
      </c>
    </row>
    <row r="45" spans="1:5" ht="14.25" customHeight="1">
      <c r="A45" s="41" t="s">
        <v>7013</v>
      </c>
      <c r="B45" s="43" t="s">
        <v>4530</v>
      </c>
      <c r="C45" s="46"/>
      <c r="D45" s="46" t="s">
        <v>7014</v>
      </c>
      <c r="E45" s="5" t="str">
        <f ca="1">IFERROR(__xludf.DUMMYFUNCTION("""COMPUTED_VALUE"""),"Nǐ zhēnshi bāngle wǒ dàmáng, gěi wǒ zhǐ lù.")</f>
        <v>Nǐ zhēnshi bāngle wǒ dàmáng, gěi wǒ zhǐ lù.</v>
      </c>
    </row>
    <row r="46" spans="1:5" ht="14.25" customHeight="1">
      <c r="A46" s="41" t="s">
        <v>7015</v>
      </c>
      <c r="B46" s="43" t="s">
        <v>7016</v>
      </c>
      <c r="C46" s="46"/>
      <c r="D46" s="46" t="s">
        <v>7017</v>
      </c>
      <c r="E46" s="4" t="str">
        <f ca="1">IFERROR(__xludf.DUMMYFUNCTION("""COMPUTED_VALUE"""),"Wǒ xiǎng zuò mǎchē (Calesa) lǚxíng.")</f>
        <v>Wǒ xiǎng zuò mǎchē (Calesa) lǚxíng.</v>
      </c>
    </row>
    <row r="47" spans="1:5" ht="14.25" customHeight="1">
      <c r="A47" s="41" t="s">
        <v>7018</v>
      </c>
      <c r="B47" s="43" t="s">
        <v>7019</v>
      </c>
      <c r="C47" s="46"/>
      <c r="D47" s="46"/>
      <c r="E47" s="4" t="str">
        <f ca="1">IFERROR(__xludf.DUMMYFUNCTION("""COMPUTED_VALUE"""),"Gǎnjué hǎo gǔlǎo a.")</f>
        <v>Gǎnjué hǎo gǔlǎo a.</v>
      </c>
    </row>
    <row r="48" spans="1:5" ht="14.25" customHeight="1">
      <c r="A48" s="41" t="s">
        <v>7020</v>
      </c>
      <c r="B48" s="43" t="s">
        <v>7021</v>
      </c>
      <c r="C48" s="46"/>
      <c r="D48" s="46" t="s">
        <v>7022</v>
      </c>
      <c r="E48" s="4" t="str">
        <f ca="1">IFERROR(__xludf.DUMMYFUNCTION("""COMPUTED_VALUE"""),"Wǒ zhēn de hěn xǐhuān zhèlǐ de jiāotōng xìtǒng.")</f>
        <v>Wǒ zhēn de hěn xǐhuān zhèlǐ de jiāotōng xìtǒng.</v>
      </c>
    </row>
    <row r="49" spans="1:5" ht="14.25" customHeight="1">
      <c r="A49" s="41" t="s">
        <v>7023</v>
      </c>
      <c r="B49" s="43" t="s">
        <v>7024</v>
      </c>
      <c r="C49" s="46"/>
      <c r="D49" s="46"/>
      <c r="E49" s="5" t="str">
        <f ca="1">IFERROR(__xludf.DUMMYFUNCTION("""COMPUTED_VALUE"""),"Zhù nǐ lǚtú píng'ān!")</f>
        <v>Zhù nǐ lǚtú píng'ān!</v>
      </c>
    </row>
    <row r="50" spans="1:5" ht="14.25" customHeight="1">
      <c r="A50" s="41" t="s">
        <v>7025</v>
      </c>
      <c r="B50" s="43" t="s">
        <v>7729</v>
      </c>
      <c r="C50" s="46"/>
      <c r="D50" s="46" t="s">
        <v>7026</v>
      </c>
      <c r="E50" s="6" t="str">
        <f ca="1">IFERROR(__xludf.DUMMYFUNCTION("""COMPUTED_VALUE"""),"Wǒ huì bǎ wǒ de lǚxíng jīnglì gàosù péngyǒumen.")</f>
        <v>Wǒ huì bǎ wǒ de lǚxíng jīnglì gàosù péngyǒumen.</v>
      </c>
    </row>
    <row r="51" spans="1:5" ht="14.25" customHeight="1">
      <c r="A51" s="41" t="s">
        <v>7027</v>
      </c>
      <c r="B51" s="43" t="s">
        <v>7028</v>
      </c>
      <c r="C51" s="46"/>
      <c r="D51" s="46"/>
      <c r="E51" s="6" t="str">
        <f ca="1">IFERROR(__xludf.DUMMYFUNCTION("""COMPUTED_VALUE"""),"Lǚxíng zhēn bàng!")</f>
        <v>Lǚxíng zhēn bàng!</v>
      </c>
    </row>
    <row r="52" spans="1:5" ht="14.25" customHeight="1">
      <c r="A52" s="42"/>
      <c r="B52" s="46"/>
      <c r="C52" s="46"/>
      <c r="D52" s="46" t="s">
        <v>7029</v>
      </c>
    </row>
    <row r="53" spans="1:5" ht="14.25" customHeight="1">
      <c r="A53" s="42"/>
      <c r="B53" s="46"/>
      <c r="C53" s="46"/>
      <c r="D53" s="46"/>
      <c r="E53" s="5"/>
    </row>
    <row r="54" spans="1:5" ht="14.25" customHeight="1">
      <c r="A54" s="42"/>
      <c r="B54" s="46"/>
      <c r="C54" s="46"/>
      <c r="D54" s="46" t="s">
        <v>7030</v>
      </c>
      <c r="E54" s="5"/>
    </row>
    <row r="55" spans="1:5" ht="14.25" customHeight="1">
      <c r="A55" s="42"/>
      <c r="B55" s="46"/>
      <c r="C55" s="46"/>
      <c r="D55" s="46"/>
      <c r="E55" s="5"/>
    </row>
    <row r="56" spans="1:5" ht="14.25" customHeight="1">
      <c r="A56" s="42"/>
      <c r="B56" s="46"/>
      <c r="C56" s="46"/>
      <c r="D56" s="46" t="s">
        <v>7031</v>
      </c>
      <c r="E56" s="5"/>
    </row>
    <row r="57" spans="1:5" ht="14.25" customHeight="1">
      <c r="A57" s="42"/>
      <c r="B57" s="46"/>
      <c r="C57" s="46"/>
      <c r="D57" s="46"/>
      <c r="E57" s="5"/>
    </row>
    <row r="58" spans="1:5" ht="14.25" customHeight="1">
      <c r="A58" s="42"/>
      <c r="B58" s="46"/>
      <c r="C58" s="46"/>
      <c r="D58" s="46" t="s">
        <v>7032</v>
      </c>
      <c r="E58" s="5"/>
    </row>
    <row r="59" spans="1:5" ht="14.25" customHeight="1">
      <c r="A59" s="42"/>
      <c r="B59" s="46"/>
      <c r="C59" s="46"/>
      <c r="D59" s="46"/>
    </row>
    <row r="60" spans="1:5" ht="14.25" customHeight="1">
      <c r="A60" s="42"/>
      <c r="B60" s="46"/>
      <c r="C60" s="46"/>
      <c r="D60" s="46" t="s">
        <v>7033</v>
      </c>
      <c r="E60" s="5"/>
    </row>
    <row r="61" spans="1:5" ht="14.25" customHeight="1">
      <c r="A61" s="42"/>
      <c r="B61" s="46"/>
      <c r="C61" s="46"/>
      <c r="D61" s="46"/>
      <c r="E61" s="5"/>
    </row>
    <row r="62" spans="1:5" ht="14.25" customHeight="1">
      <c r="A62" s="42"/>
      <c r="B62" s="46"/>
      <c r="C62" s="46"/>
      <c r="D62" s="46" t="s">
        <v>7034</v>
      </c>
      <c r="E62" s="5"/>
    </row>
    <row r="63" spans="1:5" ht="14.25" customHeight="1">
      <c r="A63" s="42"/>
      <c r="B63" s="46"/>
      <c r="C63" s="46"/>
      <c r="D63" s="46"/>
      <c r="E63" s="5"/>
    </row>
    <row r="64" spans="1:5" ht="14.25" customHeight="1">
      <c r="A64" s="42"/>
      <c r="B64" s="46"/>
      <c r="C64" s="46"/>
      <c r="D64" s="46" t="s">
        <v>7035</v>
      </c>
      <c r="E64" s="5"/>
    </row>
    <row r="65" spans="1:5" ht="14.25" customHeight="1">
      <c r="A65" s="42"/>
      <c r="B65" s="46"/>
      <c r="C65" s="46"/>
      <c r="D65" s="46"/>
      <c r="E65" s="5"/>
    </row>
    <row r="66" spans="1:5" ht="14.25" customHeight="1">
      <c r="A66" s="42"/>
      <c r="B66" s="46"/>
      <c r="C66" s="46"/>
      <c r="D66" s="46" t="s">
        <v>7036</v>
      </c>
      <c r="E66" s="5"/>
    </row>
    <row r="67" spans="1:5" ht="14.25" customHeight="1">
      <c r="A67" s="42"/>
      <c r="B67" s="46"/>
      <c r="C67" s="46"/>
      <c r="D67" s="46"/>
      <c r="E67" s="5"/>
    </row>
    <row r="68" spans="1:5" ht="14.25" customHeight="1">
      <c r="A68" s="42"/>
      <c r="B68" s="46"/>
      <c r="C68" s="46"/>
      <c r="D68" s="46" t="s">
        <v>7037</v>
      </c>
      <c r="E68" s="5"/>
    </row>
    <row r="69" spans="1:5" ht="14.25" customHeight="1">
      <c r="A69" s="42"/>
      <c r="B69" s="46"/>
      <c r="C69" s="46"/>
      <c r="D69" s="46"/>
      <c r="E69" s="5"/>
    </row>
    <row r="70" spans="1:5" ht="14.25" customHeight="1">
      <c r="A70" s="42"/>
      <c r="B70" s="46"/>
      <c r="C70" s="46"/>
      <c r="D70" s="46" t="s">
        <v>7038</v>
      </c>
      <c r="E70" s="5"/>
    </row>
    <row r="71" spans="1:5" ht="14.25" customHeight="1">
      <c r="A71" s="42"/>
      <c r="B71" s="46"/>
      <c r="C71" s="46"/>
      <c r="D71" s="46"/>
      <c r="E71" s="5"/>
    </row>
    <row r="72" spans="1:5" ht="14.25" customHeight="1">
      <c r="A72" s="42"/>
      <c r="B72" s="46"/>
      <c r="C72" s="46"/>
      <c r="D72" s="46" t="s">
        <v>7039</v>
      </c>
      <c r="E72" s="5"/>
    </row>
    <row r="73" spans="1:5" ht="14.25" customHeight="1">
      <c r="A73" s="42"/>
      <c r="B73" s="46"/>
      <c r="C73" s="46"/>
      <c r="D73" s="46"/>
      <c r="E73" s="5"/>
    </row>
    <row r="74" spans="1:5" ht="14.25" customHeight="1">
      <c r="A74" s="42"/>
      <c r="B74" s="46"/>
      <c r="C74" s="46"/>
      <c r="D74" s="46" t="s">
        <v>7040</v>
      </c>
      <c r="E74" s="5"/>
    </row>
    <row r="75" spans="1:5" ht="14.25" customHeight="1">
      <c r="A75" s="42"/>
      <c r="B75" s="46"/>
      <c r="C75" s="46"/>
      <c r="D75" s="46"/>
      <c r="E75" s="5"/>
    </row>
    <row r="76" spans="1:5" ht="14.25" customHeight="1">
      <c r="A76" s="42"/>
      <c r="B76" s="46"/>
      <c r="C76" s="46"/>
      <c r="D76" s="46" t="s">
        <v>7041</v>
      </c>
      <c r="E76" s="5"/>
    </row>
    <row r="77" spans="1:5" ht="14.25" customHeight="1">
      <c r="A77" s="42"/>
      <c r="B77" s="46"/>
      <c r="C77" s="46"/>
      <c r="D77" s="46"/>
      <c r="E77" s="5"/>
    </row>
    <row r="78" spans="1:5" ht="14.25" customHeight="1">
      <c r="A78" s="42"/>
      <c r="B78" s="46"/>
      <c r="C78" s="46"/>
      <c r="D78" s="46" t="s">
        <v>7042</v>
      </c>
      <c r="E78" s="5"/>
    </row>
    <row r="79" spans="1:5" ht="14.25" customHeight="1">
      <c r="A79" s="42"/>
      <c r="B79" s="46"/>
      <c r="C79" s="46"/>
      <c r="D79" s="46"/>
      <c r="E79" s="5"/>
    </row>
    <row r="80" spans="1:5" ht="14.25" customHeight="1">
      <c r="A80" s="42"/>
      <c r="B80" s="46"/>
      <c r="C80" s="46"/>
      <c r="D80" s="46" t="s">
        <v>7043</v>
      </c>
      <c r="E80" s="5"/>
    </row>
    <row r="81" spans="1:5" ht="14.25" customHeight="1">
      <c r="A81" s="42"/>
      <c r="B81" s="46"/>
      <c r="C81" s="46"/>
      <c r="D81" s="46"/>
      <c r="E81" s="5"/>
    </row>
    <row r="82" spans="1:5" ht="14.25" customHeight="1">
      <c r="A82" s="42"/>
      <c r="B82" s="46"/>
      <c r="C82" s="46"/>
      <c r="D82" s="46" t="s">
        <v>7044</v>
      </c>
      <c r="E82" s="5"/>
    </row>
    <row r="83" spans="1:5" ht="14.25" customHeight="1">
      <c r="A83" s="42"/>
      <c r="B83" s="46"/>
      <c r="C83" s="46"/>
      <c r="D83" s="46"/>
      <c r="E83" s="5"/>
    </row>
    <row r="84" spans="1:5" ht="14.25" customHeight="1">
      <c r="A84" s="42"/>
      <c r="B84" s="46"/>
      <c r="C84" s="46"/>
      <c r="D84" s="46" t="s">
        <v>7045</v>
      </c>
      <c r="E84" s="5"/>
    </row>
    <row r="85" spans="1:5" ht="14.25" customHeight="1">
      <c r="A85" s="42"/>
      <c r="B85" s="46"/>
      <c r="C85" s="46"/>
      <c r="D85" s="46"/>
      <c r="E85" s="5"/>
    </row>
    <row r="86" spans="1:5" ht="14.25" customHeight="1">
      <c r="A86" s="42"/>
      <c r="B86" s="46"/>
      <c r="C86" s="46"/>
      <c r="D86" s="46" t="s">
        <v>7046</v>
      </c>
      <c r="E86" s="5"/>
    </row>
    <row r="87" spans="1:5" ht="14.25" customHeight="1">
      <c r="A87" s="42"/>
      <c r="B87" s="46"/>
      <c r="C87" s="46"/>
      <c r="D87" s="46"/>
      <c r="E87" s="5"/>
    </row>
    <row r="88" spans="1:5" ht="14.25" customHeight="1">
      <c r="A88" s="42"/>
      <c r="B88" s="46"/>
      <c r="C88" s="46"/>
      <c r="D88" s="46" t="s">
        <v>7047</v>
      </c>
      <c r="E88" s="5"/>
    </row>
    <row r="89" spans="1:5" ht="14.25" customHeight="1">
      <c r="A89" s="42"/>
      <c r="B89" s="46"/>
      <c r="C89" s="46"/>
      <c r="D89" s="46"/>
      <c r="E89" s="5"/>
    </row>
    <row r="90" spans="1:5" ht="14.25" customHeight="1">
      <c r="A90" s="42"/>
      <c r="B90" s="46"/>
      <c r="C90" s="46"/>
      <c r="D90" s="46" t="s">
        <v>7048</v>
      </c>
      <c r="E90" s="5"/>
    </row>
    <row r="91" spans="1:5" ht="14.25" customHeight="1">
      <c r="A91" s="42"/>
      <c r="B91" s="46"/>
      <c r="C91" s="46"/>
      <c r="D91" s="46"/>
      <c r="E91" s="5"/>
    </row>
    <row r="92" spans="1:5" ht="14.25" customHeight="1">
      <c r="A92" s="42"/>
      <c r="B92" s="46"/>
      <c r="C92" s="46"/>
      <c r="D92" s="46" t="s">
        <v>7049</v>
      </c>
      <c r="E92" s="5"/>
    </row>
    <row r="93" spans="1:5" ht="14.25" customHeight="1">
      <c r="A93" s="42"/>
      <c r="B93" s="46"/>
      <c r="C93" s="46"/>
      <c r="D93" s="46"/>
      <c r="E93" s="5"/>
    </row>
    <row r="94" spans="1:5" ht="14.25" customHeight="1">
      <c r="A94" s="42"/>
      <c r="B94" s="46"/>
      <c r="C94" s="46"/>
      <c r="D94" s="46" t="s">
        <v>7050</v>
      </c>
      <c r="E94" s="5"/>
    </row>
    <row r="95" spans="1:5" ht="14.25" customHeight="1">
      <c r="A95" s="42"/>
      <c r="B95" s="46"/>
      <c r="C95" s="46"/>
      <c r="D95" s="46"/>
      <c r="E95" s="5"/>
    </row>
    <row r="96" spans="1:5" ht="14.25" customHeight="1">
      <c r="A96" s="42"/>
      <c r="B96" s="46"/>
      <c r="C96" s="46"/>
      <c r="D96" s="46" t="s">
        <v>7051</v>
      </c>
      <c r="E96" s="5"/>
    </row>
    <row r="97" spans="1:5" ht="14.25" customHeight="1">
      <c r="A97" s="42"/>
      <c r="B97" s="46"/>
      <c r="C97" s="46"/>
      <c r="D97" s="46"/>
      <c r="E97" s="5"/>
    </row>
    <row r="98" spans="1:5" ht="14.25" customHeight="1">
      <c r="A98" s="42"/>
      <c r="B98" s="46"/>
      <c r="C98" s="46"/>
      <c r="D98" s="46" t="s">
        <v>7052</v>
      </c>
      <c r="E98" s="5"/>
    </row>
  </sheetData>
  <pageMargins left="0.75" right="0.75" top="1" bottom="1" header="0" footer="0"/>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4" width="41.109375" customWidth="1"/>
    <col min="5" max="5" width="56.88671875" customWidth="1"/>
  </cols>
  <sheetData>
    <row r="1" spans="1:5" ht="14.25" customHeight="1">
      <c r="A1" s="12" t="s">
        <v>7053</v>
      </c>
      <c r="E1" s="2"/>
    </row>
    <row r="2" spans="1:5" ht="14.25" customHeight="1">
      <c r="A2" s="41" t="s">
        <v>7054</v>
      </c>
      <c r="B2" s="43" t="s">
        <v>7055</v>
      </c>
      <c r="C2" s="46"/>
      <c r="D2" s="46" t="s">
        <v>7056</v>
      </c>
      <c r="E2" s="5" t="str">
        <f ca="1">IFERROR(__xludf.DUMMYFUNCTION("FILTER(D1:D1004,D1:D1004&lt;&gt; """")"),"Wǒ jīntiān hǎo kāixīn!")</f>
        <v>Wǒ jīntiān hǎo kāixīn!</v>
      </c>
    </row>
    <row r="3" spans="1:5" ht="14.25" customHeight="1">
      <c r="A3" s="41" t="s">
        <v>7057</v>
      </c>
      <c r="B3" s="43" t="s">
        <v>7058</v>
      </c>
      <c r="C3" s="46"/>
      <c r="D3" s="46"/>
      <c r="E3" s="6" t="str">
        <f ca="1">IFERROR(__xludf.DUMMYFUNCTION("""COMPUTED_VALUE"""),"Wǒ gǎnjué fēicháng kāixīn.")</f>
        <v>Wǒ gǎnjué fēicháng kāixīn.</v>
      </c>
    </row>
    <row r="4" spans="1:5" ht="14.25" customHeight="1">
      <c r="A4" s="41" t="s">
        <v>7059</v>
      </c>
      <c r="B4" s="43" t="s">
        <v>7060</v>
      </c>
      <c r="C4" s="46"/>
      <c r="D4" s="46" t="s">
        <v>7061</v>
      </c>
      <c r="E4" s="5" t="str">
        <f ca="1">IFERROR(__xludf.DUMMYFUNCTION("""COMPUTED_VALUE"""),"Nǐ wèishéme nánguò?")</f>
        <v>Nǐ wèishéme nánguò?</v>
      </c>
    </row>
    <row r="5" spans="1:5" ht="14.25" customHeight="1">
      <c r="A5" s="41" t="s">
        <v>7062</v>
      </c>
      <c r="B5" s="43" t="s">
        <v>7063</v>
      </c>
      <c r="C5" s="46"/>
      <c r="D5" s="46"/>
      <c r="E5" s="5" t="str">
        <f ca="1">IFERROR(__xludf.DUMMYFUNCTION("""COMPUTED_VALUE"""),"Wǒ yǒudiǎn nánguò.")</f>
        <v>Wǒ yǒudiǎn nánguò.</v>
      </c>
    </row>
    <row r="6" spans="1:5" ht="14.25" customHeight="1">
      <c r="A6" s="41" t="s">
        <v>7064</v>
      </c>
      <c r="B6" s="41" t="s">
        <v>7065</v>
      </c>
      <c r="C6" s="42"/>
      <c r="D6" s="42" t="s">
        <v>7066</v>
      </c>
      <c r="E6" s="5" t="str">
        <f ca="1">IFERROR(__xludf.DUMMYFUNCTION("""COMPUTED_VALUE"""),"Wǒ hěn shēngqì!")</f>
        <v>Wǒ hěn shēngqì!</v>
      </c>
    </row>
    <row r="7" spans="1:5" ht="14.25" customHeight="1">
      <c r="A7" s="41" t="s">
        <v>7067</v>
      </c>
      <c r="B7" s="43" t="s">
        <v>7068</v>
      </c>
      <c r="C7" s="46"/>
      <c r="D7" s="46"/>
      <c r="E7" s="5" t="str">
        <f ca="1">IFERROR(__xludf.DUMMYFUNCTION("""COMPUTED_VALUE"""),"Qǐng bùyào shēng wǒ de qì.")</f>
        <v>Qǐng bùyào shēng wǒ de qì.</v>
      </c>
    </row>
    <row r="8" spans="1:5" ht="14.25" customHeight="1">
      <c r="A8" s="41" t="s">
        <v>7069</v>
      </c>
      <c r="B8" s="41" t="s">
        <v>2752</v>
      </c>
      <c r="C8" s="42"/>
      <c r="D8" s="42" t="s">
        <v>2743</v>
      </c>
      <c r="E8" s="5" t="str">
        <f ca="1">IFERROR(__xludf.DUMMYFUNCTION("""COMPUTED_VALUE"""),"Wǒ hěn jīngyà!")</f>
        <v>Wǒ hěn jīngyà!</v>
      </c>
    </row>
    <row r="9" spans="1:5" ht="14.25" customHeight="1">
      <c r="A9" s="41" t="s">
        <v>7070</v>
      </c>
      <c r="B9" s="43" t="s">
        <v>7071</v>
      </c>
      <c r="C9" s="46"/>
      <c r="D9" s="46"/>
      <c r="E9" s="5" t="str">
        <f ca="1">IFERROR(__xludf.DUMMYFUNCTION("""COMPUTED_VALUE"""),"Zhège hǎo xiāoxī ràng wǒ fēicháng jīngxǐ.")</f>
        <v>Zhège hǎo xiāoxī ràng wǒ fēicháng jīngxǐ.</v>
      </c>
    </row>
    <row r="10" spans="1:5" ht="14.25" customHeight="1">
      <c r="A10" s="41" t="s">
        <v>7072</v>
      </c>
      <c r="B10" s="43" t="s">
        <v>7073</v>
      </c>
      <c r="C10" s="46"/>
      <c r="D10" s="46" t="s">
        <v>7074</v>
      </c>
      <c r="E10" s="5" t="str">
        <f ca="1">IFERROR(__xludf.DUMMYFUNCTION("""COMPUTED_VALUE"""),"Wǒ yǒudiǎn dānxīn.")</f>
        <v>Wǒ yǒudiǎn dānxīn.</v>
      </c>
    </row>
    <row r="11" spans="1:5" ht="14.25" customHeight="1">
      <c r="A11" s="41" t="s">
        <v>7075</v>
      </c>
      <c r="B11" s="43" t="s">
        <v>7076</v>
      </c>
      <c r="C11" s="46"/>
      <c r="D11" s="46"/>
      <c r="E11" s="5" t="str">
        <f ca="1">IFERROR(__xludf.DUMMYFUNCTION("""COMPUTED_VALUE"""),"Bié dānxīn, yīqiè dūhuì hǎo qǐlái de.")</f>
        <v>Bié dānxīn, yīqiè dūhuì hǎo qǐlái de.</v>
      </c>
    </row>
    <row r="12" spans="1:5" ht="14.25" customHeight="1">
      <c r="A12" s="41" t="s">
        <v>7077</v>
      </c>
      <c r="B12" s="43" t="s">
        <v>7078</v>
      </c>
      <c r="C12" s="46"/>
      <c r="D12" s="46" t="s">
        <v>7079</v>
      </c>
      <c r="E12" s="6" t="str">
        <f ca="1">IFERROR(__xludf.DUMMYFUNCTION("""COMPUTED_VALUE"""),"Wǒ wèi zìjǐ gǎndào fēicháng jiāo'ào.")</f>
        <v>Wǒ wèi zìjǐ gǎndào fēicháng jiāo'ào.</v>
      </c>
    </row>
    <row r="13" spans="1:5" ht="14.25" customHeight="1">
      <c r="A13" s="41" t="s">
        <v>7080</v>
      </c>
      <c r="B13" s="43" t="s">
        <v>7081</v>
      </c>
      <c r="C13" s="46"/>
      <c r="D13" s="46"/>
      <c r="E13" s="6" t="str">
        <f ca="1">IFERROR(__xludf.DUMMYFUNCTION("""COMPUTED_VALUE"""),"Nǐ ràng wǒ gǎndào fēicháng jiāo'ào.")</f>
        <v>Nǐ ràng wǒ gǎndào fēicháng jiāo'ào.</v>
      </c>
    </row>
    <row r="14" spans="1:5" ht="14.25" customHeight="1">
      <c r="A14" s="41" t="s">
        <v>7082</v>
      </c>
      <c r="B14" s="43" t="s">
        <v>7083</v>
      </c>
      <c r="C14" s="46"/>
      <c r="D14" s="46" t="s">
        <v>7084</v>
      </c>
      <c r="E14" s="6" t="str">
        <f ca="1">IFERROR(__xludf.DUMMYFUNCTION("""COMPUTED_VALUE"""),"Wǒ yǒudiǎn hàixiū.")</f>
        <v>Wǒ yǒudiǎn hàixiū.</v>
      </c>
    </row>
    <row r="15" spans="1:5" ht="14.25" customHeight="1">
      <c r="A15" s="41" t="s">
        <v>7085</v>
      </c>
      <c r="B15" s="43" t="s">
        <v>7086</v>
      </c>
      <c r="C15" s="46"/>
      <c r="D15" s="46"/>
      <c r="E15" s="6" t="str">
        <f ca="1">IFERROR(__xludf.DUMMYFUNCTION("""COMPUTED_VALUE"""),"Wǒ duì zhè cì lǚxíng gǎndào fēicháng xīngfèn!")</f>
        <v>Wǒ duì zhè cì lǚxíng gǎndào fēicháng xīngfèn!</v>
      </c>
    </row>
    <row r="16" spans="1:5" ht="14.25" customHeight="1">
      <c r="A16" s="41" t="s">
        <v>7087</v>
      </c>
      <c r="B16" s="43" t="s">
        <v>7088</v>
      </c>
      <c r="C16" s="46"/>
      <c r="D16" s="46" t="s">
        <v>7089</v>
      </c>
      <c r="E16" s="6" t="str">
        <f ca="1">IFERROR(__xludf.DUMMYFUNCTION("""COMPUTED_VALUE"""),"Wǒ yǒudiǎn pà hēi.")</f>
        <v>Wǒ yǒudiǎn pà hēi.</v>
      </c>
    </row>
    <row r="17" spans="1:5" ht="14.25" customHeight="1">
      <c r="A17" s="41" t="s">
        <v>7090</v>
      </c>
      <c r="B17" s="43" t="s">
        <v>7091</v>
      </c>
      <c r="C17" s="46"/>
      <c r="D17" s="46"/>
      <c r="E17" s="6" t="str">
        <f ca="1">IFERROR(__xludf.DUMMYFUNCTION("""COMPUTED_VALUE"""),"Wǒ gǎnjué hěn gūdú.")</f>
        <v>Wǒ gǎnjué hěn gūdú.</v>
      </c>
    </row>
    <row r="18" spans="1:5" ht="14.25" customHeight="1">
      <c r="A18" s="41" t="s">
        <v>7092</v>
      </c>
      <c r="B18" s="43" t="s">
        <v>7093</v>
      </c>
      <c r="C18" s="46"/>
      <c r="D18" s="46" t="s">
        <v>2758</v>
      </c>
      <c r="E18" s="5" t="str">
        <f ca="1">IFERROR(__xludf.DUMMYFUNCTION("""COMPUTED_VALUE"""),"Wǒ fēicháng xiǎngniàn wǒ de fùmǔ.")</f>
        <v>Wǒ fēicháng xiǎngniàn wǒ de fùmǔ.</v>
      </c>
    </row>
    <row r="19" spans="1:5" ht="14.25" customHeight="1">
      <c r="A19" s="41" t="s">
        <v>7094</v>
      </c>
      <c r="B19" s="43" t="s">
        <v>7095</v>
      </c>
      <c r="C19" s="46"/>
      <c r="D19" s="46"/>
      <c r="E19" s="4" t="str">
        <f ca="1">IFERROR(__xludf.DUMMYFUNCTION("""COMPUTED_VALUE"""),"Wǒ fēicháng gǎnxiè nǐ.")</f>
        <v>Wǒ fēicháng gǎnxiè nǐ.</v>
      </c>
    </row>
    <row r="20" spans="1:5" ht="14.25" customHeight="1">
      <c r="A20" s="41" t="s">
        <v>7096</v>
      </c>
      <c r="B20" s="43" t="s">
        <v>7097</v>
      </c>
      <c r="C20" s="46"/>
      <c r="D20" s="46" t="s">
        <v>7098</v>
      </c>
      <c r="E20" s="5" t="str">
        <f ca="1">IFERROR(__xludf.DUMMYFUNCTION("""COMPUTED_VALUE"""),"Wǒ gǎnjué hěn lèi.")</f>
        <v>Wǒ gǎnjué hěn lèi.</v>
      </c>
    </row>
    <row r="21" spans="1:5" ht="14.25" customHeight="1">
      <c r="A21" s="41" t="s">
        <v>7099</v>
      </c>
      <c r="B21" s="43" t="s">
        <v>7100</v>
      </c>
      <c r="C21" s="46"/>
      <c r="D21" s="46"/>
      <c r="E21" s="6" t="str">
        <f ca="1">IFERROR(__xludf.DUMMYFUNCTION("""COMPUTED_VALUE"""),"Wǒ gǎnjué hěn kùn.")</f>
        <v>Wǒ gǎnjué hěn kùn.</v>
      </c>
    </row>
    <row r="22" spans="1:5" ht="14.25" customHeight="1">
      <c r="A22" s="41" t="s">
        <v>7101</v>
      </c>
      <c r="B22" s="43" t="s">
        <v>7102</v>
      </c>
      <c r="C22" s="46"/>
      <c r="D22" s="46" t="s">
        <v>7103</v>
      </c>
      <c r="E22" s="6" t="str">
        <f ca="1">IFERROR(__xludf.DUMMYFUNCTION("""COMPUTED_VALUE"""),"Wǒ hǎo wúliáo.")</f>
        <v>Wǒ hǎo wúliáo.</v>
      </c>
    </row>
    <row r="23" spans="1:5" ht="14.25" customHeight="1">
      <c r="A23" s="41" t="s">
        <v>7104</v>
      </c>
      <c r="B23" s="41" t="s">
        <v>7105</v>
      </c>
      <c r="C23" s="42"/>
      <c r="D23" s="42"/>
      <c r="E23" s="6" t="str">
        <f ca="1">IFERROR(__xludf.DUMMYFUNCTION("""COMPUTED_VALUE"""),"Wǒ gǎnjué hěn kùnhuò, bù zhīdào gāi zěnme bàn.")</f>
        <v>Wǒ gǎnjué hěn kùnhuò, bù zhīdào gāi zěnme bàn.</v>
      </c>
    </row>
    <row r="24" spans="1:5" ht="14.25" customHeight="1">
      <c r="A24" s="41" t="s">
        <v>7106</v>
      </c>
      <c r="B24" s="43" t="s">
        <v>7107</v>
      </c>
      <c r="C24" s="46"/>
      <c r="D24" s="46" t="s">
        <v>7108</v>
      </c>
      <c r="E24" s="6" t="str">
        <f ca="1">IFERROR(__xludf.DUMMYFUNCTION("""COMPUTED_VALUE"""),"Wǒ zài zhèlǐ gǎnjué hěn píngjìng.")</f>
        <v>Wǒ zài zhèlǐ gǎnjué hěn píngjìng.</v>
      </c>
    </row>
    <row r="25" spans="1:5" ht="14.25" customHeight="1">
      <c r="A25" s="41" t="s">
        <v>7109</v>
      </c>
      <c r="B25" s="43" t="s">
        <v>7110</v>
      </c>
      <c r="C25" s="46"/>
      <c r="D25" s="46"/>
      <c r="E25" s="6" t="str">
        <f ca="1">IFERROR(__xludf.DUMMYFUNCTION("""COMPUTED_VALUE"""),"Wǒ gǎnjué hěn zìxìn!")</f>
        <v>Wǒ gǎnjué hěn zìxìn!</v>
      </c>
    </row>
    <row r="26" spans="1:5" ht="14.25" customHeight="1">
      <c r="A26" s="41" t="s">
        <v>7111</v>
      </c>
      <c r="B26" s="43" t="s">
        <v>7112</v>
      </c>
      <c r="C26" s="46"/>
      <c r="D26" s="46" t="s">
        <v>7113</v>
      </c>
      <c r="E26" s="6" t="str">
        <f ca="1">IFERROR(__xludf.DUMMYFUNCTION("""COMPUTED_VALUE"""),"Wǒ gǎnjué yǒudiǎn shīwàng.")</f>
        <v>Wǒ gǎnjué yǒudiǎn shīwàng.</v>
      </c>
    </row>
    <row r="27" spans="1:5" ht="14.25" customHeight="1">
      <c r="A27" s="41" t="s">
        <v>7114</v>
      </c>
      <c r="B27" s="43" t="s">
        <v>7115</v>
      </c>
      <c r="C27" s="46"/>
      <c r="D27" s="46"/>
      <c r="E27" s="6" t="str">
        <f ca="1">IFERROR(__xludf.DUMMYFUNCTION("""COMPUTED_VALUE"""),"Yǒngyuǎn bǎochí wéixiào.")</f>
        <v>Yǒngyuǎn bǎochí wéixiào.</v>
      </c>
    </row>
    <row r="28" spans="1:5" ht="14.25" customHeight="1">
      <c r="A28" s="41" t="s">
        <v>7116</v>
      </c>
      <c r="B28" s="43" t="s">
        <v>7117</v>
      </c>
      <c r="C28" s="46"/>
      <c r="D28" s="46" t="s">
        <v>7118</v>
      </c>
      <c r="E28" s="6" t="str">
        <f ca="1">IFERROR(__xludf.DUMMYFUNCTION("""COMPUTED_VALUE"""),"Wǒ xǐhuān nǐ de yōumò gǎn.")</f>
        <v>Wǒ xǐhuān nǐ de yōumò gǎn.</v>
      </c>
    </row>
    <row r="29" spans="1:5" ht="14.25" customHeight="1">
      <c r="A29" s="41" t="s">
        <v>7119</v>
      </c>
      <c r="B29" s="43" t="s">
        <v>7120</v>
      </c>
      <c r="C29" s="46"/>
      <c r="D29" s="46"/>
      <c r="E29" s="37" t="str">
        <f ca="1">IFERROR(__xludf.DUMMYFUNCTION("""COMPUTED_VALUE"""),"Hé jiārén zài yīqǐ, wǒ gǎndào hěn wēnnuǎn.")</f>
        <v>Hé jiārén zài yīqǐ, wǒ gǎndào hěn wēnnuǎn.</v>
      </c>
    </row>
    <row r="30" spans="1:5" ht="14.25" customHeight="1">
      <c r="A30" s="41" t="s">
        <v>7121</v>
      </c>
      <c r="B30" s="43" t="s">
        <v>7122</v>
      </c>
      <c r="C30" s="46"/>
      <c r="D30" s="46" t="s">
        <v>7123</v>
      </c>
      <c r="E30" s="6" t="str">
        <f ca="1">IFERROR(__xludf.DUMMYFUNCTION("""COMPUTED_VALUE"""),"Wǒ wèi zìjǐ de guòcuò gǎndào fēicháng hòuhuǐ.")</f>
        <v>Wǒ wèi zìjǐ de guòcuò gǎndào fēicháng hòuhuǐ.</v>
      </c>
    </row>
    <row r="31" spans="1:5" ht="14.25" customHeight="1">
      <c r="A31" s="41" t="s">
        <v>7124</v>
      </c>
      <c r="B31" s="41" t="s">
        <v>7125</v>
      </c>
      <c r="C31" s="42"/>
      <c r="D31" s="42"/>
      <c r="E31" s="4" t="str">
        <f ca="1">IFERROR(__xludf.DUMMYFUNCTION("""COMPUTED_VALUE"""),"Wǒ xiǎng xiàng nǐ dàoqiàn.")</f>
        <v>Wǒ xiǎng xiàng nǐ dàoqiàn.</v>
      </c>
    </row>
    <row r="32" spans="1:5" ht="14.25" customHeight="1">
      <c r="A32" s="41" t="s">
        <v>7126</v>
      </c>
      <c r="B32" s="43" t="s">
        <v>7127</v>
      </c>
      <c r="C32" s="46"/>
      <c r="D32" s="46" t="s">
        <v>7128</v>
      </c>
      <c r="E32" s="4" t="str">
        <f ca="1">IFERROR(__xludf.DUMMYFUNCTION("""COMPUTED_VALUE"""),"Wǒ gǎnjué hěn shūfú.")</f>
        <v>Wǒ gǎnjué hěn shūfú.</v>
      </c>
    </row>
    <row r="33" spans="1:5" ht="14.25" customHeight="1">
      <c r="A33" s="41" t="s">
        <v>7129</v>
      </c>
      <c r="B33" s="43" t="s">
        <v>7130</v>
      </c>
      <c r="C33" s="46"/>
      <c r="D33" s="46"/>
      <c r="E33" s="4" t="str">
        <f ca="1">IFERROR(__xludf.DUMMYFUNCTION("""COMPUTED_VALUE"""),"Zàoyīn ràng wǒ yǒudiǎn fánzào.")</f>
        <v>Zàoyīn ràng wǒ yǒudiǎn fánzào.</v>
      </c>
    </row>
    <row r="34" spans="1:5" ht="14.25" customHeight="1">
      <c r="A34" s="41" t="s">
        <v>7131</v>
      </c>
      <c r="B34" s="43" t="s">
        <v>7132</v>
      </c>
      <c r="C34" s="46"/>
      <c r="D34" s="46" t="s">
        <v>7133</v>
      </c>
      <c r="E34" s="4" t="str">
        <f ca="1">IFERROR(__xludf.DUMMYFUNCTION("""COMPUTED_VALUE"""),"Wǒ fēicháng jìngpèi nǐ.")</f>
        <v>Wǒ fēicháng jìngpèi nǐ.</v>
      </c>
    </row>
    <row r="35" spans="1:5" ht="14.25" customHeight="1">
      <c r="A35" s="41" t="s">
        <v>7134</v>
      </c>
      <c r="B35" s="43" t="s">
        <v>7135</v>
      </c>
      <c r="C35" s="46"/>
      <c r="D35" s="46"/>
      <c r="E35" s="8" t="str">
        <f ca="1">IFERROR(__xludf.DUMMYFUNCTION("""COMPUTED_VALUE"""),"Wǒ gǎnjué zìjǐ hěn xìngyùn.")</f>
        <v>Wǒ gǎnjué zìjǐ hěn xìngyùn.</v>
      </c>
    </row>
    <row r="36" spans="1:5" ht="14.25" customHeight="1">
      <c r="A36" s="41" t="s">
        <v>7136</v>
      </c>
      <c r="B36" s="43" t="s">
        <v>7137</v>
      </c>
      <c r="C36" s="46"/>
      <c r="D36" s="46" t="s">
        <v>7138</v>
      </c>
      <c r="E36" s="5" t="str">
        <f ca="1">IFERROR(__xludf.DUMMYFUNCTION("""COMPUTED_VALUE"""),"Wǒ de xīnzhōng chōngmǎnle ài.")</f>
        <v>Wǒ de xīnzhōng chōngmǎnle ài.</v>
      </c>
    </row>
    <row r="37" spans="1:5" ht="14.25" customHeight="1">
      <c r="A37" s="41" t="s">
        <v>7139</v>
      </c>
      <c r="B37" s="43" t="s">
        <v>7140</v>
      </c>
      <c r="C37" s="46"/>
      <c r="D37" s="46"/>
      <c r="E37" s="8" t="str">
        <f ca="1">IFERROR(__xludf.DUMMYFUNCTION("""COMPUTED_VALUE"""),"Wǒ juéxīn yào shíxiàn wǒ de mùbiāo.")</f>
        <v>Wǒ juéxīn yào shíxiàn wǒ de mùbiāo.</v>
      </c>
    </row>
    <row r="38" spans="1:5" ht="14.25" customHeight="1">
      <c r="A38" s="41" t="s">
        <v>7141</v>
      </c>
      <c r="B38" s="43" t="s">
        <v>7142</v>
      </c>
      <c r="C38" s="46"/>
      <c r="D38" s="46" t="s">
        <v>7143</v>
      </c>
      <c r="E38" s="5" t="str">
        <f ca="1">IFERROR(__xludf.DUMMYFUNCTION("""COMPUTED_VALUE"""),"Shōu dào lǐwù ràng wǒ fēicháng kāixīn.")</f>
        <v>Shōu dào lǐwù ràng wǒ fēicháng kāixīn.</v>
      </c>
    </row>
    <row r="39" spans="1:5" ht="14.25" customHeight="1">
      <c r="A39" s="41" t="s">
        <v>7144</v>
      </c>
      <c r="B39" s="41" t="s">
        <v>7145</v>
      </c>
      <c r="C39" s="42"/>
      <c r="D39" s="42"/>
      <c r="E39" s="6" t="str">
        <f ca="1">IFERROR(__xludf.DUMMYFUNCTION("""COMPUTED_VALUE"""),"Wǒ gǎnjué yǒudiǎn gāngà.")</f>
        <v>Wǒ gǎnjué yǒudiǎn gāngà.</v>
      </c>
    </row>
    <row r="40" spans="1:5" ht="14.25" customHeight="1">
      <c r="A40" s="41" t="s">
        <v>7146</v>
      </c>
      <c r="B40" s="43" t="s">
        <v>7147</v>
      </c>
      <c r="C40" s="46"/>
      <c r="D40" s="46" t="s">
        <v>7148</v>
      </c>
      <c r="E40" s="6" t="str">
        <f ca="1">IFERROR(__xludf.DUMMYFUNCTION("""COMPUTED_VALUE"""),"Wǒ gǎnjué jīnglì chōngpèi!")</f>
        <v>Wǒ gǎnjué jīnglì chōngpèi!</v>
      </c>
    </row>
    <row r="41" spans="1:5" ht="14.25" customHeight="1">
      <c r="A41" s="41" t="s">
        <v>7149</v>
      </c>
      <c r="B41" s="43" t="s">
        <v>7150</v>
      </c>
      <c r="C41" s="46"/>
      <c r="D41" s="46"/>
      <c r="E41" s="5" t="str">
        <f ca="1">IFERROR(__xludf.DUMMYFUNCTION("""COMPUTED_VALUE"""),"Wǒ fēicháng gǎndòng.")</f>
        <v>Wǒ fēicháng gǎndòng.</v>
      </c>
    </row>
    <row r="42" spans="1:5" ht="14.25" customHeight="1">
      <c r="A42" s="41" t="s">
        <v>7151</v>
      </c>
      <c r="B42" s="43" t="s">
        <v>7152</v>
      </c>
      <c r="C42" s="46"/>
      <c r="D42" s="46" t="s">
        <v>7153</v>
      </c>
      <c r="E42" s="4" t="str">
        <f ca="1">IFERROR(__xludf.DUMMYFUNCTION("""COMPUTED_VALUE"""),"Wǒ yǒudiǎn jídù.")</f>
        <v>Wǒ yǒudiǎn jídù.</v>
      </c>
    </row>
    <row r="43" spans="1:5" ht="14.25" customHeight="1">
      <c r="A43" s="41" t="s">
        <v>7154</v>
      </c>
      <c r="B43" s="43" t="s">
        <v>7155</v>
      </c>
      <c r="C43" s="46"/>
      <c r="D43" s="46"/>
      <c r="E43" s="5" t="str">
        <f ca="1">IFERROR(__xludf.DUMMYFUNCTION("""COMPUTED_VALUE"""),"Bùyào zìsī, yào hùxiāng fēnxiǎng.")</f>
        <v>Bùyào zìsī, yào hùxiāng fēnxiǎng.</v>
      </c>
    </row>
    <row r="44" spans="1:5" ht="14.25" customHeight="1">
      <c r="A44" s="41" t="s">
        <v>7156</v>
      </c>
      <c r="B44" s="43" t="s">
        <v>7157</v>
      </c>
      <c r="C44" s="46"/>
      <c r="D44" s="46" t="s">
        <v>7158</v>
      </c>
      <c r="E44" s="4" t="str">
        <f ca="1">IFERROR(__xludf.DUMMYFUNCTION("""COMPUTED_VALUE"""),"Yǒu nǐ zài, wǒ gǎnjué hěn ānquán.")</f>
        <v>Yǒu nǐ zài, wǒ gǎnjué hěn ānquán.</v>
      </c>
    </row>
    <row r="45" spans="1:5" ht="14.25" customHeight="1">
      <c r="A45" s="41" t="s">
        <v>7159</v>
      </c>
      <c r="B45" s="43" t="s">
        <v>7160</v>
      </c>
      <c r="C45" s="46"/>
      <c r="D45" s="46"/>
      <c r="E45" s="5" t="str">
        <f ca="1">IFERROR(__xludf.DUMMYFUNCTION("""COMPUTED_VALUE"""),"Wǒ hěn qídài chūmén.")</f>
        <v>Wǒ hěn qídài chūmén.</v>
      </c>
    </row>
    <row r="46" spans="1:5" ht="14.25" customHeight="1">
      <c r="A46" s="41" t="s">
        <v>7161</v>
      </c>
      <c r="B46" s="43" t="s">
        <v>7162</v>
      </c>
      <c r="C46" s="46"/>
      <c r="D46" s="46" t="s">
        <v>7163</v>
      </c>
      <c r="E46" s="4" t="str">
        <f ca="1">IFERROR(__xludf.DUMMYFUNCTION("""COMPUTED_VALUE"""),"Wǒ yǒudiǎn xīn suì.")</f>
        <v>Wǒ yǒudiǎn xīn suì.</v>
      </c>
    </row>
    <row r="47" spans="1:5" ht="14.25" customHeight="1">
      <c r="A47" s="41" t="s">
        <v>7164</v>
      </c>
      <c r="B47" s="43" t="s">
        <v>7165</v>
      </c>
      <c r="C47" s="46"/>
      <c r="D47" s="46"/>
      <c r="E47" s="4" t="str">
        <f ca="1">IFERROR(__xludf.DUMMYFUNCTION("""COMPUTED_VALUE"""),"Yǒngyuǎn bǎochí jījí de xīntài.")</f>
        <v>Yǒngyuǎn bǎochí jījí de xīntài.</v>
      </c>
    </row>
    <row r="48" spans="1:5" ht="14.25" customHeight="1">
      <c r="A48" s="41" t="s">
        <v>7166</v>
      </c>
      <c r="B48" s="43" t="s">
        <v>7167</v>
      </c>
      <c r="C48" s="46"/>
      <c r="D48" s="46" t="s">
        <v>7168</v>
      </c>
      <c r="E48" s="4" t="str">
        <f ca="1">IFERROR(__xludf.DUMMYFUNCTION("""COMPUTED_VALUE"""),"Wǒ gǎnjué hěn kāixīn!")</f>
        <v>Wǒ gǎnjué hěn kāixīn!</v>
      </c>
    </row>
    <row r="49" spans="1:5" ht="14.25" customHeight="1">
      <c r="A49" s="41" t="s">
        <v>7169</v>
      </c>
      <c r="B49" s="43" t="s">
        <v>7170</v>
      </c>
      <c r="C49" s="46"/>
      <c r="D49" s="46"/>
      <c r="E49" s="5" t="str">
        <f ca="1">IFERROR(__xludf.DUMMYFUNCTION("""COMPUTED_VALUE"""),"Wǒ de gǎnshòu hěn zhòngyào.")</f>
        <v>Wǒ de gǎnshòu hěn zhòngyào.</v>
      </c>
    </row>
    <row r="50" spans="1:5" ht="14.25" customHeight="1">
      <c r="A50" s="41" t="s">
        <v>7171</v>
      </c>
      <c r="B50" s="43" t="s">
        <v>7172</v>
      </c>
      <c r="C50" s="46"/>
      <c r="D50" s="46" t="s">
        <v>7173</v>
      </c>
      <c r="E50" s="6" t="str">
        <f ca="1">IFERROR(__xludf.DUMMYFUNCTION("""COMPUTED_VALUE"""),"Wǒ huì xuéhuì kòngzhì zìjǐ de qíngxù.")</f>
        <v>Wǒ huì xuéhuì kòngzhì zìjǐ de qíngxù.</v>
      </c>
    </row>
    <row r="51" spans="1:5" ht="14.25" customHeight="1">
      <c r="A51" s="41" t="s">
        <v>7174</v>
      </c>
      <c r="B51" s="43" t="s">
        <v>7175</v>
      </c>
      <c r="C51" s="46"/>
      <c r="D51" s="46"/>
      <c r="E51" s="6" t="str">
        <f ca="1">IFERROR(__xludf.DUMMYFUNCTION("""COMPUTED_VALUE"""),"Wǒ gǎnjué bàng jíle!")</f>
        <v>Wǒ gǎnjué bàng jíle!</v>
      </c>
    </row>
    <row r="52" spans="1:5" ht="14.25" customHeight="1">
      <c r="A52" s="42"/>
      <c r="B52" s="46"/>
      <c r="C52" s="46"/>
      <c r="D52" s="46" t="s">
        <v>7176</v>
      </c>
    </row>
    <row r="53" spans="1:5" ht="14.25" customHeight="1">
      <c r="A53" s="42"/>
      <c r="B53" s="46"/>
      <c r="C53" s="46"/>
      <c r="D53" s="46"/>
      <c r="E53" s="5"/>
    </row>
    <row r="54" spans="1:5" ht="14.25" customHeight="1">
      <c r="A54" s="42"/>
      <c r="B54" s="46"/>
      <c r="C54" s="46"/>
      <c r="D54" s="46" t="s">
        <v>7177</v>
      </c>
      <c r="E54" s="5"/>
    </row>
    <row r="55" spans="1:5" ht="14.25" customHeight="1">
      <c r="A55" s="42"/>
      <c r="B55" s="46"/>
      <c r="C55" s="46"/>
      <c r="D55" s="46"/>
      <c r="E55" s="5"/>
    </row>
    <row r="56" spans="1:5" ht="14.25" customHeight="1">
      <c r="A56" s="42"/>
      <c r="B56" s="46"/>
      <c r="C56" s="46"/>
      <c r="D56" s="46" t="s">
        <v>7178</v>
      </c>
      <c r="E56" s="5"/>
    </row>
    <row r="57" spans="1:5" ht="14.25" customHeight="1">
      <c r="A57" s="42"/>
      <c r="B57" s="46"/>
      <c r="C57" s="46"/>
      <c r="D57" s="46"/>
      <c r="E57" s="5"/>
    </row>
    <row r="58" spans="1:5" ht="14.25" customHeight="1">
      <c r="A58" s="42"/>
      <c r="B58" s="46"/>
      <c r="C58" s="46"/>
      <c r="D58" s="46" t="s">
        <v>7179</v>
      </c>
      <c r="E58" s="5"/>
    </row>
    <row r="59" spans="1:5" ht="14.25" customHeight="1">
      <c r="A59" s="42"/>
      <c r="B59" s="46"/>
      <c r="C59" s="46"/>
      <c r="D59" s="46"/>
    </row>
    <row r="60" spans="1:5" ht="14.25" customHeight="1">
      <c r="A60" s="42"/>
      <c r="B60" s="46"/>
      <c r="C60" s="46"/>
      <c r="D60" s="46" t="s">
        <v>7180</v>
      </c>
      <c r="E60" s="5"/>
    </row>
    <row r="61" spans="1:5" ht="14.25" customHeight="1">
      <c r="A61" s="42"/>
      <c r="B61" s="46"/>
      <c r="C61" s="46"/>
      <c r="D61" s="46"/>
      <c r="E61" s="5"/>
    </row>
    <row r="62" spans="1:5" ht="14.25" customHeight="1">
      <c r="A62" s="42"/>
      <c r="B62" s="46"/>
      <c r="C62" s="46"/>
      <c r="D62" s="46" t="s">
        <v>7181</v>
      </c>
      <c r="E62" s="5"/>
    </row>
    <row r="63" spans="1:5" ht="14.25" customHeight="1">
      <c r="A63" s="42"/>
      <c r="B63" s="46"/>
      <c r="C63" s="46"/>
      <c r="D63" s="46"/>
      <c r="E63" s="5"/>
    </row>
    <row r="64" spans="1:5" ht="14.25" customHeight="1">
      <c r="A64" s="42"/>
      <c r="B64" s="46"/>
      <c r="C64" s="46"/>
      <c r="D64" s="46" t="s">
        <v>7182</v>
      </c>
      <c r="E64" s="5"/>
    </row>
    <row r="65" spans="1:5" ht="14.25" customHeight="1">
      <c r="A65" s="42"/>
      <c r="B65" s="46"/>
      <c r="C65" s="46"/>
      <c r="D65" s="46"/>
      <c r="E65" s="5"/>
    </row>
    <row r="66" spans="1:5" ht="14.25" customHeight="1">
      <c r="A66" s="42"/>
      <c r="B66" s="46"/>
      <c r="C66" s="46"/>
      <c r="D66" s="46" t="s">
        <v>7183</v>
      </c>
      <c r="E66" s="5"/>
    </row>
    <row r="67" spans="1:5" ht="14.25" customHeight="1">
      <c r="A67" s="42"/>
      <c r="B67" s="46"/>
      <c r="C67" s="46"/>
      <c r="D67" s="46"/>
      <c r="E67" s="5"/>
    </row>
    <row r="68" spans="1:5" ht="14.25" customHeight="1">
      <c r="A68" s="42"/>
      <c r="B68" s="46"/>
      <c r="C68" s="46"/>
      <c r="D68" s="46" t="s">
        <v>7184</v>
      </c>
      <c r="E68" s="5"/>
    </row>
    <row r="69" spans="1:5" ht="14.25" customHeight="1">
      <c r="A69" s="42"/>
      <c r="B69" s="46"/>
      <c r="C69" s="46"/>
      <c r="D69" s="46"/>
      <c r="E69" s="5"/>
    </row>
    <row r="70" spans="1:5" ht="14.25" customHeight="1">
      <c r="A70" s="42"/>
      <c r="B70" s="46"/>
      <c r="C70" s="46"/>
      <c r="D70" s="46" t="s">
        <v>7185</v>
      </c>
      <c r="E70" s="5"/>
    </row>
    <row r="71" spans="1:5" ht="14.25" customHeight="1">
      <c r="A71" s="42"/>
      <c r="B71" s="46"/>
      <c r="C71" s="46"/>
      <c r="D71" s="46"/>
      <c r="E71" s="5"/>
    </row>
    <row r="72" spans="1:5" ht="14.25" customHeight="1">
      <c r="A72" s="42"/>
      <c r="B72" s="46"/>
      <c r="C72" s="46"/>
      <c r="D72" s="46" t="s">
        <v>7186</v>
      </c>
      <c r="E72" s="5"/>
    </row>
    <row r="73" spans="1:5" ht="14.25" customHeight="1">
      <c r="A73" s="42"/>
      <c r="B73" s="46"/>
      <c r="C73" s="46"/>
      <c r="D73" s="46"/>
      <c r="E73" s="5"/>
    </row>
    <row r="74" spans="1:5" ht="14.25" customHeight="1">
      <c r="A74" s="42"/>
      <c r="B74" s="46"/>
      <c r="C74" s="46"/>
      <c r="D74" s="46" t="s">
        <v>7187</v>
      </c>
      <c r="E74" s="5"/>
    </row>
    <row r="75" spans="1:5" ht="14.25" customHeight="1">
      <c r="A75" s="42"/>
      <c r="B75" s="46"/>
      <c r="C75" s="46"/>
      <c r="D75" s="46"/>
      <c r="E75" s="5"/>
    </row>
    <row r="76" spans="1:5" ht="14.25" customHeight="1">
      <c r="A76" s="42"/>
      <c r="B76" s="46"/>
      <c r="C76" s="46"/>
      <c r="D76" s="46" t="s">
        <v>7188</v>
      </c>
      <c r="E76" s="5"/>
    </row>
    <row r="77" spans="1:5" ht="14.25" customHeight="1">
      <c r="A77" s="42"/>
      <c r="B77" s="46"/>
      <c r="C77" s="46"/>
      <c r="D77" s="46"/>
      <c r="E77" s="5"/>
    </row>
    <row r="78" spans="1:5" ht="14.25" customHeight="1">
      <c r="A78" s="42"/>
      <c r="B78" s="46"/>
      <c r="C78" s="46"/>
      <c r="D78" s="46" t="s">
        <v>7189</v>
      </c>
      <c r="E78" s="5"/>
    </row>
    <row r="79" spans="1:5" ht="14.25" customHeight="1">
      <c r="A79" s="42"/>
      <c r="B79" s="46"/>
      <c r="C79" s="46"/>
      <c r="D79" s="46"/>
      <c r="E79" s="5"/>
    </row>
    <row r="80" spans="1:5" ht="14.25" customHeight="1">
      <c r="A80" s="42"/>
      <c r="B80" s="46"/>
      <c r="C80" s="46"/>
      <c r="D80" s="46" t="s">
        <v>7190</v>
      </c>
      <c r="E80" s="5"/>
    </row>
    <row r="81" spans="1:5" ht="14.25" customHeight="1">
      <c r="A81" s="42"/>
      <c r="B81" s="46"/>
      <c r="C81" s="46"/>
      <c r="D81" s="46"/>
      <c r="E81" s="5"/>
    </row>
    <row r="82" spans="1:5" ht="14.25" customHeight="1">
      <c r="A82" s="42"/>
      <c r="B82" s="46"/>
      <c r="C82" s="46"/>
      <c r="D82" s="46" t="s">
        <v>7191</v>
      </c>
      <c r="E82" s="5"/>
    </row>
    <row r="83" spans="1:5" ht="14.25" customHeight="1">
      <c r="A83" s="42"/>
      <c r="B83" s="46"/>
      <c r="C83" s="46"/>
      <c r="D83" s="46"/>
      <c r="E83" s="5"/>
    </row>
    <row r="84" spans="1:5" ht="14.25" customHeight="1">
      <c r="A84" s="42"/>
      <c r="B84" s="46"/>
      <c r="C84" s="46"/>
      <c r="D84" s="46" t="s">
        <v>7192</v>
      </c>
      <c r="E84" s="5"/>
    </row>
    <row r="85" spans="1:5" ht="14.25" customHeight="1">
      <c r="A85" s="42"/>
      <c r="B85" s="46"/>
      <c r="C85" s="46"/>
      <c r="D85" s="46"/>
      <c r="E85" s="5"/>
    </row>
    <row r="86" spans="1:5" ht="14.25" customHeight="1">
      <c r="A86" s="42"/>
      <c r="B86" s="46"/>
      <c r="C86" s="46"/>
      <c r="D86" s="46" t="s">
        <v>7193</v>
      </c>
      <c r="E86" s="5"/>
    </row>
    <row r="87" spans="1:5" ht="14.25" customHeight="1">
      <c r="A87" s="42"/>
      <c r="B87" s="46"/>
      <c r="C87" s="46"/>
      <c r="D87" s="46"/>
      <c r="E87" s="5"/>
    </row>
    <row r="88" spans="1:5" ht="14.25" customHeight="1">
      <c r="A88" s="42"/>
      <c r="B88" s="46"/>
      <c r="C88" s="46"/>
      <c r="D88" s="46" t="s">
        <v>7194</v>
      </c>
      <c r="E88" s="5"/>
    </row>
    <row r="89" spans="1:5" ht="14.25" customHeight="1">
      <c r="A89" s="42"/>
      <c r="B89" s="46"/>
      <c r="C89" s="46"/>
      <c r="D89" s="46"/>
      <c r="E89" s="5"/>
    </row>
    <row r="90" spans="1:5" ht="14.25" customHeight="1">
      <c r="A90" s="42"/>
      <c r="B90" s="46"/>
      <c r="C90" s="46"/>
      <c r="D90" s="46" t="s">
        <v>7195</v>
      </c>
      <c r="E90" s="5"/>
    </row>
    <row r="91" spans="1:5" ht="14.25" customHeight="1">
      <c r="A91" s="42"/>
      <c r="B91" s="46"/>
      <c r="C91" s="46"/>
      <c r="D91" s="46"/>
      <c r="E91" s="5"/>
    </row>
    <row r="92" spans="1:5" ht="14.25" customHeight="1">
      <c r="A92" s="42"/>
      <c r="B92" s="46"/>
      <c r="C92" s="46"/>
      <c r="D92" s="46" t="s">
        <v>7196</v>
      </c>
      <c r="E92" s="5"/>
    </row>
    <row r="93" spans="1:5" ht="14.25" customHeight="1">
      <c r="A93" s="42"/>
      <c r="B93" s="46"/>
      <c r="C93" s="46"/>
      <c r="D93" s="46"/>
      <c r="E93" s="5"/>
    </row>
    <row r="94" spans="1:5" ht="14.25" customHeight="1">
      <c r="A94" s="42"/>
      <c r="B94" s="46"/>
      <c r="C94" s="46"/>
      <c r="D94" s="46" t="s">
        <v>7197</v>
      </c>
      <c r="E94" s="5"/>
    </row>
    <row r="95" spans="1:5" ht="14.25" customHeight="1">
      <c r="A95" s="42"/>
      <c r="B95" s="46"/>
      <c r="C95" s="46"/>
      <c r="D95" s="46"/>
      <c r="E95" s="5"/>
    </row>
    <row r="96" spans="1:5" ht="14.25" customHeight="1">
      <c r="A96" s="42"/>
      <c r="B96" s="46"/>
      <c r="C96" s="46"/>
      <c r="D96" s="46" t="s">
        <v>7198</v>
      </c>
      <c r="E96" s="5"/>
    </row>
    <row r="97" spans="1:5" ht="14.25" customHeight="1">
      <c r="A97" s="42"/>
      <c r="B97" s="46"/>
      <c r="C97" s="46"/>
      <c r="D97" s="46"/>
      <c r="E97" s="5"/>
    </row>
    <row r="98" spans="1:5" ht="14.25" customHeight="1">
      <c r="A98" s="42"/>
      <c r="B98" s="46"/>
      <c r="C98" s="46"/>
      <c r="D98" s="46" t="s">
        <v>7199</v>
      </c>
      <c r="E98" s="5"/>
    </row>
    <row r="99" spans="1:5" ht="14.25" customHeight="1">
      <c r="A99" s="42"/>
      <c r="B99" s="46"/>
      <c r="C99" s="46"/>
      <c r="D99" s="46"/>
      <c r="E99" s="5"/>
    </row>
    <row r="100" spans="1:5" ht="14.25" customHeight="1">
      <c r="A100" s="42"/>
      <c r="B100" s="46"/>
      <c r="C100" s="46"/>
      <c r="D100" s="46" t="s">
        <v>7200</v>
      </c>
      <c r="E100" s="5"/>
    </row>
  </sheetData>
  <pageMargins left="0.75" right="0.75" top="1" bottom="1"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1" width="51.33203125" customWidth="1"/>
    <col min="2" max="2" width="66" customWidth="1"/>
    <col min="3" max="3" width="20.44140625" customWidth="1"/>
    <col min="4" max="4" width="66" customWidth="1"/>
    <col min="5" max="5" width="56.88671875" customWidth="1"/>
  </cols>
  <sheetData>
    <row r="1" spans="1:5" ht="14.25" customHeight="1">
      <c r="A1" s="12" t="s">
        <v>7201</v>
      </c>
      <c r="E1" s="2"/>
    </row>
    <row r="2" spans="1:5" ht="14.25" customHeight="1">
      <c r="A2" s="41" t="s">
        <v>7202</v>
      </c>
      <c r="B2" s="10" t="s">
        <v>7203</v>
      </c>
      <c r="C2" s="10"/>
      <c r="D2" s="10" t="s">
        <v>7204</v>
      </c>
      <c r="E2" s="5" t="str">
        <f ca="1">IFERROR(__xludf.DUMMYFUNCTION("FILTER(D1:D1004,D1:D1004&lt;&gt; """")"),"Wǒmen zhōuwéi de zìrán zhēnměi.")</f>
        <v>Wǒmen zhōuwéi de zìrán zhēnměi.</v>
      </c>
    </row>
    <row r="3" spans="1:5" ht="14.25" customHeight="1">
      <c r="A3" s="41" t="s">
        <v>7205</v>
      </c>
      <c r="B3" s="10" t="s">
        <v>7206</v>
      </c>
      <c r="C3" s="10"/>
      <c r="D3" s="10"/>
      <c r="E3" s="6" t="str">
        <f ca="1">IFERROR(__xludf.DUMMYFUNCTION("""COMPUTED_VALUE"""),"Wǒ xǐhuān hūxī xīnxiān kōngqì.")</f>
        <v>Wǒ xǐhuān hūxī xīnxiān kōngqì.</v>
      </c>
    </row>
    <row r="4" spans="1:5" ht="14.25" customHeight="1">
      <c r="A4" s="41" t="s">
        <v>7207</v>
      </c>
      <c r="B4" s="10" t="s">
        <v>7208</v>
      </c>
      <c r="C4" s="10"/>
      <c r="D4" s="10" t="s">
        <v>7209</v>
      </c>
      <c r="E4" s="5" t="str">
        <f ca="1">IFERROR(__xludf.DUMMYFUNCTION("""COMPUTED_VALUE"""),"Ràng wǒmen duō zhǒng shù ba!")</f>
        <v>Ràng wǒmen duō zhǒng shù ba!</v>
      </c>
    </row>
    <row r="5" spans="1:5" ht="14.25" customHeight="1">
      <c r="A5" s="41" t="s">
        <v>7210</v>
      </c>
      <c r="B5" s="10" t="s">
        <v>7211</v>
      </c>
      <c r="C5" s="10"/>
      <c r="D5" s="10"/>
      <c r="E5" s="5" t="str">
        <f ca="1">IFERROR(__xludf.DUMMYFUNCTION("""COMPUTED_VALUE"""),"Shùmù wéi wǒmen tígōng hūxī suǒ xū de yǎngqì.")</f>
        <v>Shùmù wéi wǒmen tígōng hūxī suǒ xū de yǎngqì.</v>
      </c>
    </row>
    <row r="6" spans="1:5" ht="14.25" customHeight="1">
      <c r="A6" s="41" t="s">
        <v>7212</v>
      </c>
      <c r="B6" s="10" t="s">
        <v>7213</v>
      </c>
      <c r="C6" s="10"/>
      <c r="D6" s="10" t="s">
        <v>7214</v>
      </c>
      <c r="E6" s="5" t="str">
        <f ca="1">IFERROR(__xludf.DUMMYFUNCTION("""COMPUTED_VALUE"""),"Wǒ xǐhuān zài sēnlín lǐ sànbù.")</f>
        <v>Wǒ xǐhuān zài sēnlín lǐ sànbù.</v>
      </c>
    </row>
    <row r="7" spans="1:5" ht="14.25" customHeight="1">
      <c r="A7" s="41" t="s">
        <v>7215</v>
      </c>
      <c r="B7" s="10" t="s">
        <v>7216</v>
      </c>
      <c r="C7" s="10"/>
      <c r="D7" s="10"/>
      <c r="E7" s="5" t="str">
        <f ca="1">IFERROR(__xludf.DUMMYFUNCTION("""COMPUTED_VALUE"""),"Bùyào suíyì kǎnfá sēnlín.")</f>
        <v>Bùyào suíyì kǎnfá sēnlín.</v>
      </c>
    </row>
    <row r="8" spans="1:5" ht="14.25" customHeight="1">
      <c r="A8" s="41" t="s">
        <v>7217</v>
      </c>
      <c r="B8" s="10" t="s">
        <v>7218</v>
      </c>
      <c r="C8" s="10"/>
      <c r="D8" s="10" t="s">
        <v>7219</v>
      </c>
      <c r="E8" s="5" t="str">
        <f ca="1">IFERROR(__xludf.DUMMYFUNCTION("""COMPUTED_VALUE"""),"Ràng wǒmen bǎohù yěshēng dòngwù.")</f>
        <v>Ràng wǒmen bǎohù yěshēng dòngwù.</v>
      </c>
    </row>
    <row r="9" spans="1:5" ht="14.25" customHeight="1">
      <c r="A9" s="41" t="s">
        <v>7220</v>
      </c>
      <c r="B9" s="10" t="s">
        <v>7221</v>
      </c>
      <c r="C9" s="10"/>
      <c r="D9" s="10"/>
      <c r="E9" s="5" t="str">
        <f ca="1">IFERROR(__xludf.DUMMYFUNCTION("""COMPUTED_VALUE"""),"Wǒ xǐhuān xīnshǎng yùyùcōngcōng de tiányě.")</f>
        <v>Wǒ xǐhuān xīnshǎng yùyùcōngcōng de tiányě.</v>
      </c>
    </row>
    <row r="10" spans="1:5" ht="14.25" customHeight="1">
      <c r="A10" s="41" t="s">
        <v>7222</v>
      </c>
      <c r="B10" s="10" t="s">
        <v>7223</v>
      </c>
      <c r="C10" s="10"/>
      <c r="D10" s="10" t="s">
        <v>7224</v>
      </c>
      <c r="E10" s="5" t="str">
        <f ca="1">IFERROR(__xludf.DUMMYFUNCTION("""COMPUTED_VALUE"""),"Ràng wǒmen bǎohù qīngjié de shuǐyuán.")</f>
        <v>Ràng wǒmen bǎohù qīngjié de shuǐyuán.</v>
      </c>
    </row>
    <row r="11" spans="1:5" ht="14.25" customHeight="1">
      <c r="A11" s="41" t="s">
        <v>7225</v>
      </c>
      <c r="B11" s="10" t="s">
        <v>7226</v>
      </c>
      <c r="C11" s="10"/>
      <c r="D11" s="10"/>
      <c r="E11" s="5" t="str">
        <f ca="1">IFERROR(__xludf.DUMMYFUNCTION("""COMPUTED_VALUE"""),"Bùyào bǎ lèsè rēng jìn héliú hé húbó.")</f>
        <v>Bùyào bǎ lèsè rēng jìn héliú hé húbó.</v>
      </c>
    </row>
    <row r="12" spans="1:5" ht="14.25" customHeight="1">
      <c r="A12" s="41" t="s">
        <v>7227</v>
      </c>
      <c r="B12" s="10" t="s">
        <v>7228</v>
      </c>
      <c r="C12" s="10"/>
      <c r="D12" s="10" t="s">
        <v>7229</v>
      </c>
      <c r="E12" s="6" t="str">
        <f ca="1">IFERROR(__xludf.DUMMYFUNCTION("""COMPUTED_VALUE"""),"Wǒ zài gōngyuán lǐ jiǎn lèsè.")</f>
        <v>Wǒ zài gōngyuán lǐ jiǎn lèsè.</v>
      </c>
    </row>
    <row r="13" spans="1:5" ht="14.25" customHeight="1">
      <c r="A13" s="41" t="s">
        <v>7230</v>
      </c>
      <c r="B13" s="10" t="s">
        <v>7231</v>
      </c>
      <c r="C13" s="10"/>
      <c r="D13" s="10"/>
      <c r="E13" s="6" t="str">
        <f ca="1">IFERROR(__xludf.DUMMYFUNCTION("""COMPUTED_VALUE"""),"Ràng wǒmen zàijiā jìnxíng lèsè fēnlèi.")</f>
        <v>Ràng wǒmen zàijiā jìnxíng lèsè fēnlèi.</v>
      </c>
    </row>
    <row r="14" spans="1:5" ht="14.25" customHeight="1">
      <c r="A14" s="41" t="s">
        <v>3710</v>
      </c>
      <c r="B14" s="10" t="s">
        <v>3711</v>
      </c>
      <c r="C14" s="10"/>
      <c r="D14" s="10" t="s">
        <v>7232</v>
      </c>
      <c r="E14" s="6" t="str">
        <f ca="1">IFERROR(__xludf.DUMMYFUNCTION("""COMPUTED_VALUE"""),"Wǒ yòng bùdài dàitì sùliào dài.")</f>
        <v>Wǒ yòng bùdài dàitì sùliào dài.</v>
      </c>
    </row>
    <row r="15" spans="1:5" ht="14.25" customHeight="1">
      <c r="A15" s="41" t="s">
        <v>7233</v>
      </c>
      <c r="B15" s="10" t="s">
        <v>7234</v>
      </c>
      <c r="C15" s="10"/>
      <c r="D15" s="10"/>
      <c r="E15" s="6" t="str">
        <f ca="1">IFERROR(__xludf.DUMMYFUNCTION("""COMPUTED_VALUE"""),"Jiéyuē yòng diàn jiùshì bǎohù huánjìng.")</f>
        <v>Jiéyuē yòng diàn jiùshì bǎohù huánjìng.</v>
      </c>
    </row>
    <row r="16" spans="1:5" ht="14.25" customHeight="1">
      <c r="A16" s="41" t="s">
        <v>7235</v>
      </c>
      <c r="B16" s="10" t="s">
        <v>3709</v>
      </c>
      <c r="C16" s="10"/>
      <c r="D16" s="10" t="s">
        <v>7236</v>
      </c>
      <c r="E16" s="6" t="str">
        <f ca="1">IFERROR(__xludf.DUMMYFUNCTION("""COMPUTED_VALUE"""),"Bùyòng dēng de shíhòu qǐng suíshǒu guān dēng.")</f>
        <v>Bùyòng dēng de shíhòu qǐng suíshǒu guān dēng.</v>
      </c>
    </row>
    <row r="17" spans="1:5" ht="14.25" customHeight="1">
      <c r="A17" s="41" t="s">
        <v>7237</v>
      </c>
      <c r="B17" s="10" t="s">
        <v>7238</v>
      </c>
      <c r="C17" s="10"/>
      <c r="D17" s="10"/>
      <c r="E17" s="6" t="str">
        <f ca="1">IFERROR(__xludf.DUMMYFUNCTION("""COMPUTED_VALUE"""),"Yānwù hé huīchén huì wūrǎn kōngqì.")</f>
        <v>Yānwù hé huīchén huì wūrǎn kōngqì.</v>
      </c>
    </row>
    <row r="18" spans="1:5" ht="14.25" customHeight="1">
      <c r="A18" s="41" t="s">
        <v>7239</v>
      </c>
      <c r="B18" s="10" t="s">
        <v>7240</v>
      </c>
      <c r="C18" s="10"/>
      <c r="D18" s="10" t="s">
        <v>7241</v>
      </c>
      <c r="E18" s="5" t="str">
        <f ca="1">IFERROR(__xludf.DUMMYFUNCTION("""COMPUTED_VALUE"""),"Wǒ xǐhuān shǐyòng tàiyángnéng.")</f>
        <v>Wǒ xǐhuān shǐyòng tàiyángnéng.</v>
      </c>
    </row>
    <row r="19" spans="1:5" ht="14.25" customHeight="1">
      <c r="A19" s="41" t="s">
        <v>7242</v>
      </c>
      <c r="B19" s="10" t="s">
        <v>7243</v>
      </c>
      <c r="C19" s="10"/>
      <c r="D19" s="10"/>
      <c r="E19" s="4" t="str">
        <f ca="1">IFERROR(__xludf.DUMMYFUNCTION("""COMPUTED_VALUE"""),"Qìhòu biànhuà zhēn lìng rén dānyōu.")</f>
        <v>Qìhòu biànhuà zhēn lìng rén dānyōu.</v>
      </c>
    </row>
    <row r="20" spans="1:5" ht="14.25" customHeight="1">
      <c r="A20" s="41" t="s">
        <v>7244</v>
      </c>
      <c r="B20" s="10" t="s">
        <v>7245</v>
      </c>
      <c r="C20" s="10"/>
      <c r="D20" s="10" t="s">
        <v>7246</v>
      </c>
      <c r="E20" s="5" t="str">
        <f ca="1">IFERROR(__xludf.DUMMYFUNCTION("""COMPUTED_VALUE"""),"Dìqiú zhèngzài biàn nuǎn.")</f>
        <v>Dìqiú zhèngzài biàn nuǎn.</v>
      </c>
    </row>
    <row r="21" spans="1:5" ht="14.25" customHeight="1">
      <c r="A21" s="41" t="s">
        <v>7247</v>
      </c>
      <c r="B21" s="10" t="s">
        <v>7248</v>
      </c>
      <c r="C21" s="10"/>
      <c r="D21" s="10"/>
      <c r="E21" s="6" t="str">
        <f ca="1">IFERROR(__xludf.DUMMYFUNCTION("""COMPUTED_VALUE"""),"Ràng wǒmen yīqǐ zhěngjiù dìqiú!")</f>
        <v>Ràng wǒmen yīqǐ zhěngjiù dìqiú!</v>
      </c>
    </row>
    <row r="22" spans="1:5" ht="14.25" customHeight="1">
      <c r="A22" s="41" t="s">
        <v>7249</v>
      </c>
      <c r="B22" s="10" t="s">
        <v>7250</v>
      </c>
      <c r="C22" s="10"/>
      <c r="D22" s="10" t="s">
        <v>7251</v>
      </c>
      <c r="E22" s="6" t="str">
        <f ca="1">IFERROR(__xludf.DUMMYFUNCTION("""COMPUTED_VALUE"""),"Wǒ xǐhuān xīnshǎng xióngwěi de shānmài.")</f>
        <v>Wǒ xǐhuān xīnshǎng xióngwěi de shānmài.</v>
      </c>
    </row>
    <row r="23" spans="1:5" ht="14.25" customHeight="1">
      <c r="A23" s="41" t="s">
        <v>7252</v>
      </c>
      <c r="B23" s="10" t="s">
        <v>7253</v>
      </c>
      <c r="C23" s="10"/>
      <c r="D23" s="10"/>
      <c r="E23" s="6" t="str">
        <f ca="1">IFERROR(__xludf.DUMMYFUNCTION("""COMPUTED_VALUE"""),"Pùbù de jǐngsè lìng rén xīnkuàngshényí.")</f>
        <v>Pùbù de jǐngsè lìng rén xīnkuàngshényí.</v>
      </c>
    </row>
    <row r="24" spans="1:5" ht="14.25" customHeight="1">
      <c r="A24" s="41" t="s">
        <v>7254</v>
      </c>
      <c r="B24" s="10" t="s">
        <v>7255</v>
      </c>
      <c r="C24" s="10"/>
      <c r="D24" s="10" t="s">
        <v>7256</v>
      </c>
      <c r="E24" s="6" t="str">
        <f ca="1">IFERROR(__xludf.DUMMYFUNCTION("""COMPUTED_VALUE"""),"Ràng wǒmen bǎohù hǎiyáng zhōng de shānhújiāo.")</f>
        <v>Ràng wǒmen bǎohù hǎiyáng zhōng de shānhújiāo.</v>
      </c>
    </row>
    <row r="25" spans="1:5" ht="14.25" customHeight="1">
      <c r="A25" s="41" t="s">
        <v>7257</v>
      </c>
      <c r="B25" s="10" t="s">
        <v>7258</v>
      </c>
      <c r="C25" s="10"/>
      <c r="D25" s="10"/>
      <c r="E25" s="6" t="str">
        <f ca="1">IFERROR(__xludf.DUMMYFUNCTION("""COMPUTED_VALUE"""),"Wǒ cóng bùzài huāyuán lǐ zhāihuā.")</f>
        <v>Wǒ cóng bùzài huāyuán lǐ zhāihuā.</v>
      </c>
    </row>
    <row r="26" spans="1:5" ht="14.25" customHeight="1">
      <c r="A26" s="41" t="s">
        <v>7259</v>
      </c>
      <c r="B26" s="10" t="s">
        <v>7260</v>
      </c>
      <c r="C26" s="10"/>
      <c r="D26" s="10" t="s">
        <v>3732</v>
      </c>
      <c r="E26" s="6" t="str">
        <f ca="1">IFERROR(__xludf.DUMMYFUNCTION("""COMPUTED_VALUE"""),"Ràng huāduǒ zài zhī tóu zhànfàng ba.")</f>
        <v>Ràng huāduǒ zài zhī tóu zhànfàng ba.</v>
      </c>
    </row>
    <row r="27" spans="1:5" ht="14.25" customHeight="1">
      <c r="A27" s="41" t="s">
        <v>7261</v>
      </c>
      <c r="B27" s="10" t="s">
        <v>7262</v>
      </c>
      <c r="C27" s="10"/>
      <c r="D27" s="10"/>
      <c r="E27" s="6" t="str">
        <f ca="1">IFERROR(__xludf.DUMMYFUNCTION("""COMPUTED_VALUE"""),"Wǒ xǐhuān tīng niǎo er míngjiào.")</f>
        <v>Wǒ xǐhuān tīng niǎo er míngjiào.</v>
      </c>
    </row>
    <row r="28" spans="1:5" ht="14.25" customHeight="1">
      <c r="A28" s="41" t="s">
        <v>7263</v>
      </c>
      <c r="B28" s="10" t="s">
        <v>7264</v>
      </c>
      <c r="C28" s="10"/>
      <c r="D28" s="10" t="s">
        <v>7265</v>
      </c>
      <c r="E28" s="6" t="str">
        <f ca="1">IFERROR(__xludf.DUMMYFUNCTION("""COMPUTED_VALUE"""),"Zhèlǐ de tǔdì fēicháng féiwò.")</f>
        <v>Zhèlǐ de tǔdì fēicháng féiwò.</v>
      </c>
    </row>
    <row r="29" spans="1:5" ht="14.25" customHeight="1">
      <c r="A29" s="41" t="s">
        <v>7266</v>
      </c>
      <c r="B29" s="10" t="s">
        <v>7267</v>
      </c>
      <c r="C29" s="10"/>
      <c r="D29" s="10"/>
      <c r="E29" s="37" t="str">
        <f ca="1">IFERROR(__xludf.DUMMYFUNCTION("""COMPUTED_VALUE"""),"Ràng wǒmen jiǎnshǎo yīcì xìng sùliào de shǐyòng.")</f>
        <v>Ràng wǒmen jiǎnshǎo yīcì xìng sùliào de shǐyòng.</v>
      </c>
    </row>
    <row r="30" spans="1:5" ht="14.25" customHeight="1">
      <c r="A30" s="41" t="s">
        <v>7268</v>
      </c>
      <c r="B30" s="10" t="s">
        <v>7269</v>
      </c>
      <c r="C30" s="10"/>
      <c r="D30" s="10" t="s">
        <v>7270</v>
      </c>
      <c r="E30" s="6" t="str">
        <f ca="1">IFERROR(__xludf.DUMMYFUNCTION("""COMPUTED_VALUE"""),"Wǒ xǐhuān huíshōu jiù sùliào píng.")</f>
        <v>Wǒ xǐhuān huíshōu jiù sùliào píng.</v>
      </c>
    </row>
    <row r="31" spans="1:5" ht="14.25" customHeight="1">
      <c r="A31" s="41" t="s">
        <v>7271</v>
      </c>
      <c r="B31" s="10" t="s">
        <v>7272</v>
      </c>
      <c r="C31" s="10"/>
      <c r="D31" s="10"/>
      <c r="E31" s="4" t="str">
        <f ca="1">IFERROR(__xludf.DUMMYFUNCTION("""COMPUTED_VALUE"""),"Wǒ yòng sùliào píng zuò huā pén.")</f>
        <v>Wǒ yòng sùliào píng zuò huā pén.</v>
      </c>
    </row>
    <row r="32" spans="1:5" ht="14.25" customHeight="1">
      <c r="A32" s="41" t="s">
        <v>7273</v>
      </c>
      <c r="B32" s="10" t="s">
        <v>7274</v>
      </c>
      <c r="C32" s="10"/>
      <c r="D32" s="10" t="s">
        <v>7275</v>
      </c>
      <c r="E32" s="4" t="str">
        <f ca="1">IFERROR(__xludf.DUMMYFUNCTION("""COMPUTED_VALUE"""),"Qīngjié de huánjìng yìwèizhe wǒmen jiànkāng.")</f>
        <v>Qīngjié de huánjìng yìwèizhe wǒmen jiànkāng.</v>
      </c>
    </row>
    <row r="33" spans="1:5" ht="14.25" customHeight="1">
      <c r="A33" s="41" t="s">
        <v>7276</v>
      </c>
      <c r="B33" s="10" t="s">
        <v>7277</v>
      </c>
      <c r="C33" s="10"/>
      <c r="D33" s="10"/>
      <c r="E33" s="4" t="str">
        <f ca="1">IFERROR(__xludf.DUMMYFUNCTION("""COMPUTED_VALUE"""),"Ràng wǒmen yīqǐ cānyù dìqiú rì ba.")</f>
        <v>Ràng wǒmen yīqǐ cānyù dìqiú rì ba.</v>
      </c>
    </row>
    <row r="34" spans="1:5" ht="14.25" customHeight="1">
      <c r="A34" s="41" t="s">
        <v>7278</v>
      </c>
      <c r="B34" s="10" t="s">
        <v>7279</v>
      </c>
      <c r="C34" s="10"/>
      <c r="D34" s="10" t="s">
        <v>7280</v>
      </c>
      <c r="E34" s="4" t="str">
        <f ca="1">IFERROR(__xludf.DUMMYFUNCTION("""COMPUTED_VALUE"""),"Wǒ xǐhuān yùyùcōngcōng de cǎopíng.")</f>
        <v>Wǒ xǐhuān yùyùcōngcōng de cǎopíng.</v>
      </c>
    </row>
    <row r="35" spans="1:5" ht="14.25" customHeight="1">
      <c r="A35" s="41" t="s">
        <v>7281</v>
      </c>
      <c r="B35" s="10" t="s">
        <v>7282</v>
      </c>
      <c r="C35" s="10"/>
      <c r="D35" s="10"/>
      <c r="E35" s="8" t="str">
        <f ca="1">IFERROR(__xludf.DUMMYFUNCTION("""COMPUTED_VALUE"""),"Yángguāng duì jiànkāng fēicháng yǒuyì.")</f>
        <v>Yángguāng duì jiànkāng fēicháng yǒuyì.</v>
      </c>
    </row>
    <row r="36" spans="1:5" ht="14.25" customHeight="1">
      <c r="A36" s="41" t="s">
        <v>7283</v>
      </c>
      <c r="B36" s="10" t="s">
        <v>7284</v>
      </c>
      <c r="C36" s="10"/>
      <c r="D36" s="10" t="s">
        <v>7285</v>
      </c>
      <c r="E36" s="5" t="str">
        <f ca="1">IFERROR(__xludf.DUMMYFUNCTION("""COMPUTED_VALUE"""),"Wǒ xǐhuān zài níngjìng de yèwǎn guān xīng.")</f>
        <v>Wǒ xǐhuān zài níngjìng de yèwǎn guān xīng.</v>
      </c>
    </row>
    <row r="37" spans="1:5" ht="14.25" customHeight="1">
      <c r="A37" s="41" t="s">
        <v>7286</v>
      </c>
      <c r="B37" s="10" t="s">
        <v>7287</v>
      </c>
      <c r="C37" s="10"/>
      <c r="D37" s="10"/>
      <c r="E37" s="8" t="str">
        <f ca="1">IFERROR(__xludf.DUMMYFUNCTION("""COMPUTED_VALUE"""),"Háizǐ, bùyào làngfèi zhǐzhāng.")</f>
        <v>Háizǐ, bùyào làngfèi zhǐzhāng.</v>
      </c>
    </row>
    <row r="38" spans="1:5" ht="14.25" customHeight="1">
      <c r="A38" s="41" t="s">
        <v>7288</v>
      </c>
      <c r="B38" s="10" t="s">
        <v>7289</v>
      </c>
      <c r="C38" s="10"/>
      <c r="D38" s="10" t="s">
        <v>7290</v>
      </c>
      <c r="E38" s="5" t="str">
        <f ca="1">IFERROR(__xludf.DUMMYFUNCTION("""COMPUTED_VALUE"""),"Zhǐzhāng shì yòng shùmù zhì chéng de.")</f>
        <v>Zhǐzhāng shì yòng shùmù zhì chéng de.</v>
      </c>
    </row>
    <row r="39" spans="1:5" ht="14.25" customHeight="1">
      <c r="A39" s="41" t="s">
        <v>7291</v>
      </c>
      <c r="B39" s="10" t="s">
        <v>7292</v>
      </c>
      <c r="C39" s="10"/>
      <c r="D39" s="10"/>
      <c r="E39" s="6" t="str">
        <f ca="1">IFERROR(__xludf.DUMMYFUNCTION("""COMPUTED_VALUE"""),"Zhǐzhāng yào shuāng miàn shǐyòng.")</f>
        <v>Zhǐzhāng yào shuāng miàn shǐyòng.</v>
      </c>
    </row>
    <row r="40" spans="1:5" ht="14.25" customHeight="1">
      <c r="A40" s="41" t="s">
        <v>7293</v>
      </c>
      <c r="B40" s="10" t="s">
        <v>7294</v>
      </c>
      <c r="C40" s="10"/>
      <c r="D40" s="10" t="s">
        <v>7295</v>
      </c>
      <c r="E40" s="6" t="str">
        <f ca="1">IFERROR(__xludf.DUMMYFUNCTION("""COMPUTED_VALUE"""),"Wǒ xiǎng jiārù huánbǎo jùlèbù.")</f>
        <v>Wǒ xiǎng jiārù huánbǎo jùlèbù.</v>
      </c>
    </row>
    <row r="41" spans="1:5" ht="14.25" customHeight="1">
      <c r="A41" s="41" t="s">
        <v>7296</v>
      </c>
      <c r="B41" s="10" t="s">
        <v>7297</v>
      </c>
      <c r="C41" s="10"/>
      <c r="D41" s="10"/>
      <c r="E41" s="5" t="str">
        <f ca="1">IFERROR(__xludf.DUMMYFUNCTION("""COMPUTED_VALUE"""),"Wǒ huì xiàng wǒ de péngyǒumen xuānchuán huánbǎo yìshí.")</f>
        <v>Wǒ huì xiàng wǒ de péngyǒumen xuānchuán huánbǎo yìshí.</v>
      </c>
    </row>
    <row r="42" spans="1:5" ht="14.25" customHeight="1">
      <c r="A42" s="41" t="s">
        <v>7298</v>
      </c>
      <c r="B42" s="10" t="s">
        <v>7299</v>
      </c>
      <c r="C42" s="10"/>
      <c r="D42" s="10" t="s">
        <v>7300</v>
      </c>
      <c r="E42" s="4" t="str">
        <f ca="1">IFERROR(__xludf.DUMMYFUNCTION("""COMPUTED_VALUE"""),"Wǒmen shì dà zìrán de yībùfèn.")</f>
        <v>Wǒmen shì dà zìrán de yībùfèn.</v>
      </c>
    </row>
    <row r="43" spans="1:5" ht="14.25" customHeight="1">
      <c r="A43" s="41" t="s">
        <v>7301</v>
      </c>
      <c r="B43" s="10" t="s">
        <v>7302</v>
      </c>
      <c r="C43" s="10"/>
      <c r="D43" s="10"/>
      <c r="E43" s="5" t="str">
        <f ca="1">IFERROR(__xludf.DUMMYFUNCTION("""COMPUTED_VALUE"""),"Ràng wǒmen yǔ zìrán héxié gòngchǔ.")</f>
        <v>Ràng wǒmen yǔ zìrán héxié gòngchǔ.</v>
      </c>
    </row>
    <row r="44" spans="1:5" ht="14.25" customHeight="1">
      <c r="A44" s="41" t="s">
        <v>7303</v>
      </c>
      <c r="B44" s="10" t="s">
        <v>7304</v>
      </c>
      <c r="C44" s="10"/>
      <c r="D44" s="10" t="s">
        <v>7305</v>
      </c>
      <c r="E44" s="4" t="str">
        <f ca="1">IFERROR(__xludf.DUMMYFUNCTION("""COMPUTED_VALUE"""),"Wǒ xǐhuān cóng shù shàng zhāi chéngshú de guǒshí.")</f>
        <v>Wǒ xǐhuān cóng shù shàng zhāi chéngshú de guǒshí.</v>
      </c>
    </row>
    <row r="45" spans="1:5" ht="14.25" customHeight="1">
      <c r="A45" s="41" t="s">
        <v>7306</v>
      </c>
      <c r="B45" s="10" t="s">
        <v>7307</v>
      </c>
      <c r="C45" s="10"/>
      <c r="D45" s="10"/>
      <c r="E45" s="5" t="str">
        <f ca="1">IFERROR(__xludf.DUMMYFUNCTION("""COMPUTED_VALUE"""),"Chūntiān, shùmù zhǎng chū xīn yè.")</f>
        <v>Chūntiān, shùmù zhǎng chū xīn yè.</v>
      </c>
    </row>
    <row r="46" spans="1:5" ht="14.25" customHeight="1">
      <c r="A46" s="41" t="s">
        <v>7308</v>
      </c>
      <c r="B46" s="10" t="s">
        <v>7309</v>
      </c>
      <c r="C46" s="10"/>
      <c r="D46" s="10" t="s">
        <v>7310</v>
      </c>
      <c r="E46" s="4" t="str">
        <f ca="1">IFERROR(__xludf.DUMMYFUNCTION("""COMPUTED_VALUE"""),"Qiūtiān, jīnsè de shùyè piāoluò, měibùshèngshōu.")</f>
        <v>Qiūtiān, jīnsè de shùyè piāoluò, měibùshèngshōu.</v>
      </c>
    </row>
    <row r="47" spans="1:5" ht="14.25" customHeight="1">
      <c r="A47" s="41" t="s">
        <v>7311</v>
      </c>
      <c r="B47" s="10" t="s">
        <v>7312</v>
      </c>
      <c r="C47" s="10"/>
      <c r="D47" s="10"/>
      <c r="E47" s="4" t="str">
        <f ca="1">IFERROR(__xludf.DUMMYFUNCTION("""COMPUTED_VALUE"""),"Ràng wǒmen zhēnxī měi yīdī yǔshuǐ.")</f>
        <v>Ràng wǒmen zhēnxī měi yīdī yǔshuǐ.</v>
      </c>
    </row>
    <row r="48" spans="1:5" ht="14.25" customHeight="1">
      <c r="A48" s="41" t="s">
        <v>7313</v>
      </c>
      <c r="B48" s="10" t="s">
        <v>7314</v>
      </c>
      <c r="C48" s="10"/>
      <c r="D48" s="10" t="s">
        <v>7315</v>
      </c>
      <c r="E48" s="4" t="str">
        <f ca="1">IFERROR(__xludf.DUMMYFUNCTION("""COMPUTED_VALUE"""),"Shuǐ shì suǒyǒu shēngwù de shēngmìng zhī yuán.")</f>
        <v>Shuǐ shì suǒyǒu shēngwù de shēngmìng zhī yuán.</v>
      </c>
    </row>
    <row r="49" spans="1:5" ht="14.25" customHeight="1">
      <c r="A49" s="41" t="s">
        <v>7316</v>
      </c>
      <c r="B49" s="10" t="s">
        <v>7317</v>
      </c>
      <c r="C49" s="10"/>
      <c r="D49" s="10"/>
      <c r="E49" s="5" t="str">
        <f ca="1">IFERROR(__xludf.DUMMYFUNCTION("""COMPUTED_VALUE"""),"Wǒ jiāng yǒngyuǎn bǎohù huánjìng.")</f>
        <v>Wǒ jiāng yǒngyuǎn bǎohù huánjìng.</v>
      </c>
    </row>
    <row r="50" spans="1:5" ht="14.25" customHeight="1">
      <c r="A50" s="41" t="s">
        <v>7318</v>
      </c>
      <c r="B50" s="10" t="s">
        <v>7319</v>
      </c>
      <c r="C50" s="10"/>
      <c r="D50" s="10" t="s">
        <v>7320</v>
      </c>
      <c r="E50" s="6" t="str">
        <f ca="1">IFERROR(__xludf.DUMMYFUNCTION("""COMPUTED_VALUE"""),"Wǒ kěwàng kàn dào yīgè lǜsè jiéjìng de shìjiè.")</f>
        <v>Wǒ kěwàng kàn dào yīgè lǜsè jiéjìng de shìjiè.</v>
      </c>
    </row>
    <row r="51" spans="1:5" ht="14.25" customHeight="1">
      <c r="A51" s="41" t="s">
        <v>7321</v>
      </c>
      <c r="B51" s="10" t="s">
        <v>7322</v>
      </c>
      <c r="C51" s="10"/>
      <c r="D51" s="10"/>
      <c r="E51" s="6" t="str">
        <f ca="1">IFERROR(__xludf.DUMMYFUNCTION("""COMPUTED_VALUE"""),"Gǎnxiè dà zìrán cìyǔ wǒmen shēngmìng!")</f>
        <v>Gǎnxiè dà zìrán cìyǔ wǒmen shēngmìng!</v>
      </c>
    </row>
    <row r="52" spans="1:5" ht="14.25" customHeight="1">
      <c r="A52" s="42"/>
      <c r="B52" s="10"/>
      <c r="C52" s="10"/>
      <c r="D52" s="10" t="s">
        <v>7323</v>
      </c>
    </row>
    <row r="53" spans="1:5" ht="14.25" customHeight="1">
      <c r="A53" s="42"/>
      <c r="B53" s="10"/>
      <c r="C53" s="10"/>
      <c r="D53" s="10"/>
      <c r="E53" s="5"/>
    </row>
    <row r="54" spans="1:5" ht="14.25" customHeight="1">
      <c r="A54" s="42"/>
      <c r="B54" s="10"/>
      <c r="C54" s="10"/>
      <c r="D54" s="10" t="s">
        <v>7324</v>
      </c>
      <c r="E54" s="5"/>
    </row>
    <row r="55" spans="1:5" ht="14.25" customHeight="1">
      <c r="A55" s="42"/>
      <c r="B55" s="10"/>
      <c r="C55" s="10"/>
      <c r="D55" s="10"/>
      <c r="E55" s="5"/>
    </row>
    <row r="56" spans="1:5" ht="14.25" customHeight="1">
      <c r="A56" s="42"/>
      <c r="B56" s="10"/>
      <c r="C56" s="10"/>
      <c r="D56" s="10" t="s">
        <v>7325</v>
      </c>
      <c r="E56" s="5"/>
    </row>
    <row r="57" spans="1:5" ht="14.25" customHeight="1">
      <c r="A57" s="42"/>
      <c r="B57" s="10"/>
      <c r="C57" s="10"/>
      <c r="D57" s="10"/>
      <c r="E57" s="5"/>
    </row>
    <row r="58" spans="1:5" ht="14.25" customHeight="1">
      <c r="A58" s="42"/>
      <c r="B58" s="10"/>
      <c r="C58" s="10"/>
      <c r="D58" s="10" t="s">
        <v>7326</v>
      </c>
      <c r="E58" s="5"/>
    </row>
    <row r="59" spans="1:5" ht="14.25" customHeight="1">
      <c r="A59" s="42"/>
      <c r="B59" s="10"/>
      <c r="C59" s="10"/>
      <c r="D59" s="10"/>
    </row>
    <row r="60" spans="1:5" ht="14.25" customHeight="1">
      <c r="A60" s="42"/>
      <c r="B60" s="10"/>
      <c r="C60" s="10"/>
      <c r="D60" s="10" t="s">
        <v>7327</v>
      </c>
      <c r="E60" s="5"/>
    </row>
    <row r="61" spans="1:5" ht="14.25" customHeight="1">
      <c r="A61" s="42"/>
      <c r="B61" s="10"/>
      <c r="C61" s="10"/>
      <c r="D61" s="10"/>
      <c r="E61" s="5"/>
    </row>
    <row r="62" spans="1:5" ht="14.25" customHeight="1">
      <c r="A62" s="42"/>
      <c r="B62" s="10"/>
      <c r="C62" s="10"/>
      <c r="D62" s="10" t="s">
        <v>7328</v>
      </c>
      <c r="E62" s="5"/>
    </row>
    <row r="63" spans="1:5" ht="14.25" customHeight="1">
      <c r="A63" s="42"/>
      <c r="B63" s="10"/>
      <c r="C63" s="10"/>
      <c r="D63" s="10"/>
      <c r="E63" s="5"/>
    </row>
    <row r="64" spans="1:5" ht="14.25" customHeight="1">
      <c r="A64" s="42"/>
      <c r="B64" s="10"/>
      <c r="C64" s="10"/>
      <c r="D64" s="10" t="s">
        <v>7329</v>
      </c>
      <c r="E64" s="5"/>
    </row>
    <row r="65" spans="1:5" ht="14.25" customHeight="1">
      <c r="A65" s="42"/>
      <c r="B65" s="10"/>
      <c r="C65" s="10"/>
      <c r="D65" s="10"/>
      <c r="E65" s="5"/>
    </row>
    <row r="66" spans="1:5" ht="14.25" customHeight="1">
      <c r="A66" s="42"/>
      <c r="B66" s="10"/>
      <c r="C66" s="10"/>
      <c r="D66" s="10" t="s">
        <v>7330</v>
      </c>
      <c r="E66" s="5"/>
    </row>
    <row r="67" spans="1:5" ht="14.25" customHeight="1">
      <c r="A67" s="42"/>
      <c r="B67" s="10"/>
      <c r="C67" s="10"/>
      <c r="D67" s="10"/>
      <c r="E67" s="5"/>
    </row>
    <row r="68" spans="1:5" ht="14.25" customHeight="1">
      <c r="A68" s="42"/>
      <c r="B68" s="10"/>
      <c r="C68" s="10"/>
      <c r="D68" s="10" t="s">
        <v>7331</v>
      </c>
      <c r="E68" s="5"/>
    </row>
    <row r="69" spans="1:5" ht="14.25" customHeight="1">
      <c r="A69" s="42"/>
      <c r="B69" s="10"/>
      <c r="C69" s="10"/>
      <c r="D69" s="10"/>
      <c r="E69" s="5"/>
    </row>
    <row r="70" spans="1:5" ht="14.25" customHeight="1">
      <c r="A70" s="42"/>
      <c r="B70" s="10"/>
      <c r="C70" s="10"/>
      <c r="D70" s="10" t="s">
        <v>7332</v>
      </c>
      <c r="E70" s="5"/>
    </row>
    <row r="71" spans="1:5" ht="14.25" customHeight="1">
      <c r="A71" s="42"/>
      <c r="B71" s="10"/>
      <c r="C71" s="10"/>
      <c r="D71" s="10"/>
      <c r="E71" s="5"/>
    </row>
    <row r="72" spans="1:5" ht="14.25" customHeight="1">
      <c r="A72" s="42"/>
      <c r="B72" s="10"/>
      <c r="C72" s="10"/>
      <c r="D72" s="10" t="s">
        <v>7333</v>
      </c>
      <c r="E72" s="5"/>
    </row>
    <row r="73" spans="1:5" ht="14.25" customHeight="1">
      <c r="A73" s="42"/>
      <c r="B73" s="10"/>
      <c r="C73" s="10"/>
      <c r="D73" s="10"/>
      <c r="E73" s="5"/>
    </row>
    <row r="74" spans="1:5" ht="14.25" customHeight="1">
      <c r="A74" s="42"/>
      <c r="B74" s="10"/>
      <c r="C74" s="10"/>
      <c r="D74" s="10" t="s">
        <v>7334</v>
      </c>
      <c r="E74" s="5"/>
    </row>
    <row r="75" spans="1:5" ht="14.25" customHeight="1">
      <c r="A75" s="42"/>
      <c r="B75" s="10"/>
      <c r="C75" s="10"/>
      <c r="D75" s="10"/>
      <c r="E75" s="5"/>
    </row>
    <row r="76" spans="1:5" ht="14.25" customHeight="1">
      <c r="A76" s="42"/>
      <c r="B76" s="10"/>
      <c r="C76" s="10"/>
      <c r="D76" s="10" t="s">
        <v>7335</v>
      </c>
      <c r="E76" s="5"/>
    </row>
    <row r="77" spans="1:5" ht="14.25" customHeight="1">
      <c r="A77" s="42"/>
      <c r="B77" s="10"/>
      <c r="C77" s="10"/>
      <c r="D77" s="10"/>
      <c r="E77" s="5"/>
    </row>
    <row r="78" spans="1:5" ht="14.25" customHeight="1">
      <c r="A78" s="42"/>
      <c r="B78" s="10"/>
      <c r="C78" s="10"/>
      <c r="D78" s="10" t="s">
        <v>7336</v>
      </c>
      <c r="E78" s="5"/>
    </row>
    <row r="79" spans="1:5" ht="14.25" customHeight="1">
      <c r="A79" s="42"/>
      <c r="B79" s="10"/>
      <c r="C79" s="10"/>
      <c r="D79" s="10"/>
      <c r="E79" s="5"/>
    </row>
    <row r="80" spans="1:5" ht="14.25" customHeight="1">
      <c r="A80" s="42"/>
      <c r="B80" s="10"/>
      <c r="C80" s="10"/>
      <c r="D80" s="10" t="s">
        <v>7337</v>
      </c>
      <c r="E80" s="5"/>
    </row>
    <row r="81" spans="1:5" ht="14.25" customHeight="1">
      <c r="A81" s="42"/>
      <c r="B81" s="10"/>
      <c r="C81" s="10"/>
      <c r="D81" s="10"/>
      <c r="E81" s="5"/>
    </row>
    <row r="82" spans="1:5" ht="14.25" customHeight="1">
      <c r="A82" s="42"/>
      <c r="B82" s="10"/>
      <c r="C82" s="10"/>
      <c r="D82" s="10" t="s">
        <v>7338</v>
      </c>
      <c r="E82" s="5"/>
    </row>
    <row r="83" spans="1:5" ht="14.25" customHeight="1">
      <c r="A83" s="42"/>
      <c r="B83" s="10"/>
      <c r="C83" s="10"/>
      <c r="D83" s="10"/>
      <c r="E83" s="5"/>
    </row>
    <row r="84" spans="1:5" ht="14.25" customHeight="1">
      <c r="A84" s="42"/>
      <c r="B84" s="10"/>
      <c r="C84" s="10"/>
      <c r="D84" s="10" t="s">
        <v>7339</v>
      </c>
      <c r="E84" s="5"/>
    </row>
    <row r="85" spans="1:5" ht="14.25" customHeight="1">
      <c r="A85" s="42"/>
      <c r="B85" s="10"/>
      <c r="C85" s="10"/>
      <c r="D85" s="10"/>
      <c r="E85" s="5"/>
    </row>
    <row r="86" spans="1:5" ht="14.25" customHeight="1">
      <c r="A86" s="42"/>
      <c r="B86" s="10"/>
      <c r="C86" s="10"/>
      <c r="D86" s="10" t="s">
        <v>7340</v>
      </c>
      <c r="E86" s="5"/>
    </row>
    <row r="87" spans="1:5" ht="14.25" customHeight="1">
      <c r="A87" s="42"/>
      <c r="B87" s="10"/>
      <c r="C87" s="10"/>
      <c r="D87" s="10"/>
      <c r="E87" s="5"/>
    </row>
    <row r="88" spans="1:5" ht="14.25" customHeight="1">
      <c r="A88" s="42"/>
      <c r="B88" s="10"/>
      <c r="C88" s="10"/>
      <c r="D88" s="10" t="s">
        <v>7341</v>
      </c>
      <c r="E88" s="5"/>
    </row>
    <row r="89" spans="1:5" ht="14.25" customHeight="1">
      <c r="A89" s="42"/>
      <c r="B89" s="10"/>
      <c r="C89" s="10"/>
      <c r="D89" s="10"/>
      <c r="E89" s="5"/>
    </row>
    <row r="90" spans="1:5" ht="14.25" customHeight="1">
      <c r="A90" s="42"/>
      <c r="B90" s="10"/>
      <c r="C90" s="10"/>
      <c r="D90" s="10" t="s">
        <v>7342</v>
      </c>
      <c r="E90" s="5"/>
    </row>
    <row r="91" spans="1:5" ht="14.25" customHeight="1">
      <c r="A91" s="42"/>
      <c r="B91" s="10"/>
      <c r="C91" s="10"/>
      <c r="D91" s="10"/>
      <c r="E91" s="5"/>
    </row>
    <row r="92" spans="1:5" ht="14.25" customHeight="1">
      <c r="A92" s="42"/>
      <c r="B92" s="10"/>
      <c r="C92" s="10"/>
      <c r="D92" s="10" t="s">
        <v>7343</v>
      </c>
      <c r="E92" s="5"/>
    </row>
    <row r="93" spans="1:5" ht="14.25" customHeight="1">
      <c r="A93" s="42"/>
      <c r="B93" s="10"/>
      <c r="C93" s="10"/>
      <c r="D93" s="10"/>
      <c r="E93" s="5"/>
    </row>
    <row r="94" spans="1:5" ht="14.25" customHeight="1">
      <c r="A94" s="42"/>
      <c r="B94" s="10"/>
      <c r="C94" s="10"/>
      <c r="D94" s="10" t="s">
        <v>7344</v>
      </c>
      <c r="E94" s="5"/>
    </row>
    <row r="95" spans="1:5" ht="14.25" customHeight="1">
      <c r="A95" s="42"/>
      <c r="B95" s="10"/>
      <c r="C95" s="10"/>
      <c r="D95" s="10"/>
      <c r="E95" s="5"/>
    </row>
    <row r="96" spans="1:5" ht="14.25" customHeight="1">
      <c r="A96" s="42"/>
      <c r="B96" s="10"/>
      <c r="C96" s="10"/>
      <c r="D96" s="10" t="s">
        <v>7345</v>
      </c>
      <c r="E96" s="5"/>
    </row>
    <row r="97" spans="1:5" ht="14.25" customHeight="1">
      <c r="A97" s="42"/>
      <c r="B97" s="10"/>
      <c r="C97" s="10"/>
      <c r="D97" s="10"/>
      <c r="E97" s="5"/>
    </row>
    <row r="98" spans="1:5" ht="14.25" customHeight="1">
      <c r="A98" s="42"/>
      <c r="B98" s="10"/>
      <c r="C98" s="10"/>
      <c r="D98" s="10" t="s">
        <v>7346</v>
      </c>
      <c r="E98" s="5"/>
    </row>
    <row r="99" spans="1:5" ht="14.25" customHeight="1">
      <c r="A99" s="42"/>
      <c r="B99" s="10"/>
      <c r="C99" s="10"/>
      <c r="D99" s="10"/>
      <c r="E99" s="5"/>
    </row>
    <row r="100" spans="1:5" ht="14.25" customHeight="1">
      <c r="A100" s="42"/>
      <c r="B100" s="10"/>
      <c r="C100" s="10"/>
      <c r="D100" s="10" t="s">
        <v>7347</v>
      </c>
      <c r="E100" s="5"/>
    </row>
  </sheetData>
  <pageMargins left="0.75" right="0.75" top="1" bottom="1"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workbookViewId="0"/>
  </sheetViews>
  <sheetFormatPr defaultColWidth="14.44140625" defaultRowHeight="15" customHeight="1"/>
  <cols>
    <col min="1" max="1" width="47.44140625" customWidth="1"/>
    <col min="2" max="2" width="58.5546875" customWidth="1"/>
    <col min="3" max="3" width="21.44140625" customWidth="1"/>
    <col min="4" max="4" width="58.5546875" customWidth="1"/>
    <col min="5" max="5" width="56.88671875" customWidth="1"/>
  </cols>
  <sheetData>
    <row r="1" spans="1:5" ht="14.25" customHeight="1">
      <c r="A1" s="12" t="s">
        <v>7348</v>
      </c>
      <c r="E1" s="2"/>
    </row>
    <row r="2" spans="1:5" ht="14.25" customHeight="1">
      <c r="A2" s="41" t="s">
        <v>7349</v>
      </c>
      <c r="B2" s="10" t="s">
        <v>7350</v>
      </c>
      <c r="C2" s="10"/>
      <c r="D2" s="10" t="s">
        <v>7351</v>
      </c>
      <c r="E2" s="5" t="str">
        <f ca="1">IFERROR(__xludf.DUMMYFUNCTION("FILTER(D1:D1004,D1:D1004&lt;&gt; """")"),"Wǒ zhēn de hěn xǐhuān kēxué.")</f>
        <v>Wǒ zhēn de hěn xǐhuān kēxué.</v>
      </c>
    </row>
    <row r="3" spans="1:5" ht="14.25" customHeight="1">
      <c r="A3" s="41" t="s">
        <v>7352</v>
      </c>
      <c r="B3" s="10" t="s">
        <v>7353</v>
      </c>
      <c r="C3" s="10"/>
      <c r="D3" s="10"/>
      <c r="E3" s="6" t="str">
        <f ca="1">IFERROR(__xludf.DUMMYFUNCTION("""COMPUTED_VALUE"""),"Kēxué bāngzhù wǒmen liǎojiě shìjiè.")</f>
        <v>Kēxué bāngzhù wǒmen liǎojiě shìjiè.</v>
      </c>
    </row>
    <row r="4" spans="1:5" ht="14.25" customHeight="1">
      <c r="A4" s="41" t="s">
        <v>7354</v>
      </c>
      <c r="B4" s="10" t="s">
        <v>7355</v>
      </c>
      <c r="C4" s="10"/>
      <c r="D4" s="10" t="s">
        <v>7356</v>
      </c>
      <c r="E4" s="5" t="str">
        <f ca="1">IFERROR(__xludf.DUMMYFUNCTION("""COMPUTED_VALUE"""),"Wèishéme píngguǒ huì diào dào dìshàng?")</f>
        <v>Wèishéme píngguǒ huì diào dào dìshàng?</v>
      </c>
    </row>
    <row r="5" spans="1:5" ht="14.25" customHeight="1">
      <c r="A5" s="41" t="s">
        <v>7357</v>
      </c>
      <c r="B5" s="10" t="s">
        <v>7358</v>
      </c>
      <c r="C5" s="10"/>
      <c r="D5" s="10"/>
      <c r="E5" s="5" t="str">
        <f ca="1">IFERROR(__xludf.DUMMYFUNCTION("""COMPUTED_VALUE"""),"Zhè shì yīnwèi dìqiú yǐnlì de zuòyòng.")</f>
        <v>Zhè shì yīnwèi dìqiú yǐnlì de zuòyòng.</v>
      </c>
    </row>
    <row r="6" spans="1:5" ht="14.25" customHeight="1">
      <c r="A6" s="41" t="s">
        <v>7359</v>
      </c>
      <c r="B6" s="10" t="s">
        <v>7360</v>
      </c>
      <c r="C6" s="10"/>
      <c r="D6" s="10" t="s">
        <v>7361</v>
      </c>
      <c r="E6" s="5" t="str">
        <f ca="1">IFERROR(__xludf.DUMMYFUNCTION("""COMPUTED_VALUE"""),"Wǒ xiǎng zuò yīgè xiǎo shíyàn.")</f>
        <v>Wǒ xiǎng zuò yīgè xiǎo shíyàn.</v>
      </c>
    </row>
    <row r="7" spans="1:5" ht="14.25" customHeight="1">
      <c r="A7" s="41" t="s">
        <v>7362</v>
      </c>
      <c r="B7" s="10" t="s">
        <v>7363</v>
      </c>
      <c r="C7" s="10"/>
      <c r="D7" s="10"/>
      <c r="E7" s="5" t="str">
        <f ca="1">IFERROR(__xludf.DUMMYFUNCTION("""COMPUTED_VALUE"""),"Wǒ xūyào yīgè shìguǎn.")</f>
        <v>Wǒ xūyào yīgè shìguǎn.</v>
      </c>
    </row>
    <row r="8" spans="1:5" ht="14.25" customHeight="1">
      <c r="A8" s="41" t="s">
        <v>7364</v>
      </c>
      <c r="B8" s="10" t="s">
        <v>7365</v>
      </c>
      <c r="C8" s="10"/>
      <c r="D8" s="10" t="s">
        <v>7366</v>
      </c>
      <c r="E8" s="5" t="str">
        <f ca="1">IFERROR(__xludf.DUMMYFUNCTION("""COMPUTED_VALUE"""),"Wǒ zhèngzài yòng xiǎnwéijìng guānchá.")</f>
        <v>Wǒ zhèngzài yòng xiǎnwéijìng guānchá.</v>
      </c>
    </row>
    <row r="9" spans="1:5" ht="14.25" customHeight="1">
      <c r="A9" s="41" t="s">
        <v>7367</v>
      </c>
      <c r="B9" s="10" t="s">
        <v>7368</v>
      </c>
      <c r="C9" s="10"/>
      <c r="D9" s="10"/>
      <c r="E9" s="5" t="str">
        <f ca="1">IFERROR(__xludf.DUMMYFUNCTION("""COMPUTED_VALUE"""),"Wéixiǎo de xìjùn.")</f>
        <v>Wéixiǎo de xìjùn.</v>
      </c>
    </row>
    <row r="10" spans="1:5" ht="14.25" customHeight="1">
      <c r="A10" s="41" t="s">
        <v>7369</v>
      </c>
      <c r="B10" s="10" t="s">
        <v>7370</v>
      </c>
      <c r="C10" s="10"/>
      <c r="D10" s="10" t="s">
        <v>7371</v>
      </c>
      <c r="E10" s="5" t="str">
        <f ca="1">IFERROR(__xludf.DUMMYFUNCTION("""COMPUTED_VALUE"""),"Wǒ xiǎng zhīdào cítiě shì rúhé gōngzuò de.")</f>
        <v>Wǒ xiǎng zhīdào cítiě shì rúhé gōngzuò de.</v>
      </c>
    </row>
    <row r="11" spans="1:5" ht="14.25" customHeight="1">
      <c r="A11" s="41" t="s">
        <v>7372</v>
      </c>
      <c r="B11" s="10" t="s">
        <v>7373</v>
      </c>
      <c r="C11" s="10"/>
      <c r="D11" s="10"/>
      <c r="E11" s="5" t="str">
        <f ca="1">IFERROR(__xludf.DUMMYFUNCTION("""COMPUTED_VALUE"""),"Tóng jí xiāng chì.")</f>
        <v>Tóng jí xiāng chì.</v>
      </c>
    </row>
    <row r="12" spans="1:5" ht="14.25" customHeight="1">
      <c r="A12" s="41" t="s">
        <v>7374</v>
      </c>
      <c r="B12" s="10" t="s">
        <v>7375</v>
      </c>
      <c r="C12" s="10"/>
      <c r="D12" s="10" t="s">
        <v>7376</v>
      </c>
      <c r="E12" s="6" t="str">
        <f ca="1">IFERROR(__xludf.DUMMYFUNCTION("""COMPUTED_VALUE"""),"Yì jí xiāng xī.")</f>
        <v>Yì jí xiāng xī.</v>
      </c>
    </row>
    <row r="13" spans="1:5" ht="14.25" customHeight="1">
      <c r="A13" s="41" t="s">
        <v>7377</v>
      </c>
      <c r="B13" s="10" t="s">
        <v>7378</v>
      </c>
      <c r="C13" s="10"/>
      <c r="D13" s="10"/>
      <c r="E13" s="6" t="str">
        <f ca="1">IFERROR(__xludf.DUMMYFUNCTION("""COMPUTED_VALUE"""),"Wǒ zhèngzài yánjiū zhíwù.")</f>
        <v>Wǒ zhèngzài yánjiū zhíwù.</v>
      </c>
    </row>
    <row r="14" spans="1:5" ht="14.25" customHeight="1">
      <c r="A14" s="41" t="s">
        <v>7379</v>
      </c>
      <c r="B14" s="10" t="s">
        <v>7380</v>
      </c>
      <c r="C14" s="10"/>
      <c r="D14" s="10" t="s">
        <v>7381</v>
      </c>
      <c r="E14" s="6" t="str">
        <f ca="1">IFERROR(__xludf.DUMMYFUNCTION("""COMPUTED_VALUE"""),"Zhíwù xūyào yángguāng jìnxíng guānghé zuòyòng.")</f>
        <v>Zhíwù xūyào yángguāng jìnxíng guānghé zuòyòng.</v>
      </c>
    </row>
    <row r="15" spans="1:5" ht="14.25" customHeight="1">
      <c r="A15" s="41" t="s">
        <v>7382</v>
      </c>
      <c r="B15" s="10" t="s">
        <v>7383</v>
      </c>
      <c r="C15" s="10"/>
      <c r="D15" s="10"/>
      <c r="E15" s="6" t="str">
        <f ca="1">IFERROR(__xludf.DUMMYFUNCTION("""COMPUTED_VALUE"""),"Shuǐ zài 100 shèshìdù fèiténg.")</f>
        <v>Shuǐ zài 100 shèshìdù fèiténg.</v>
      </c>
    </row>
    <row r="16" spans="1:5" ht="14.25" customHeight="1">
      <c r="A16" s="41" t="s">
        <v>7384</v>
      </c>
      <c r="B16" s="10" t="s">
        <v>7385</v>
      </c>
      <c r="C16" s="10"/>
      <c r="D16" s="10" t="s">
        <v>7386</v>
      </c>
      <c r="E16" s="6" t="str">
        <f ca="1">IFERROR(__xludf.DUMMYFUNCTION("""COMPUTED_VALUE"""),"Wǒ xiǎng yòng xiǎo sūdǎ zuò yīgè huǒshān móxíng.")</f>
        <v>Wǒ xiǎng yòng xiǎo sūdǎ zuò yīgè huǒshān móxíng.</v>
      </c>
    </row>
    <row r="17" spans="1:5" ht="14.25" customHeight="1">
      <c r="A17" s="41" t="s">
        <v>7387</v>
      </c>
      <c r="B17" s="10" t="s">
        <v>7388</v>
      </c>
      <c r="C17" s="10"/>
      <c r="D17" s="10"/>
      <c r="E17" s="6" t="str">
        <f ca="1">IFERROR(__xludf.DUMMYFUNCTION("""COMPUTED_VALUE"""),"Kàn,“róngyán” pēnfāle!")</f>
        <v>Kàn,“róngyán” pēnfāle!</v>
      </c>
    </row>
    <row r="18" spans="1:5" ht="14.25" customHeight="1">
      <c r="A18" s="41" t="s">
        <v>7389</v>
      </c>
      <c r="B18" s="10" t="s">
        <v>7390</v>
      </c>
      <c r="C18" s="10"/>
      <c r="D18" s="10" t="s">
        <v>7391</v>
      </c>
      <c r="E18" s="5" t="str">
        <f ca="1">IFERROR(__xludf.DUMMYFUNCTION("""COMPUTED_VALUE"""),"Guāngsù bǐ yīnsù kuài.")</f>
        <v>Guāngsù bǐ yīnsù kuài.</v>
      </c>
    </row>
    <row r="19" spans="1:5" ht="14.25" customHeight="1">
      <c r="A19" s="41" t="s">
        <v>7392</v>
      </c>
      <c r="B19" s="10" t="s">
        <v>7393</v>
      </c>
      <c r="C19" s="10"/>
      <c r="D19" s="10"/>
      <c r="E19" s="4" t="str">
        <f ca="1">IFERROR(__xludf.DUMMYFUNCTION("""COMPUTED_VALUE"""),"Zhè jiùshì wèishéme wǒmen xiān kàn dào shǎndiàn, ránhòu cái tīng dào léi shēng.")</f>
        <v>Zhè jiùshì wèishéme wǒmen xiān kàn dào shǎndiàn, ránhòu cái tīng dào léi shēng.</v>
      </c>
    </row>
    <row r="20" spans="1:5" ht="14.25" customHeight="1">
      <c r="A20" s="41" t="s">
        <v>7394</v>
      </c>
      <c r="B20" s="10" t="s">
        <v>7395</v>
      </c>
      <c r="C20" s="10"/>
      <c r="D20" s="10" t="s">
        <v>7396</v>
      </c>
      <c r="E20" s="5" t="str">
        <f ca="1">IFERROR(__xludf.DUMMYFUNCTION("""COMPUTED_VALUE"""),"Wǒ xiǎng liǎojiě réntǐ gǔgé xìtǒng.")</f>
        <v>Wǒ xiǎng liǎojiě réntǐ gǔgé xìtǒng.</v>
      </c>
    </row>
    <row r="21" spans="1:5" ht="14.25" customHeight="1">
      <c r="A21" s="41" t="s">
        <v>7397</v>
      </c>
      <c r="B21" s="10" t="s">
        <v>7398</v>
      </c>
      <c r="C21" s="10"/>
      <c r="D21" s="10"/>
      <c r="E21" s="6" t="str">
        <f ca="1">IFERROR(__xludf.DUMMYFUNCTION("""COMPUTED_VALUE"""),"Wǒmen shēntǐ yǒu duōshǎo kuài gǔtou?")</f>
        <v>Wǒmen shēntǐ yǒu duōshǎo kuài gǔtou?</v>
      </c>
    </row>
    <row r="22" spans="1:5" ht="14.25" customHeight="1">
      <c r="A22" s="41" t="s">
        <v>7399</v>
      </c>
      <c r="B22" s="10" t="s">
        <v>7400</v>
      </c>
      <c r="C22" s="10"/>
      <c r="D22" s="10" t="s">
        <v>7401</v>
      </c>
      <c r="E22" s="6" t="str">
        <f ca="1">IFERROR(__xludf.DUMMYFUNCTION("""COMPUTED_VALUE"""),"Xīnzàng jiù xiàng yīgè bèng.")</f>
        <v>Xīnzàng jiù xiàng yīgè bèng.</v>
      </c>
    </row>
    <row r="23" spans="1:5" ht="14.25" customHeight="1">
      <c r="A23" s="41" t="s">
        <v>7402</v>
      </c>
      <c r="B23" s="10" t="s">
        <v>7403</v>
      </c>
      <c r="C23" s="10"/>
      <c r="D23" s="10"/>
      <c r="E23" s="6" t="str">
        <f ca="1">IFERROR(__xludf.DUMMYFUNCTION("""COMPUTED_VALUE"""),"Tā bǎ xiěyè bèng sòng dào quánshēn.")</f>
        <v>Tā bǎ xiěyè bèng sòng dào quánshēn.</v>
      </c>
    </row>
    <row r="24" spans="1:5" ht="14.25" customHeight="1">
      <c r="A24" s="41" t="s">
        <v>7404</v>
      </c>
      <c r="B24" s="10" t="s">
        <v>7405</v>
      </c>
      <c r="C24" s="10"/>
      <c r="D24" s="10" t="s">
        <v>7406</v>
      </c>
      <c r="E24" s="6" t="str">
        <f ca="1">IFERROR(__xludf.DUMMYFUNCTION("""COMPUTED_VALUE"""),"Wǒ xiǎng zào yīgè jīqìrén.")</f>
        <v>Wǒ xiǎng zào yīgè jīqìrén.</v>
      </c>
    </row>
    <row r="25" spans="1:5" ht="14.25" customHeight="1">
      <c r="A25" s="41" t="s">
        <v>7407</v>
      </c>
      <c r="B25" s="10" t="s">
        <v>4349</v>
      </c>
      <c r="C25" s="10"/>
      <c r="D25" s="10"/>
      <c r="E25" s="6" t="str">
        <f ca="1">IFERROR(__xludf.DUMMYFUNCTION("""COMPUTED_VALUE"""),"Jīqìrén kěyǐ bāng wǒ zuò jiāwù.")</f>
        <v>Jīqìrén kěyǐ bāng wǒ zuò jiāwù.</v>
      </c>
    </row>
    <row r="26" spans="1:5" ht="14.25" customHeight="1">
      <c r="A26" s="41" t="s">
        <v>7408</v>
      </c>
      <c r="B26" s="10" t="s">
        <v>7409</v>
      </c>
      <c r="C26" s="10"/>
      <c r="D26" s="10" t="s">
        <v>7410</v>
      </c>
      <c r="E26" s="6" t="str">
        <f ca="1">IFERROR(__xludf.DUMMYFUNCTION("""COMPUTED_VALUE"""),"Wǒ xǐhuān xuéxí huàxué yuánsù.")</f>
        <v>Wǒ xǐhuān xuéxí huàxué yuánsù.</v>
      </c>
    </row>
    <row r="27" spans="1:5" ht="14.25" customHeight="1">
      <c r="A27" s="41" t="s">
        <v>7411</v>
      </c>
      <c r="B27" s="10" t="s">
        <v>7412</v>
      </c>
      <c r="C27" s="10"/>
      <c r="D27" s="10"/>
      <c r="E27" s="6" t="str">
        <f ca="1">IFERROR(__xludf.DUMMYFUNCTION("""COMPUTED_VALUE"""),"Yǎngqì shì ránshāo de bìyào tiáojiàn.")</f>
        <v>Yǎngqì shì ránshāo de bìyào tiáojiàn.</v>
      </c>
    </row>
    <row r="28" spans="1:5" ht="14.25" customHeight="1">
      <c r="A28" s="41" t="s">
        <v>7413</v>
      </c>
      <c r="B28" s="10" t="s">
        <v>7414</v>
      </c>
      <c r="C28" s="10"/>
      <c r="D28" s="10" t="s">
        <v>7415</v>
      </c>
      <c r="E28" s="6" t="str">
        <f ca="1">IFERROR(__xludf.DUMMYFUNCTION("""COMPUTED_VALUE"""),"Bùyào wán huǒ, tā hěn wéixiǎn.")</f>
        <v>Bùyào wán huǒ, tā hěn wéixiǎn.</v>
      </c>
    </row>
    <row r="29" spans="1:5" ht="14.25" customHeight="1">
      <c r="A29" s="41" t="s">
        <v>7416</v>
      </c>
      <c r="B29" s="10" t="s">
        <v>7417</v>
      </c>
      <c r="C29" s="10"/>
      <c r="D29" s="10"/>
      <c r="E29" s="37" t="str">
        <f ca="1">IFERROR(__xludf.DUMMYFUNCTION("""COMPUTED_VALUE"""),"Wǒ xiǎng tànsuǒ xīn de tǔdì.")</f>
        <v>Wǒ xiǎng tànsuǒ xīn de tǔdì.</v>
      </c>
    </row>
    <row r="30" spans="1:5" ht="14.25" customHeight="1">
      <c r="A30" s="41" t="s">
        <v>7418</v>
      </c>
      <c r="B30" s="10" t="s">
        <v>7419</v>
      </c>
      <c r="C30" s="10"/>
      <c r="D30" s="10" t="s">
        <v>7420</v>
      </c>
      <c r="E30" s="6" t="str">
        <f ca="1">IFERROR(__xludf.DUMMYFUNCTION("""COMPUTED_VALUE"""),"Wǒ huì yòng zhǐnánzhēn lái biànbié fāngxiàng.")</f>
        <v>Wǒ huì yòng zhǐnánzhēn lái biànbié fāngxiàng.</v>
      </c>
    </row>
    <row r="31" spans="1:5" ht="14.25" customHeight="1">
      <c r="A31" s="41" t="s">
        <v>7421</v>
      </c>
      <c r="B31" s="10" t="s">
        <v>7422</v>
      </c>
      <c r="C31" s="10"/>
      <c r="D31" s="10"/>
      <c r="E31" s="4" t="str">
        <f ca="1">IFERROR(__xludf.DUMMYFUNCTION("""COMPUTED_VALUE"""),"Zhǐnánzhēn de zhǐzhēn zǒng shì zhǐxiàng běifāng.")</f>
        <v>Zhǐnánzhēn de zhǐzhēn zǒng shì zhǐxiàng běifāng.</v>
      </c>
    </row>
    <row r="32" spans="1:5" ht="14.25" customHeight="1">
      <c r="A32" s="41" t="s">
        <v>7423</v>
      </c>
      <c r="B32" s="10" t="s">
        <v>7424</v>
      </c>
      <c r="C32" s="10"/>
      <c r="D32" s="10" t="s">
        <v>7425</v>
      </c>
      <c r="E32" s="4" t="str">
        <f ca="1">IFERROR(__xludf.DUMMYFUNCTION("""COMPUTED_VALUE"""),"Wǒ xiǎng zhīdào wèishéme hǎishuǐ shì xián de.")</f>
        <v>Wǒ xiǎng zhīdào wèishéme hǎishuǐ shì xián de.</v>
      </c>
    </row>
    <row r="33" spans="1:5" ht="14.25" customHeight="1">
      <c r="A33" s="41" t="s">
        <v>7426</v>
      </c>
      <c r="B33" s="10" t="s">
        <v>7427</v>
      </c>
      <c r="C33" s="10"/>
      <c r="D33" s="10"/>
      <c r="E33" s="4" t="str">
        <f ca="1">IFERROR(__xludf.DUMMYFUNCTION("""COMPUTED_VALUE"""),"Yīnwèi hǎishuǐ zhōng hányǒu dàliàng de yán.")</f>
        <v>Yīnwèi hǎishuǐ zhōng hányǒu dàliàng de yán.</v>
      </c>
    </row>
    <row r="34" spans="1:5" ht="14.25" customHeight="1">
      <c r="A34" s="41" t="s">
        <v>7428</v>
      </c>
      <c r="B34" s="10" t="s">
        <v>7429</v>
      </c>
      <c r="C34" s="10"/>
      <c r="D34" s="10" t="s">
        <v>7430</v>
      </c>
      <c r="E34" s="4" t="str">
        <f ca="1">IFERROR(__xludf.DUMMYFUNCTION("""COMPUTED_VALUE"""),"Wǒ zhèngzài zhìzuò wànhuātǒng.")</f>
        <v>Wǒ zhèngzài zhìzuò wànhuātǒng.</v>
      </c>
    </row>
    <row r="35" spans="1:5" ht="14.25" customHeight="1">
      <c r="A35" s="41" t="s">
        <v>7431</v>
      </c>
      <c r="B35" s="10" t="s">
        <v>7432</v>
      </c>
      <c r="C35" s="10"/>
      <c r="D35" s="10"/>
      <c r="E35" s="8" t="str">
        <f ca="1">IFERROR(__xludf.DUMMYFUNCTION("""COMPUTED_VALUE"""),"Lǐmiàn de yánsè zhēn shénqí.")</f>
        <v>Lǐmiàn de yánsè zhēn shénqí.</v>
      </c>
    </row>
    <row r="36" spans="1:5" ht="14.25" customHeight="1">
      <c r="A36" s="41" t="s">
        <v>7433</v>
      </c>
      <c r="B36" s="10" t="s">
        <v>7434</v>
      </c>
      <c r="C36" s="10"/>
      <c r="D36" s="10" t="s">
        <v>7435</v>
      </c>
      <c r="E36" s="5" t="str">
        <f ca="1">IFERROR(__xludf.DUMMYFUNCTION("""COMPUTED_VALUE"""),"Wǒ xiǎng fēi dào yuèqiú shàng.")</f>
        <v>Wǒ xiǎng fēi dào yuèqiú shàng.</v>
      </c>
    </row>
    <row r="37" spans="1:5" ht="14.25" customHeight="1">
      <c r="A37" s="41" t="s">
        <v>7436</v>
      </c>
      <c r="B37" s="10" t="s">
        <v>6437</v>
      </c>
      <c r="C37" s="10"/>
      <c r="D37" s="10"/>
      <c r="E37" s="8" t="str">
        <f ca="1">IFERROR(__xludf.DUMMYFUNCTION("""COMPUTED_VALUE"""),"Yuèqiú shàng de zhònglì hěn ruò.")</f>
        <v>Yuèqiú shàng de zhònglì hěn ruò.</v>
      </c>
    </row>
    <row r="38" spans="1:5" ht="14.25" customHeight="1">
      <c r="A38" s="41" t="s">
        <v>7437</v>
      </c>
      <c r="B38" s="10" t="s">
        <v>6440</v>
      </c>
      <c r="C38" s="10"/>
      <c r="D38" s="10" t="s">
        <v>7438</v>
      </c>
      <c r="E38" s="5" t="str">
        <f ca="1">IFERROR(__xludf.DUMMYFUNCTION("""COMPUTED_VALUE"""),"Zài nàlǐ wǒ kěyǐ tiào dé hěn gāo.")</f>
        <v>Zài nàlǐ wǒ kěyǐ tiào dé hěn gāo.</v>
      </c>
    </row>
    <row r="39" spans="1:5" ht="14.25" customHeight="1">
      <c r="A39" s="41" t="s">
        <v>7439</v>
      </c>
      <c r="B39" s="10" t="s">
        <v>7440</v>
      </c>
      <c r="C39" s="10"/>
      <c r="D39" s="10"/>
      <c r="E39" s="6" t="str">
        <f ca="1">IFERROR(__xludf.DUMMYFUNCTION("""COMPUTED_VALUE"""),"Wǒ xǐhuān kàn tàikōng diànyǐng.")</f>
        <v>Wǒ xǐhuān kàn tàikōng diànyǐng.</v>
      </c>
    </row>
    <row r="40" spans="1:5" ht="14.25" customHeight="1">
      <c r="A40" s="41" t="s">
        <v>7441</v>
      </c>
      <c r="B40" s="10" t="s">
        <v>7442</v>
      </c>
      <c r="C40" s="10"/>
      <c r="D40" s="10" t="s">
        <v>7443</v>
      </c>
      <c r="E40" s="6" t="str">
        <f ca="1">IFERROR(__xludf.DUMMYFUNCTION("""COMPUTED_VALUE"""),"Kēxué zhēn yǒuqù!")</f>
        <v>Kēxué zhēn yǒuqù!</v>
      </c>
    </row>
    <row r="41" spans="1:5" ht="14.25" customHeight="1">
      <c r="A41" s="41" t="s">
        <v>7444</v>
      </c>
      <c r="B41" s="10" t="s">
        <v>7445</v>
      </c>
      <c r="C41" s="10"/>
      <c r="D41" s="10"/>
      <c r="E41" s="5" t="str">
        <f ca="1">IFERROR(__xludf.DUMMYFUNCTION("""COMPUTED_VALUE"""),"Wǒ jiānglái xiǎng chéngwéi yī míng kēxuéjiā.")</f>
        <v>Wǒ jiānglái xiǎng chéngwéi yī míng kēxuéjiā.</v>
      </c>
    </row>
    <row r="42" spans="1:5" ht="14.25" customHeight="1">
      <c r="A42" s="41" t="s">
        <v>7446</v>
      </c>
      <c r="B42" s="10" t="s">
        <v>7447</v>
      </c>
      <c r="C42" s="10"/>
      <c r="D42" s="10" t="s">
        <v>7448</v>
      </c>
      <c r="E42" s="4" t="str">
        <f ca="1">IFERROR(__xludf.DUMMYFUNCTION("""COMPUTED_VALUE"""),"Wǒ xiǎng jiě kāi mítuán.")</f>
        <v>Wǒ xiǎng jiě kāi mítuán.</v>
      </c>
    </row>
    <row r="43" spans="1:5" ht="14.25" customHeight="1">
      <c r="A43" s="41" t="s">
        <v>7449</v>
      </c>
      <c r="B43" s="10" t="s">
        <v>7450</v>
      </c>
      <c r="C43" s="10"/>
      <c r="D43" s="10"/>
      <c r="E43" s="5" t="str">
        <f ca="1">IFERROR(__xludf.DUMMYFUNCTION("""COMPUTED_VALUE"""),"Hàoqí xīn yǐnlǐng wǒmen fāxiàn.")</f>
        <v>Hàoqí xīn yǐnlǐng wǒmen fāxiàn.</v>
      </c>
    </row>
    <row r="44" spans="1:5" ht="14.25" customHeight="1">
      <c r="A44" s="41" t="s">
        <v>7451</v>
      </c>
      <c r="B44" s="10" t="s">
        <v>7452</v>
      </c>
      <c r="C44" s="10"/>
      <c r="D44" s="10" t="s">
        <v>7453</v>
      </c>
      <c r="E44" s="4" t="str">
        <f ca="1">IFERROR(__xludf.DUMMYFUNCTION("""COMPUTED_VALUE"""),"Wǒ zǒng shì wèn “wèishéme?”.")</f>
        <v>Wǒ zǒng shì wèn “wèishéme?”.</v>
      </c>
    </row>
    <row r="45" spans="1:5" ht="14.25" customHeight="1">
      <c r="A45" s="41" t="s">
        <v>7454</v>
      </c>
      <c r="B45" s="10" t="s">
        <v>7455</v>
      </c>
      <c r="C45" s="10"/>
      <c r="D45" s="10"/>
      <c r="E45" s="5" t="str">
        <f ca="1">IFERROR(__xludf.DUMMYFUNCTION("""COMPUTED_VALUE"""),"Wǒ xǐhuān yuèdú bǎikē quánshū.")</f>
        <v>Wǒ xǐhuān yuèdú bǎikē quánshū.</v>
      </c>
    </row>
    <row r="46" spans="1:5" ht="14.25" customHeight="1">
      <c r="A46" s="41" t="s">
        <v>7456</v>
      </c>
      <c r="B46" s="10" t="s">
        <v>7457</v>
      </c>
      <c r="C46" s="10"/>
      <c r="D46" s="10" t="s">
        <v>7458</v>
      </c>
      <c r="E46" s="4" t="str">
        <f ca="1">IFERROR(__xludf.DUMMYFUNCTION("""COMPUTED_VALUE"""),"Zhīshì shì wúqióng wújìn de.")</f>
        <v>Zhīshì shì wúqióng wújìn de.</v>
      </c>
    </row>
    <row r="47" spans="1:5" ht="14.25" customHeight="1">
      <c r="A47" s="41" t="s">
        <v>7459</v>
      </c>
      <c r="B47" s="10" t="s">
        <v>7460</v>
      </c>
      <c r="C47" s="10"/>
      <c r="D47" s="10"/>
      <c r="E47" s="4" t="str">
        <f ca="1">IFERROR(__xludf.DUMMYFUNCTION("""COMPUTED_VALUE"""),"Wǒ yǒngyuǎn bù huì tíngzhǐ xuéxí.")</f>
        <v>Wǒ yǒngyuǎn bù huì tíngzhǐ xuéxí.</v>
      </c>
    </row>
    <row r="48" spans="1:5" ht="14.25" customHeight="1">
      <c r="A48" s="41" t="s">
        <v>7461</v>
      </c>
      <c r="B48" s="10" t="s">
        <v>7462</v>
      </c>
      <c r="C48" s="10"/>
      <c r="D48" s="10" t="s">
        <v>7463</v>
      </c>
      <c r="E48" s="4" t="str">
        <f ca="1">IFERROR(__xludf.DUMMYFUNCTION("""COMPUTED_VALUE"""),"Zhège shìjiè chōngmǎnle měihǎo de shìwù.")</f>
        <v>Zhège shìjiè chōngmǎnle měihǎo de shìwù.</v>
      </c>
    </row>
    <row r="49" spans="1:5" ht="14.25" customHeight="1">
      <c r="A49" s="41" t="s">
        <v>7464</v>
      </c>
      <c r="B49" s="10" t="s">
        <v>7465</v>
      </c>
      <c r="C49" s="10"/>
      <c r="D49" s="10"/>
      <c r="E49" s="5" t="str">
        <f ca="1">IFERROR(__xludf.DUMMYFUNCTION("""COMPUTED_VALUE"""),"Wǒ xiǎng fāmíng yī zhǒng zhìliáo jíbìng de fāngfǎ.")</f>
        <v>Wǒ xiǎng fāmíng yī zhǒng zhìliáo jíbìng de fāngfǎ.</v>
      </c>
    </row>
    <row r="50" spans="1:5" ht="14.25" customHeight="1">
      <c r="A50" s="41" t="s">
        <v>7466</v>
      </c>
      <c r="B50" s="10" t="s">
        <v>7467</v>
      </c>
      <c r="C50" s="10"/>
      <c r="D50" s="10" t="s">
        <v>7468</v>
      </c>
      <c r="E50" s="6" t="str">
        <f ca="1">IFERROR(__xludf.DUMMYFUNCTION("""COMPUTED_VALUE"""),"Kēxué ràng shēnghuó gèng měihǎo.")</f>
        <v>Kēxué ràng shēnghuó gèng měihǎo.</v>
      </c>
    </row>
    <row r="51" spans="1:5" ht="14.25" customHeight="1">
      <c r="A51" s="41" t="s">
        <v>7469</v>
      </c>
      <c r="B51" s="10" t="s">
        <v>7470</v>
      </c>
      <c r="C51" s="10"/>
      <c r="D51" s="10"/>
      <c r="E51" s="6" t="str">
        <f ca="1">IFERROR(__xludf.DUMMYFUNCTION("""COMPUTED_VALUE"""),"Wǒ tài ài kēxuéle!")</f>
        <v>Wǒ tài ài kēxuéle!</v>
      </c>
    </row>
    <row r="52" spans="1:5" ht="14.25" customHeight="1">
      <c r="A52" s="42"/>
      <c r="B52" s="10"/>
      <c r="C52" s="10"/>
      <c r="D52" s="10" t="s">
        <v>7471</v>
      </c>
    </row>
    <row r="53" spans="1:5" ht="14.25" customHeight="1">
      <c r="A53" s="42"/>
      <c r="B53" s="10"/>
      <c r="C53" s="10"/>
      <c r="D53" s="10"/>
      <c r="E53" s="5"/>
    </row>
    <row r="54" spans="1:5" ht="14.25" customHeight="1">
      <c r="A54" s="42"/>
      <c r="B54" s="10"/>
      <c r="C54" s="10"/>
      <c r="D54" s="10" t="s">
        <v>7472</v>
      </c>
      <c r="E54" s="5"/>
    </row>
    <row r="55" spans="1:5" ht="14.25" customHeight="1">
      <c r="A55" s="42"/>
      <c r="B55" s="10"/>
      <c r="C55" s="10"/>
      <c r="D55" s="10"/>
      <c r="E55" s="5"/>
    </row>
    <row r="56" spans="1:5" ht="14.25" customHeight="1">
      <c r="A56" s="42"/>
      <c r="B56" s="10"/>
      <c r="C56" s="10"/>
      <c r="D56" s="10" t="s">
        <v>7473</v>
      </c>
      <c r="E56" s="5"/>
    </row>
    <row r="57" spans="1:5" ht="14.25" customHeight="1">
      <c r="A57" s="42"/>
      <c r="B57" s="10"/>
      <c r="C57" s="10"/>
      <c r="D57" s="10"/>
      <c r="E57" s="5"/>
    </row>
    <row r="58" spans="1:5" ht="14.25" customHeight="1">
      <c r="A58" s="42"/>
      <c r="B58" s="10"/>
      <c r="C58" s="10"/>
      <c r="D58" s="10" t="s">
        <v>7474</v>
      </c>
      <c r="E58" s="5"/>
    </row>
    <row r="59" spans="1:5" ht="14.25" customHeight="1">
      <c r="A59" s="42"/>
      <c r="B59" s="10"/>
      <c r="C59" s="10"/>
      <c r="D59" s="10"/>
    </row>
    <row r="60" spans="1:5" ht="14.25" customHeight="1">
      <c r="A60" s="42"/>
      <c r="B60" s="10"/>
      <c r="C60" s="10"/>
      <c r="D60" s="10" t="s">
        <v>7475</v>
      </c>
      <c r="E60" s="5"/>
    </row>
    <row r="61" spans="1:5" ht="14.25" customHeight="1">
      <c r="A61" s="42"/>
      <c r="B61" s="10"/>
      <c r="C61" s="10"/>
      <c r="D61" s="10"/>
      <c r="E61" s="5"/>
    </row>
    <row r="62" spans="1:5" ht="14.25" customHeight="1">
      <c r="A62" s="42"/>
      <c r="B62" s="10"/>
      <c r="C62" s="10"/>
      <c r="D62" s="10" t="s">
        <v>7476</v>
      </c>
      <c r="E62" s="5"/>
    </row>
    <row r="63" spans="1:5" ht="14.25" customHeight="1">
      <c r="A63" s="42"/>
      <c r="B63" s="10"/>
      <c r="C63" s="10"/>
      <c r="D63" s="10"/>
      <c r="E63" s="5"/>
    </row>
    <row r="64" spans="1:5" ht="14.25" customHeight="1">
      <c r="A64" s="42"/>
      <c r="B64" s="10"/>
      <c r="C64" s="10"/>
      <c r="D64" s="10" t="s">
        <v>7477</v>
      </c>
      <c r="E64" s="5"/>
    </row>
    <row r="65" spans="1:5" ht="14.25" customHeight="1">
      <c r="A65" s="42"/>
      <c r="B65" s="10"/>
      <c r="C65" s="10"/>
      <c r="D65" s="10"/>
      <c r="E65" s="5"/>
    </row>
    <row r="66" spans="1:5" ht="14.25" customHeight="1">
      <c r="A66" s="42"/>
      <c r="B66" s="10"/>
      <c r="C66" s="10"/>
      <c r="D66" s="10" t="s">
        <v>7478</v>
      </c>
      <c r="E66" s="5"/>
    </row>
    <row r="67" spans="1:5" ht="14.25" customHeight="1">
      <c r="A67" s="42"/>
      <c r="B67" s="10"/>
      <c r="C67" s="10"/>
      <c r="D67" s="10"/>
      <c r="E67" s="5"/>
    </row>
    <row r="68" spans="1:5" ht="14.25" customHeight="1">
      <c r="A68" s="42"/>
      <c r="B68" s="10"/>
      <c r="C68" s="10"/>
      <c r="D68" s="10" t="s">
        <v>7479</v>
      </c>
      <c r="E68" s="5"/>
    </row>
    <row r="69" spans="1:5" ht="14.25" customHeight="1">
      <c r="A69" s="42"/>
      <c r="B69" s="10"/>
      <c r="C69" s="10"/>
      <c r="D69" s="10"/>
      <c r="E69" s="5"/>
    </row>
    <row r="70" spans="1:5" ht="14.25" customHeight="1">
      <c r="A70" s="42"/>
      <c r="B70" s="10"/>
      <c r="C70" s="10"/>
      <c r="D70" s="10" t="s">
        <v>7480</v>
      </c>
      <c r="E70" s="5"/>
    </row>
    <row r="71" spans="1:5" ht="14.25" customHeight="1">
      <c r="A71" s="42"/>
      <c r="B71" s="10"/>
      <c r="C71" s="10"/>
      <c r="D71" s="10"/>
      <c r="E71" s="5"/>
    </row>
    <row r="72" spans="1:5" ht="14.25" customHeight="1">
      <c r="A72" s="42"/>
      <c r="B72" s="10"/>
      <c r="C72" s="10"/>
      <c r="D72" s="10" t="s">
        <v>6473</v>
      </c>
      <c r="E72" s="5"/>
    </row>
    <row r="73" spans="1:5" ht="14.25" customHeight="1">
      <c r="A73" s="42"/>
      <c r="B73" s="10"/>
      <c r="C73" s="10"/>
      <c r="D73" s="10"/>
      <c r="E73" s="5"/>
    </row>
    <row r="74" spans="1:5" ht="14.25" customHeight="1">
      <c r="A74" s="42"/>
      <c r="B74" s="10"/>
      <c r="C74" s="10"/>
      <c r="D74" s="10" t="s">
        <v>7481</v>
      </c>
      <c r="E74" s="5"/>
    </row>
    <row r="75" spans="1:5" ht="14.25" customHeight="1">
      <c r="A75" s="42"/>
      <c r="B75" s="10"/>
      <c r="C75" s="10"/>
      <c r="D75" s="10"/>
      <c r="E75" s="5"/>
    </row>
    <row r="76" spans="1:5" ht="14.25" customHeight="1">
      <c r="A76" s="42"/>
      <c r="B76" s="10"/>
      <c r="C76" s="10"/>
      <c r="D76" s="10" t="s">
        <v>7482</v>
      </c>
      <c r="E76" s="5"/>
    </row>
    <row r="77" spans="1:5" ht="14.25" customHeight="1">
      <c r="A77" s="42"/>
      <c r="B77" s="10"/>
      <c r="C77" s="10"/>
      <c r="D77" s="10"/>
      <c r="E77" s="5"/>
    </row>
    <row r="78" spans="1:5" ht="14.25" customHeight="1">
      <c r="A78" s="42"/>
      <c r="B78" s="10"/>
      <c r="C78" s="10"/>
      <c r="D78" s="10" t="s">
        <v>7483</v>
      </c>
      <c r="E78" s="5"/>
    </row>
    <row r="79" spans="1:5" ht="14.25" customHeight="1">
      <c r="A79" s="42"/>
      <c r="B79" s="10"/>
      <c r="C79" s="10"/>
      <c r="D79" s="10"/>
      <c r="E79" s="5"/>
    </row>
    <row r="80" spans="1:5" ht="14.25" customHeight="1">
      <c r="A80" s="42"/>
      <c r="B80" s="10"/>
      <c r="C80" s="10"/>
      <c r="D80" s="10" t="s">
        <v>7484</v>
      </c>
      <c r="E80" s="5"/>
    </row>
    <row r="81" spans="1:5" ht="14.25" customHeight="1">
      <c r="A81" s="42"/>
      <c r="B81" s="10"/>
      <c r="C81" s="10"/>
      <c r="D81" s="10"/>
      <c r="E81" s="5"/>
    </row>
    <row r="82" spans="1:5" ht="14.25" customHeight="1">
      <c r="A82" s="42"/>
      <c r="B82" s="10"/>
      <c r="C82" s="10"/>
      <c r="D82" s="10" t="s">
        <v>7485</v>
      </c>
      <c r="E82" s="5"/>
    </row>
    <row r="83" spans="1:5" ht="14.25" customHeight="1">
      <c r="A83" s="42"/>
      <c r="B83" s="10"/>
      <c r="C83" s="10"/>
      <c r="D83" s="10"/>
      <c r="E83" s="5"/>
    </row>
    <row r="84" spans="1:5" ht="14.25" customHeight="1">
      <c r="A84" s="42"/>
      <c r="B84" s="10"/>
      <c r="C84" s="10"/>
      <c r="D84" s="10" t="s">
        <v>7486</v>
      </c>
      <c r="E84" s="5"/>
    </row>
    <row r="85" spans="1:5" ht="14.25" customHeight="1">
      <c r="A85" s="42"/>
      <c r="B85" s="10"/>
      <c r="C85" s="10"/>
      <c r="D85" s="10"/>
      <c r="E85" s="5"/>
    </row>
    <row r="86" spans="1:5" ht="14.25" customHeight="1">
      <c r="A86" s="42"/>
      <c r="B86" s="10"/>
      <c r="C86" s="10"/>
      <c r="D86" s="10" t="s">
        <v>7487</v>
      </c>
      <c r="E86" s="5"/>
    </row>
    <row r="87" spans="1:5" ht="14.25" customHeight="1">
      <c r="A87" s="42"/>
      <c r="B87" s="10"/>
      <c r="C87" s="10"/>
      <c r="D87" s="10"/>
      <c r="E87" s="5"/>
    </row>
    <row r="88" spans="1:5" ht="14.25" customHeight="1">
      <c r="A88" s="42"/>
      <c r="B88" s="10"/>
      <c r="C88" s="10"/>
      <c r="D88" s="10" t="s">
        <v>7488</v>
      </c>
      <c r="E88" s="5"/>
    </row>
    <row r="89" spans="1:5" ht="14.25" customHeight="1">
      <c r="A89" s="42"/>
      <c r="B89" s="10"/>
      <c r="C89" s="10"/>
      <c r="D89" s="10"/>
      <c r="E89" s="5"/>
    </row>
    <row r="90" spans="1:5" ht="14.25" customHeight="1">
      <c r="A90" s="42"/>
      <c r="B90" s="10"/>
      <c r="C90" s="10"/>
      <c r="D90" s="10" t="s">
        <v>7489</v>
      </c>
      <c r="E90" s="5"/>
    </row>
    <row r="91" spans="1:5" ht="14.25" customHeight="1">
      <c r="A91" s="42"/>
      <c r="B91" s="10"/>
      <c r="C91" s="10"/>
      <c r="D91" s="10"/>
      <c r="E91" s="5"/>
    </row>
    <row r="92" spans="1:5" ht="14.25" customHeight="1">
      <c r="A92" s="42"/>
      <c r="B92" s="10"/>
      <c r="C92" s="10"/>
      <c r="D92" s="10" t="s">
        <v>7490</v>
      </c>
      <c r="E92" s="5"/>
    </row>
    <row r="93" spans="1:5" ht="14.25" customHeight="1">
      <c r="A93" s="42"/>
      <c r="B93" s="10"/>
      <c r="C93" s="10"/>
      <c r="D93" s="10"/>
      <c r="E93" s="5"/>
    </row>
    <row r="94" spans="1:5" ht="14.25" customHeight="1">
      <c r="A94" s="42"/>
      <c r="B94" s="10"/>
      <c r="C94" s="10"/>
      <c r="D94" s="10" t="s">
        <v>7491</v>
      </c>
      <c r="E94" s="5"/>
    </row>
    <row r="95" spans="1:5" ht="14.25" customHeight="1">
      <c r="A95" s="42"/>
      <c r="B95" s="10"/>
      <c r="C95" s="10"/>
      <c r="D95" s="10"/>
      <c r="E95" s="5"/>
    </row>
    <row r="96" spans="1:5" ht="14.25" customHeight="1">
      <c r="A96" s="42"/>
      <c r="B96" s="10"/>
      <c r="C96" s="10"/>
      <c r="D96" s="10" t="s">
        <v>7492</v>
      </c>
      <c r="E96" s="5"/>
    </row>
    <row r="97" spans="1:5" ht="14.25" customHeight="1">
      <c r="A97" s="42"/>
      <c r="B97" s="10"/>
      <c r="C97" s="10"/>
      <c r="D97" s="10"/>
      <c r="E97" s="5"/>
    </row>
    <row r="98" spans="1:5" ht="14.25" customHeight="1">
      <c r="A98" s="42"/>
      <c r="B98" s="10"/>
      <c r="C98" s="10"/>
      <c r="D98" s="10" t="s">
        <v>7493</v>
      </c>
      <c r="E98" s="5"/>
    </row>
    <row r="99" spans="1:5" ht="14.25" customHeight="1">
      <c r="A99" s="42"/>
      <c r="B99" s="10"/>
      <c r="C99" s="10"/>
      <c r="D99" s="10"/>
      <c r="E99" s="5"/>
    </row>
    <row r="100" spans="1:5" ht="14.25" customHeight="1">
      <c r="A100" s="42"/>
      <c r="B100" s="10"/>
      <c r="C100" s="10"/>
      <c r="D100" s="10" t="s">
        <v>7494</v>
      </c>
      <c r="E100" s="5"/>
    </row>
  </sheetData>
  <pageMargins left="0.75" right="0.75" top="1" bottom="1" header="0" footer="0"/>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pane ySplit="1" topLeftCell="A2" activePane="bottomLeft" state="frozen"/>
      <selection pane="bottomLeft" activeCell="B3" sqref="B3"/>
    </sheetView>
  </sheetViews>
  <sheetFormatPr defaultColWidth="14.44140625" defaultRowHeight="15" customHeight="1"/>
  <cols>
    <col min="1" max="2" width="41.109375" customWidth="1"/>
    <col min="3" max="3" width="48.6640625" customWidth="1"/>
    <col min="4" max="4" width="45.88671875" customWidth="1"/>
    <col min="5" max="5" width="56.88671875" customWidth="1"/>
    <col min="6" max="6" width="45.88671875" customWidth="1"/>
    <col min="7" max="7" width="42.44140625" customWidth="1"/>
  </cols>
  <sheetData>
    <row r="1" spans="1:7" ht="14.25" customHeight="1">
      <c r="A1" s="12" t="s">
        <v>7495</v>
      </c>
      <c r="C1" s="34" t="s">
        <v>7496</v>
      </c>
      <c r="D1" s="34"/>
      <c r="E1" s="2"/>
      <c r="F1" s="34" t="s">
        <v>7497</v>
      </c>
      <c r="G1" s="34" t="s">
        <v>761</v>
      </c>
    </row>
    <row r="2" spans="1:7" ht="14.25" customHeight="1">
      <c r="A2" s="41" t="s">
        <v>7498</v>
      </c>
      <c r="B2" s="43" t="s">
        <v>7499</v>
      </c>
      <c r="C2" s="44" t="s">
        <v>7500</v>
      </c>
      <c r="D2" s="44" t="s">
        <v>7501</v>
      </c>
      <c r="E2" s="5" t="str">
        <f ca="1">IFERROR(__xludf.DUMMYFUNCTION("FILTER(D1:D1002,D1:D1002&lt;&gt; """")"),"Háizǐ, yào yǒngyuǎn chéngshí.")</f>
        <v>Háizǐ, yào yǒngyuǎn chéngshí.</v>
      </c>
      <c r="F2" s="44" t="s">
        <v>7502</v>
      </c>
      <c r="G2" s="44" t="s">
        <v>7503</v>
      </c>
    </row>
    <row r="3" spans="1:7" ht="14.25" customHeight="1">
      <c r="A3" s="41" t="s">
        <v>7504</v>
      </c>
      <c r="B3" s="43" t="s">
        <v>7505</v>
      </c>
      <c r="C3" s="34" t="s">
        <v>7506</v>
      </c>
      <c r="D3" s="34"/>
      <c r="E3" s="6" t="str">
        <f ca="1">IFERROR(__xludf.DUMMYFUNCTION("""COMPUTED_VALUE"""),"Zhēnlǐ yǒngyuǎn shì zuì hǎo de.")</f>
        <v>Zhēnlǐ yǒngyuǎn shì zuì hǎo de.</v>
      </c>
      <c r="F3" s="34" t="s">
        <v>7507</v>
      </c>
      <c r="G3" s="34" t="s">
        <v>7508</v>
      </c>
    </row>
    <row r="4" spans="1:7" ht="14.25" customHeight="1">
      <c r="A4" s="41" t="s">
        <v>7509</v>
      </c>
      <c r="B4" s="43" t="s">
        <v>7510</v>
      </c>
      <c r="C4" s="44" t="s">
        <v>7511</v>
      </c>
      <c r="D4" s="44" t="s">
        <v>7512</v>
      </c>
      <c r="E4" s="5" t="str">
        <f ca="1">IFERROR(__xludf.DUMMYFUNCTION("""COMPUTED_VALUE"""),"Wǒ jué bù shuōhuǎng.")</f>
        <v>Wǒ jué bù shuōhuǎng.</v>
      </c>
      <c r="F4" s="44" t="s">
        <v>7513</v>
      </c>
      <c r="G4" s="44" t="s">
        <v>7514</v>
      </c>
    </row>
    <row r="5" spans="1:7" ht="14.25" customHeight="1">
      <c r="A5" s="41" t="s">
        <v>7515</v>
      </c>
      <c r="B5" s="43" t="s">
        <v>7516</v>
      </c>
      <c r="C5" s="44" t="s">
        <v>7517</v>
      </c>
      <c r="D5" s="44"/>
      <c r="E5" s="5" t="str">
        <f ca="1">IFERROR(__xludf.DUMMYFUNCTION("""COMPUTED_VALUE"""),"Yào gǎn'ēn nǐ suǒ yǒngyǒu de yīqiè.")</f>
        <v>Yào gǎn'ēn nǐ suǒ yǒngyǒu de yīqiè.</v>
      </c>
      <c r="F5" s="44" t="s">
        <v>7518</v>
      </c>
      <c r="G5" s="44" t="s">
        <v>7519</v>
      </c>
    </row>
    <row r="6" spans="1:7" ht="14.25" customHeight="1">
      <c r="A6" s="41" t="s">
        <v>7520</v>
      </c>
      <c r="B6" s="43" t="s">
        <v>7521</v>
      </c>
      <c r="C6" s="44"/>
      <c r="D6" s="44" t="s">
        <v>7522</v>
      </c>
      <c r="E6" s="5" t="str">
        <f ca="1">IFERROR(__xludf.DUMMYFUNCTION("""COMPUTED_VALUE"""),"Xièxiè nǐ de yīqiè.")</f>
        <v>Xièxiè nǐ de yīqiè.</v>
      </c>
      <c r="F6" s="44"/>
      <c r="G6" s="44"/>
    </row>
    <row r="7" spans="1:7" ht="14.25" customHeight="1">
      <c r="A7" s="41" t="s">
        <v>7523</v>
      </c>
      <c r="B7" s="43" t="s">
        <v>7524</v>
      </c>
      <c r="C7" s="55" t="s">
        <v>7525</v>
      </c>
      <c r="D7" s="44"/>
      <c r="E7" s="5" t="str">
        <f ca="1">IFERROR(__xludf.DUMMYFUNCTION("""COMPUTED_VALUE"""),"Yào lèyú zhùrén.")</f>
        <v>Yào lèyú zhùrén.</v>
      </c>
      <c r="F7" s="44" t="s">
        <v>7526</v>
      </c>
      <c r="G7" s="44" t="s">
        <v>7527</v>
      </c>
    </row>
    <row r="8" spans="1:7" ht="14.25" customHeight="1">
      <c r="A8" s="41" t="s">
        <v>7528</v>
      </c>
      <c r="B8" s="43" t="s">
        <v>7529</v>
      </c>
      <c r="C8" s="44"/>
      <c r="D8" s="44" t="s">
        <v>7530</v>
      </c>
      <c r="E8" s="5" t="str">
        <f ca="1">IFERROR(__xludf.DUMMYFUNCTION("""COMPUTED_VALUE"""),"Bāngzhù biérén shì yī zhǒng kuàilè.")</f>
        <v>Bāngzhù biérén shì yī zhǒng kuàilè.</v>
      </c>
      <c r="F8" s="44"/>
      <c r="G8" s="44"/>
    </row>
    <row r="9" spans="1:7" ht="14.25" customHeight="1">
      <c r="A9" s="41" t="s">
        <v>7531</v>
      </c>
      <c r="B9" s="43" t="s">
        <v>7532</v>
      </c>
      <c r="C9" s="44" t="s">
        <v>7533</v>
      </c>
      <c r="D9" s="44"/>
      <c r="E9" s="5" t="str">
        <f ca="1">IFERROR(__xludf.DUMMYFUNCTION("""COMPUTED_VALUE"""),"Wǒ huì hé péngyǒumen fēnxiǎng wǒ de wánjù.")</f>
        <v>Wǒ huì hé péngyǒumen fēnxiǎng wǒ de wánjù.</v>
      </c>
      <c r="F9" s="44" t="s">
        <v>7534</v>
      </c>
      <c r="G9" s="44" t="s">
        <v>7535</v>
      </c>
    </row>
    <row r="10" spans="1:7" ht="14.25" customHeight="1">
      <c r="A10" s="41" t="s">
        <v>7536</v>
      </c>
      <c r="B10" s="43" t="s">
        <v>7537</v>
      </c>
      <c r="C10" s="44" t="s">
        <v>7538</v>
      </c>
      <c r="D10" s="44" t="s">
        <v>7539</v>
      </c>
      <c r="E10" s="5" t="str">
        <f ca="1">IFERROR(__xludf.DUMMYFUNCTION("""COMPUTED_VALUE"""),"Yǒng bù fàngqì.")</f>
        <v>Yǒng bù fàngqì.</v>
      </c>
      <c r="F10" s="44" t="s">
        <v>7540</v>
      </c>
      <c r="G10" s="44" t="s">
        <v>7541</v>
      </c>
    </row>
    <row r="11" spans="1:7" ht="14.25" customHeight="1">
      <c r="A11" s="41" t="s">
        <v>7542</v>
      </c>
      <c r="B11" s="43" t="s">
        <v>7543</v>
      </c>
      <c r="C11" s="44" t="s">
        <v>7544</v>
      </c>
      <c r="D11" s="44"/>
      <c r="E11" s="5" t="str">
        <f ca="1">IFERROR(__xludf.DUMMYFUNCTION("""COMPUTED_VALUE"""),"Shúnéngshēngqiǎo.")</f>
        <v>Shúnéngshēngqiǎo.</v>
      </c>
      <c r="F11" s="44" t="s">
        <v>7545</v>
      </c>
      <c r="G11" s="44" t="s">
        <v>7546</v>
      </c>
    </row>
    <row r="12" spans="1:7" ht="37.5" customHeight="1">
      <c r="A12" s="41" t="s">
        <v>7547</v>
      </c>
      <c r="B12" s="43" t="s">
        <v>7548</v>
      </c>
      <c r="C12" s="44"/>
      <c r="D12" s="44" t="s">
        <v>7549</v>
      </c>
      <c r="E12" s="6" t="str">
        <f ca="1">IFERROR(__xludf.DUMMYFUNCTION("""COMPUTED_VALUE"""),"Yào shàndài měi yīgèrén.")</f>
        <v>Yào shàndài měi yīgèrén.</v>
      </c>
      <c r="F12" s="44"/>
      <c r="G12" s="44"/>
    </row>
    <row r="13" spans="1:7" ht="14.25" customHeight="1">
      <c r="A13" s="41" t="s">
        <v>7550</v>
      </c>
      <c r="B13" s="43" t="s">
        <v>7551</v>
      </c>
      <c r="C13" s="44"/>
      <c r="D13" s="44"/>
      <c r="E13" s="6" t="str">
        <f ca="1">IFERROR(__xludf.DUMMYFUNCTION("""COMPUTED_VALUE"""),"Yányǔ wúxū chéngběn.")</f>
        <v>Yányǔ wúxū chéngběn.</v>
      </c>
      <c r="F13" s="44"/>
      <c r="G13" s="44"/>
    </row>
    <row r="14" spans="1:7" ht="14.25" customHeight="1">
      <c r="A14" s="41" t="s">
        <v>7552</v>
      </c>
      <c r="B14" s="43" t="s">
        <v>7553</v>
      </c>
      <c r="C14" s="44"/>
      <c r="D14" s="44" t="s">
        <v>7554</v>
      </c>
      <c r="E14" s="6" t="str">
        <f ca="1">IFERROR(__xludf.DUMMYFUNCTION("""COMPUTED_VALUE"""),"Xuéhuì qīngtīng tārén.")</f>
        <v>Xuéhuì qīngtīng tārén.</v>
      </c>
      <c r="F14" s="44"/>
      <c r="G14" s="44"/>
    </row>
    <row r="15" spans="1:7" ht="14.25" customHeight="1">
      <c r="A15" s="41" t="s">
        <v>7555</v>
      </c>
      <c r="B15" s="43" t="s">
        <v>7556</v>
      </c>
      <c r="C15" s="44"/>
      <c r="D15" s="44"/>
      <c r="E15" s="6" t="str">
        <f ca="1">IFERROR(__xludf.DUMMYFUNCTION("""COMPUTED_VALUE"""),"Wǒ huì tīng zhǎngbèi dehuà.")</f>
        <v>Wǒ huì tīng zhǎngbèi dehuà.</v>
      </c>
      <c r="F15" s="44"/>
      <c r="G15" s="44"/>
    </row>
    <row r="16" spans="1:7" ht="14.25" customHeight="1">
      <c r="A16" s="41" t="s">
        <v>7557</v>
      </c>
      <c r="B16" s="43" t="s">
        <v>7558</v>
      </c>
      <c r="C16" s="44"/>
      <c r="D16" s="44" t="s">
        <v>7559</v>
      </c>
      <c r="E16" s="6" t="str">
        <f ca="1">IFERROR(__xludf.DUMMYFUNCTION("""COMPUTED_VALUE"""),"Wǒ huì zuò yīgè hǎo háizǐ.")</f>
        <v>Wǒ huì zuò yīgè hǎo háizǐ.</v>
      </c>
      <c r="F16" s="44"/>
      <c r="G16" s="44"/>
    </row>
    <row r="17" spans="1:7" ht="14.25" customHeight="1">
      <c r="A17" s="41" t="s">
        <v>7560</v>
      </c>
      <c r="B17" s="43" t="s">
        <v>7561</v>
      </c>
      <c r="C17" s="44"/>
      <c r="D17" s="44"/>
      <c r="E17" s="6" t="str">
        <f ca="1">IFERROR(__xludf.DUMMYFUNCTION("""COMPUTED_VALUE"""),"Yǒngyuǎn zhǔnshí.")</f>
        <v>Yǒngyuǎn zhǔnshí.</v>
      </c>
      <c r="F17" s="44"/>
      <c r="G17" s="44"/>
    </row>
    <row r="18" spans="1:7" ht="14.25" customHeight="1">
      <c r="A18" s="41" t="s">
        <v>6586</v>
      </c>
      <c r="B18" s="43" t="s">
        <v>6587</v>
      </c>
      <c r="C18" s="44" t="s">
        <v>7562</v>
      </c>
      <c r="D18" s="44" t="s">
        <v>7563</v>
      </c>
      <c r="E18" s="5" t="str">
        <f ca="1">IFERROR(__xludf.DUMMYFUNCTION("""COMPUTED_VALUE"""),"Shíjiān jiùshì jīnqián.")</f>
        <v>Shíjiān jiùshì jīnqián.</v>
      </c>
      <c r="F18" s="44" t="s">
        <v>7564</v>
      </c>
      <c r="G18" s="44" t="s">
        <v>7565</v>
      </c>
    </row>
    <row r="19" spans="1:7" ht="14.25" customHeight="1">
      <c r="A19" s="41" t="s">
        <v>7566</v>
      </c>
      <c r="B19" s="43" t="s">
        <v>7567</v>
      </c>
      <c r="C19" s="44" t="s">
        <v>7568</v>
      </c>
      <c r="D19" s="44"/>
      <c r="E19" s="4" t="str">
        <f ca="1">IFERROR(__xludf.DUMMYFUNCTION("""COMPUTED_VALUE"""),"Hǎohǎo zhàogù zìjǐ de shēntǐ.")</f>
        <v>Hǎohǎo zhàogù zìjǐ de shēntǐ.</v>
      </c>
      <c r="F19" s="44" t="s">
        <v>7569</v>
      </c>
      <c r="G19" s="44" t="s">
        <v>7570</v>
      </c>
    </row>
    <row r="20" spans="1:7" ht="14.25" customHeight="1">
      <c r="A20" s="41" t="s">
        <v>7571</v>
      </c>
      <c r="B20" s="43" t="s">
        <v>7572</v>
      </c>
      <c r="C20" s="44"/>
      <c r="D20" s="44" t="s">
        <v>7573</v>
      </c>
      <c r="E20" s="5" t="str">
        <f ca="1">IFERROR(__xludf.DUMMYFUNCTION("""COMPUTED_VALUE"""),"Duō chī lǜsè shūcài, bǎochí jiànkāng.")</f>
        <v>Duō chī lǜsè shūcài, bǎochí jiànkāng.</v>
      </c>
      <c r="F20" s="44"/>
      <c r="G20" s="44"/>
    </row>
    <row r="21" spans="1:7" ht="14.25" customHeight="1">
      <c r="A21" s="41" t="s">
        <v>7574</v>
      </c>
      <c r="B21" s="43" t="s">
        <v>7575</v>
      </c>
      <c r="C21" s="44" t="s">
        <v>7576</v>
      </c>
      <c r="D21" s="44"/>
      <c r="E21" s="6" t="str">
        <f ca="1">IFERROR(__xludf.DUMMYFUNCTION("""COMPUTED_VALUE"""),"Bǎochí qīngjié.")</f>
        <v>Bǎochí qīngjié.</v>
      </c>
      <c r="F21" s="44" t="s">
        <v>7577</v>
      </c>
      <c r="G21" s="44" t="s">
        <v>7578</v>
      </c>
    </row>
    <row r="22" spans="1:7" ht="14.25" customHeight="1">
      <c r="A22" s="41" t="s">
        <v>7579</v>
      </c>
      <c r="B22" s="43" t="s">
        <v>7580</v>
      </c>
      <c r="C22" s="44" t="s">
        <v>7581</v>
      </c>
      <c r="D22" s="44" t="s">
        <v>7582</v>
      </c>
      <c r="E22" s="6" t="str">
        <f ca="1">IFERROR(__xludf.DUMMYFUNCTION("""COMPUTED_VALUE"""),"Wǒ huì bǎohù huánjìng.")</f>
        <v>Wǒ huì bǎohù huánjìng.</v>
      </c>
      <c r="F22" s="44" t="s">
        <v>7583</v>
      </c>
      <c r="G22" s="44" t="s">
        <v>7584</v>
      </c>
    </row>
    <row r="23" spans="1:7" ht="14.25" customHeight="1">
      <c r="A23" s="41" t="s">
        <v>7585</v>
      </c>
      <c r="B23" s="43" t="s">
        <v>7586</v>
      </c>
      <c r="C23" s="44"/>
      <c r="D23" s="44"/>
      <c r="E23" s="6" t="str">
        <f ca="1">IFERROR(__xludf.DUMMYFUNCTION("""COMPUTED_VALUE"""),"Yǒngyuǎn duì měi gèrén wéixiào.")</f>
        <v>Yǒngyuǎn duì měi gèrén wéixiào.</v>
      </c>
      <c r="F23" s="44"/>
      <c r="G23" s="44"/>
    </row>
    <row r="24" spans="1:7" ht="14.25" customHeight="1">
      <c r="A24" s="41" t="s">
        <v>7587</v>
      </c>
      <c r="B24" s="43" t="s">
        <v>7588</v>
      </c>
      <c r="C24" s="44" t="s">
        <v>7589</v>
      </c>
      <c r="D24" s="44" t="s">
        <v>7590</v>
      </c>
      <c r="E24" s="6" t="str">
        <f ca="1">IFERROR(__xludf.DUMMYFUNCTION("""COMPUTED_VALUE"""),"Yīgè wéixiào shèngguò shí jì liángyào.")</f>
        <v>Yīgè wéixiào shèngguò shí jì liángyào.</v>
      </c>
      <c r="F24" s="44" t="s">
        <v>7591</v>
      </c>
      <c r="G24" s="44" t="s">
        <v>7592</v>
      </c>
    </row>
    <row r="25" spans="1:7" ht="14.25" customHeight="1">
      <c r="A25" s="41" t="s">
        <v>7593</v>
      </c>
      <c r="B25" s="43" t="s">
        <v>7594</v>
      </c>
      <c r="C25" s="44" t="s">
        <v>7595</v>
      </c>
      <c r="D25" s="44"/>
      <c r="E25" s="6" t="str">
        <f ca="1">IFERROR(__xludf.DUMMYFUNCTION("""COMPUTED_VALUE"""),"Xuéhuì kuānshù tārén.")</f>
        <v>Xuéhuì kuānshù tārén.</v>
      </c>
      <c r="F25" s="44" t="s">
        <v>7596</v>
      </c>
      <c r="G25" s="44" t="s">
        <v>7597</v>
      </c>
    </row>
    <row r="26" spans="1:7" ht="14.25" customHeight="1">
      <c r="A26" s="41" t="s">
        <v>7598</v>
      </c>
      <c r="B26" s="43" t="s">
        <v>7599</v>
      </c>
      <c r="C26" s="44"/>
      <c r="D26" s="44" t="s">
        <v>7600</v>
      </c>
      <c r="E26" s="6" t="str">
        <f ca="1">IFERROR(__xludf.DUMMYFUNCTION("""COMPUTED_VALUE"""),"Bùyào gěnggěng yú huái.")</f>
        <v>Bùyào gěnggěng yú huái.</v>
      </c>
      <c r="F26" s="44"/>
      <c r="G26" s="44"/>
    </row>
    <row r="27" spans="1:7" ht="14.25" customHeight="1">
      <c r="A27" s="41" t="s">
        <v>7601</v>
      </c>
      <c r="B27" s="43" t="s">
        <v>7602</v>
      </c>
      <c r="C27" s="44"/>
      <c r="D27" s="44"/>
      <c r="E27" s="6" t="str">
        <f ca="1">IFERROR(__xludf.DUMMYFUNCTION("""COMPUTED_VALUE"""),"Wǒ huì jǐn wǒ suǒ néng hǎo hào xuéxí.")</f>
        <v>Wǒ huì jǐn wǒ suǒ néng hǎo hào xuéxí.</v>
      </c>
      <c r="F27" s="44"/>
      <c r="G27" s="44"/>
    </row>
    <row r="28" spans="1:7" ht="14.25" customHeight="1">
      <c r="A28" s="41" t="s">
        <v>7603</v>
      </c>
      <c r="B28" s="43" t="s">
        <v>7604</v>
      </c>
      <c r="C28" s="44" t="s">
        <v>7605</v>
      </c>
      <c r="D28" s="44" t="s">
        <v>7606</v>
      </c>
      <c r="E28" s="6" t="str">
        <f ca="1">IFERROR(__xludf.DUMMYFUNCTION("""COMPUTED_VALUE"""),"Zhīshì jiùshì lìliàng.")</f>
        <v>Zhīshì jiùshì lìliàng.</v>
      </c>
      <c r="F28" s="44" t="s">
        <v>7607</v>
      </c>
      <c r="G28" s="44" t="s">
        <v>7608</v>
      </c>
    </row>
    <row r="29" spans="1:7" ht="14.25" customHeight="1">
      <c r="A29" s="41" t="s">
        <v>7609</v>
      </c>
      <c r="B29" s="43" t="s">
        <v>7610</v>
      </c>
      <c r="C29" s="44" t="s">
        <v>7611</v>
      </c>
      <c r="D29" s="44"/>
      <c r="E29" s="37" t="str">
        <f ca="1">IFERROR(__xludf.DUMMYFUNCTION("""COMPUTED_VALUE"""),"Yǒngyuǎn duì zìjǐ chōngmǎn xìnxīn.")</f>
        <v>Yǒngyuǎn duì zìjǐ chōngmǎn xìnxīn.</v>
      </c>
      <c r="F29" s="44" t="s">
        <v>7612</v>
      </c>
      <c r="G29" s="44" t="s">
        <v>7613</v>
      </c>
    </row>
    <row r="30" spans="1:7" ht="14.25" customHeight="1">
      <c r="A30" s="41" t="s">
        <v>7614</v>
      </c>
      <c r="B30" s="43" t="s">
        <v>7615</v>
      </c>
      <c r="C30" s="44"/>
      <c r="D30" s="44" t="s">
        <v>7616</v>
      </c>
      <c r="E30" s="6" t="str">
        <f ca="1">IFERROR(__xludf.DUMMYFUNCTION("""COMPUTED_VALUE"""),"Wǒ néng zuò dào rènhé shì!")</f>
        <v>Wǒ néng zuò dào rènhé shì!</v>
      </c>
      <c r="F30" s="44"/>
      <c r="G30" s="44"/>
    </row>
    <row r="31" spans="1:7" ht="14.25" customHeight="1">
      <c r="A31" s="41" t="s">
        <v>7617</v>
      </c>
      <c r="B31" s="43" t="s">
        <v>7618</v>
      </c>
      <c r="C31" s="44"/>
      <c r="D31" s="44"/>
      <c r="E31" s="56" t="str">
        <f ca="1">IFERROR(__xludf.DUMMYFUNCTION("""COMPUTED_VALUE"""),"Bùyào hàipà fàncuò.")</f>
        <v>Bùyào hàipà fàncuò.</v>
      </c>
      <c r="F31" s="44"/>
      <c r="G31" s="44"/>
    </row>
    <row r="32" spans="1:7" ht="14.25" customHeight="1">
      <c r="A32" s="41" t="s">
        <v>7619</v>
      </c>
      <c r="B32" s="43" t="s">
        <v>7620</v>
      </c>
      <c r="C32" s="44"/>
      <c r="D32" s="44" t="s">
        <v>7621</v>
      </c>
      <c r="E32" s="4" t="str">
        <f ca="1">IFERROR(__xludf.DUMMYFUNCTION("""COMPUTED_VALUE""")," Cuòwù néng bāngzhù wǒmen chéngzhǎng.")</f>
        <v xml:space="preserve"> Cuòwù néng bāngzhù wǒmen chéngzhǎng.</v>
      </c>
      <c r="F32" s="44"/>
      <c r="G32" s="44"/>
    </row>
    <row r="33" spans="1:7" ht="14.25" customHeight="1">
      <c r="A33" s="41" t="s">
        <v>7622</v>
      </c>
      <c r="B33" s="43" t="s">
        <v>7623</v>
      </c>
      <c r="C33" s="44"/>
      <c r="D33" s="44"/>
      <c r="E33" s="4" t="str">
        <f ca="1">IFERROR(__xludf.DUMMYFUNCTION("""COMPUTED_VALUE"""),"Zhēnxī yǒuyì.")</f>
        <v>Zhēnxī yǒuyì.</v>
      </c>
      <c r="F33" s="44"/>
      <c r="G33" s="44"/>
    </row>
    <row r="34" spans="1:7" ht="14.25" customHeight="1">
      <c r="A34" s="41" t="s">
        <v>7624</v>
      </c>
      <c r="B34" s="43" t="s">
        <v>7625</v>
      </c>
      <c r="C34" s="44"/>
      <c r="D34" s="44" t="s">
        <v>6610</v>
      </c>
      <c r="E34" s="4" t="str">
        <f ca="1">IFERROR(__xludf.DUMMYFUNCTION("""COMPUTED_VALUE"""),"Wǒ huì zuò yīgè hǎo péngyǒu.")</f>
        <v>Wǒ huì zuò yīgè hǎo péngyǒu.</v>
      </c>
      <c r="F34" s="44"/>
      <c r="G34" s="44"/>
    </row>
    <row r="35" spans="1:7" ht="14.25" customHeight="1">
      <c r="A35" s="41" t="s">
        <v>7626</v>
      </c>
      <c r="B35" s="43" t="s">
        <v>7627</v>
      </c>
      <c r="C35" s="44" t="s">
        <v>7628</v>
      </c>
      <c r="D35" s="44"/>
      <c r="E35" s="8" t="str">
        <f ca="1">IFERROR(__xludf.DUMMYFUNCTION("""COMPUTED_VALUE"""),"Yǒngyuǎn xìnshǒu chéngnuò.")</f>
        <v>Yǒngyuǎn xìnshǒu chéngnuò.</v>
      </c>
      <c r="F35" s="44" t="s">
        <v>7629</v>
      </c>
      <c r="G35" s="44" t="s">
        <v>7630</v>
      </c>
    </row>
    <row r="36" spans="1:7" ht="14.25" customHeight="1">
      <c r="A36" s="41" t="s">
        <v>7631</v>
      </c>
      <c r="B36" s="43" t="s">
        <v>7632</v>
      </c>
      <c r="C36" s="44"/>
      <c r="D36" s="44" t="s">
        <v>7633</v>
      </c>
      <c r="E36" s="5" t="str">
        <f ca="1">IFERROR(__xludf.DUMMYFUNCTION("""COMPUTED_VALUE"""),"Wǒ shuō dào zuò dào.")</f>
        <v>Wǒ shuō dào zuò dào.</v>
      </c>
      <c r="F36" s="44"/>
      <c r="G36" s="44"/>
    </row>
    <row r="37" spans="1:7" ht="14.25" customHeight="1">
      <c r="A37" s="41" t="s">
        <v>7634</v>
      </c>
      <c r="B37" s="43" t="s">
        <v>7635</v>
      </c>
      <c r="C37" s="44" t="s">
        <v>7636</v>
      </c>
      <c r="D37" s="44"/>
      <c r="E37" s="8" t="str">
        <f ca="1">IFERROR(__xludf.DUMMYFUNCTION("""COMPUTED_VALUE"""),"Yǒnggǎn dì shēnghuó.")</f>
        <v>Yǒnggǎn dì shēnghuó.</v>
      </c>
      <c r="F37" s="44" t="s">
        <v>7637</v>
      </c>
      <c r="G37" s="44" t="s">
        <v>7638</v>
      </c>
    </row>
    <row r="38" spans="1:7" ht="14.25" customHeight="1">
      <c r="A38" s="41" t="s">
        <v>7639</v>
      </c>
      <c r="B38" s="43" t="s">
        <v>7640</v>
      </c>
      <c r="C38" s="44" t="s">
        <v>7641</v>
      </c>
      <c r="D38" s="44" t="s">
        <v>7642</v>
      </c>
      <c r="E38" s="5" t="str">
        <f ca="1">IFERROR(__xludf.DUMMYFUNCTION("""COMPUTED_VALUE"""),"Bùyào hàipà tiǎozhàn.")</f>
        <v>Bùyào hàipà tiǎozhàn.</v>
      </c>
      <c r="F38" s="44" t="s">
        <v>7643</v>
      </c>
      <c r="G38" s="44" t="s">
        <v>7644</v>
      </c>
    </row>
    <row r="39" spans="1:7" ht="14.25" customHeight="1">
      <c r="A39" s="41" t="s">
        <v>7645</v>
      </c>
      <c r="B39" s="43" t="s">
        <v>7646</v>
      </c>
      <c r="C39" s="44" t="s">
        <v>7647</v>
      </c>
      <c r="D39" s="44"/>
      <c r="E39" s="6" t="str">
        <f ca="1">IFERROR(__xludf.DUMMYFUNCTION("""COMPUTED_VALUE"""),"Yǒngyuǎn bǎochí qiānxùn.")</f>
        <v>Yǒngyuǎn bǎochí qiānxùn.</v>
      </c>
      <c r="F39" s="44" t="s">
        <v>7648</v>
      </c>
      <c r="G39" s="44" t="s">
        <v>7649</v>
      </c>
    </row>
    <row r="40" spans="1:7" ht="14.25" customHeight="1">
      <c r="A40" s="41" t="s">
        <v>7650</v>
      </c>
      <c r="B40" s="43" t="s">
        <v>7651</v>
      </c>
      <c r="C40" s="44" t="s">
        <v>7652</v>
      </c>
      <c r="D40" s="44" t="s">
        <v>7653</v>
      </c>
      <c r="E40" s="6" t="str">
        <f ca="1">IFERROR(__xludf.DUMMYFUNCTION("""COMPUTED_VALUE"""),"Wǒ bù huì àomàn zì dà.")</f>
        <v>Wǒ bù huì àomàn zì dà.</v>
      </c>
      <c r="F40" s="44" t="s">
        <v>7654</v>
      </c>
      <c r="G40" s="44" t="s">
        <v>7655</v>
      </c>
    </row>
    <row r="41" spans="1:7" ht="14.25" customHeight="1">
      <c r="A41" s="41" t="s">
        <v>7656</v>
      </c>
      <c r="B41" s="43" t="s">
        <v>7657</v>
      </c>
      <c r="C41" s="44"/>
      <c r="D41" s="44"/>
      <c r="E41" s="5" t="str">
        <f ca="1">IFERROR(__xludf.DUMMYFUNCTION("""COMPUTED_VALUE"""),"Zhēnxī jiārén.")</f>
        <v>Zhēnxī jiārén.</v>
      </c>
      <c r="F41" s="44"/>
      <c r="G41" s="44"/>
    </row>
    <row r="42" spans="1:7" ht="14.25" customHeight="1">
      <c r="A42" s="41" t="s">
        <v>7658</v>
      </c>
      <c r="B42" s="43" t="s">
        <v>7659</v>
      </c>
      <c r="C42" s="44"/>
      <c r="D42" s="44" t="s">
        <v>7660</v>
      </c>
      <c r="E42" s="4" t="str">
        <f ca="1">IFERROR(__xludf.DUMMYFUNCTION("""COMPUTED_VALUE"""),"Jiārén shì zuì měihǎo de.")</f>
        <v>Jiārén shì zuì měihǎo de.</v>
      </c>
      <c r="F42" s="44"/>
      <c r="G42" s="44"/>
    </row>
    <row r="43" spans="1:7" ht="14.25" customHeight="1">
      <c r="A43" s="41" t="s">
        <v>7661</v>
      </c>
      <c r="B43" s="43" t="s">
        <v>7662</v>
      </c>
      <c r="C43" s="44" t="s">
        <v>7663</v>
      </c>
      <c r="D43" s="44"/>
      <c r="E43" s="57" t="str">
        <f ca="1">IFERROR(__xludf.DUMMYFUNCTION("""COMPUTED_VALUE"""),"Yǒngyuǎn duì měi gè rén dōu bīn bīn yǒulǐ.")</f>
        <v>Yǒngyuǎn duì měi gè rén dōu bīn bīn yǒulǐ.</v>
      </c>
      <c r="F43" s="44" t="s">
        <v>7664</v>
      </c>
      <c r="G43" s="44" t="s">
        <v>7665</v>
      </c>
    </row>
    <row r="44" spans="1:7" ht="14.25" customHeight="1">
      <c r="A44" s="41" t="s">
        <v>7666</v>
      </c>
      <c r="B44" s="43" t="s">
        <v>7667</v>
      </c>
      <c r="C44" s="44" t="s">
        <v>7668</v>
      </c>
      <c r="D44" s="44" t="s">
        <v>7669</v>
      </c>
      <c r="E44" s="4" t="str">
        <f ca="1">IFERROR(__xludf.DUMMYFUNCTION("""COMPUTED_VALUE"""),"Wǒ huì yīzhí shuō “Mano”(fǎyǔ, yì wèi “nǐ hǎo”).")</f>
        <v>Wǒ huì yīzhí shuō “Mano”(fǎyǔ, yì wèi “nǐ hǎo”).</v>
      </c>
      <c r="F44" s="44" t="s">
        <v>7670</v>
      </c>
      <c r="G44" s="44" t="s">
        <v>7671</v>
      </c>
    </row>
    <row r="45" spans="1:7" ht="14.25" customHeight="1">
      <c r="A45" s="41" t="s">
        <v>7672</v>
      </c>
      <c r="B45" s="43" t="s">
        <v>7673</v>
      </c>
      <c r="C45" s="44" t="s">
        <v>7674</v>
      </c>
      <c r="D45" s="44"/>
      <c r="E45" s="5" t="str">
        <f ca="1">IFERROR(__xludf.DUMMYFUNCTION("""COMPUTED_VALUE"""),"Jiānchí bùxiè de zhuīqiú mèngxiǎng.")</f>
        <v>Jiānchí bùxiè de zhuīqiú mèngxiǎng.</v>
      </c>
      <c r="F45" s="44" t="s">
        <v>7675</v>
      </c>
      <c r="G45" s="44" t="s">
        <v>7676</v>
      </c>
    </row>
    <row r="46" spans="1:7" ht="14.25" customHeight="1">
      <c r="A46" s="41" t="s">
        <v>7677</v>
      </c>
      <c r="B46" s="43" t="s">
        <v>7678</v>
      </c>
      <c r="C46" s="44"/>
      <c r="D46" s="44" t="s">
        <v>7679</v>
      </c>
      <c r="E46" s="4" t="str">
        <f ca="1">IFERROR(__xludf.DUMMYFUNCTION("""COMPUTED_VALUE"""),"Méiyǒu shé me shì bù kěnéng de.")</f>
        <v>Méiyǒu shé me shì bù kěnéng de.</v>
      </c>
      <c r="F46" s="44"/>
      <c r="G46" s="44"/>
    </row>
    <row r="47" spans="1:7" ht="14.25" customHeight="1">
      <c r="A47" s="41" t="s">
        <v>7680</v>
      </c>
      <c r="B47" s="43" t="s">
        <v>7681</v>
      </c>
      <c r="C47" s="44" t="s">
        <v>7682</v>
      </c>
      <c r="D47" s="44"/>
      <c r="E47" s="4" t="str">
        <f ca="1">IFERROR(__xludf.DUMMYFUNCTION("""COMPUTED_VALUE"""),"Huó chū yǒu yìyì de rénshēng.")</f>
        <v>Huó chū yǒu yìyì de rénshēng.</v>
      </c>
      <c r="F47" s="44" t="s">
        <v>7683</v>
      </c>
      <c r="G47" s="44" t="s">
        <v>7684</v>
      </c>
    </row>
    <row r="48" spans="1:7" ht="14.25" customHeight="1">
      <c r="A48" s="41" t="s">
        <v>7685</v>
      </c>
      <c r="B48" s="43" t="s">
        <v>7686</v>
      </c>
      <c r="C48" s="44" t="s">
        <v>7687</v>
      </c>
      <c r="D48" s="44" t="s">
        <v>7688</v>
      </c>
      <c r="E48" s="4" t="str">
        <f ca="1">IFERROR(__xludf.DUMMYFUNCTION("""COMPUTED_VALUE"""),"Měi yītiān dū shì yī fèn lǐwù.")</f>
        <v>Měi yītiān dū shì yī fèn lǐwù.</v>
      </c>
      <c r="F48" s="44" t="s">
        <v>7689</v>
      </c>
      <c r="G48" s="44" t="s">
        <v>7690</v>
      </c>
    </row>
    <row r="49" spans="1:7" ht="14.25" customHeight="1">
      <c r="A49" s="41" t="s">
        <v>7691</v>
      </c>
      <c r="B49" s="43" t="s">
        <v>7692</v>
      </c>
      <c r="C49" s="44"/>
      <c r="D49" s="44"/>
      <c r="E49" s="5" t="str">
        <f ca="1">IFERROR(__xludf.DUMMYFUNCTION("""COMPUTED_VALUE"""),"Wǒ huì xiǎngshòu měi yītiān.")</f>
        <v>Wǒ huì xiǎngshòu měi yītiān.</v>
      </c>
      <c r="F49" s="44"/>
      <c r="G49" s="44"/>
    </row>
    <row r="50" spans="1:7" ht="14.25" customHeight="1">
      <c r="A50" s="41" t="s">
        <v>7693</v>
      </c>
      <c r="B50" s="43" t="s">
        <v>7694</v>
      </c>
      <c r="C50" s="44"/>
      <c r="D50" s="44" t="s">
        <v>7695</v>
      </c>
      <c r="E50" s="6" t="str">
        <f ca="1">IFERROR(__xludf.DUMMYFUNCTION("""COMPUTED_VALUE"""),"Wǒ hěn gāoxìng wánchéngle xuéyè!")</f>
        <v>Wǒ hěn gāoxìng wánchéngle xuéyè!</v>
      </c>
      <c r="F50" s="44"/>
      <c r="G50" s="44"/>
    </row>
    <row r="51" spans="1:7" ht="14.25" customHeight="1">
      <c r="A51" s="41" t="s">
        <v>7696</v>
      </c>
      <c r="B51" s="43" t="s">
        <v>7697</v>
      </c>
      <c r="C51" s="44"/>
      <c r="D51" s="44"/>
      <c r="E51" s="6" t="str">
        <f ca="1">IFERROR(__xludf.DUMMYFUNCTION("""COMPUTED_VALUE"""),"Xièxiè nǐmen de péibàn!")</f>
        <v>Xièxiè nǐmen de péibàn!</v>
      </c>
      <c r="F51" s="44"/>
      <c r="G51" s="44"/>
    </row>
    <row r="52" spans="1:7" ht="14.25" customHeight="1">
      <c r="A52" s="42"/>
      <c r="B52" s="46"/>
      <c r="C52" s="44"/>
      <c r="D52" s="44" t="s">
        <v>7698</v>
      </c>
      <c r="F52" s="44"/>
      <c r="G52" s="44"/>
    </row>
    <row r="53" spans="1:7" ht="14.25" customHeight="1">
      <c r="A53" s="42"/>
      <c r="B53" s="46"/>
      <c r="C53" s="44"/>
      <c r="D53" s="44"/>
      <c r="E53" s="5"/>
      <c r="F53" s="44"/>
      <c r="G53" s="44"/>
    </row>
    <row r="54" spans="1:7" ht="14.25" customHeight="1">
      <c r="A54" s="42"/>
      <c r="B54" s="46"/>
      <c r="C54" s="44"/>
      <c r="D54" s="44" t="s">
        <v>7699</v>
      </c>
      <c r="E54" s="5"/>
      <c r="F54" s="44"/>
      <c r="G54" s="44"/>
    </row>
    <row r="55" spans="1:7" ht="14.25" customHeight="1">
      <c r="A55" s="42"/>
      <c r="B55" s="46"/>
      <c r="C55" s="44"/>
      <c r="D55" s="44"/>
      <c r="E55" s="5"/>
      <c r="F55" s="44"/>
      <c r="G55" s="44"/>
    </row>
    <row r="56" spans="1:7" ht="14.25" customHeight="1">
      <c r="A56" s="42"/>
      <c r="B56" s="46"/>
      <c r="C56" s="44"/>
      <c r="D56" s="44" t="s">
        <v>7700</v>
      </c>
      <c r="E56" s="5"/>
      <c r="F56" s="44"/>
      <c r="G56" s="44"/>
    </row>
    <row r="57" spans="1:7" ht="14.25" customHeight="1">
      <c r="A57" s="42"/>
      <c r="B57" s="46"/>
      <c r="C57" s="44"/>
      <c r="D57" s="44"/>
      <c r="E57" s="5"/>
      <c r="F57" s="44"/>
      <c r="G57" s="44"/>
    </row>
    <row r="58" spans="1:7" ht="14.25" customHeight="1">
      <c r="A58" s="42"/>
      <c r="B58" s="46"/>
      <c r="C58" s="44"/>
      <c r="D58" s="44" t="s">
        <v>7701</v>
      </c>
      <c r="E58" s="5"/>
      <c r="F58" s="44"/>
      <c r="G58" s="44"/>
    </row>
    <row r="59" spans="1:7" ht="14.25" customHeight="1">
      <c r="A59" s="42"/>
      <c r="B59" s="46"/>
      <c r="C59" s="44"/>
      <c r="D59" s="44"/>
      <c r="F59" s="44"/>
      <c r="G59" s="44"/>
    </row>
    <row r="60" spans="1:7" ht="14.25" customHeight="1">
      <c r="A60" s="42"/>
      <c r="B60" s="46"/>
      <c r="C60" s="44"/>
      <c r="D60" s="44" t="s">
        <v>7702</v>
      </c>
      <c r="E60" s="5"/>
      <c r="F60" s="44"/>
      <c r="G60" s="44"/>
    </row>
    <row r="61" spans="1:7" ht="14.25" customHeight="1">
      <c r="A61" s="42"/>
      <c r="B61" s="46"/>
      <c r="C61" s="44"/>
      <c r="D61" s="44" t="s">
        <v>7703</v>
      </c>
      <c r="E61" s="5"/>
      <c r="F61" s="44"/>
      <c r="G61" s="44"/>
    </row>
    <row r="62" spans="1:7" ht="14.25" customHeight="1">
      <c r="A62" s="42"/>
      <c r="B62" s="46"/>
      <c r="C62" s="44"/>
      <c r="D62" s="44" t="s">
        <v>7704</v>
      </c>
      <c r="E62" s="5"/>
      <c r="F62" s="44"/>
      <c r="G62" s="44"/>
    </row>
    <row r="63" spans="1:7" ht="14.25" customHeight="1">
      <c r="A63" s="42"/>
      <c r="B63" s="46"/>
      <c r="C63" s="44"/>
      <c r="D63" s="44"/>
      <c r="E63" s="5"/>
      <c r="F63" s="44"/>
      <c r="G63" s="44"/>
    </row>
    <row r="64" spans="1:7" ht="14.25" customHeight="1">
      <c r="A64" s="42"/>
      <c r="B64" s="46"/>
      <c r="C64" s="44"/>
      <c r="D64" s="44" t="s">
        <v>7705</v>
      </c>
      <c r="E64" s="5"/>
      <c r="F64" s="44"/>
      <c r="G64" s="44"/>
    </row>
    <row r="65" spans="1:7" ht="14.25" customHeight="1">
      <c r="A65" s="42"/>
      <c r="B65" s="46"/>
      <c r="C65" s="44"/>
      <c r="D65" s="44"/>
      <c r="E65" s="5"/>
      <c r="F65" s="44"/>
      <c r="G65" s="44"/>
    </row>
    <row r="66" spans="1:7" ht="14.25" customHeight="1">
      <c r="A66" s="42"/>
      <c r="B66" s="46"/>
      <c r="C66" s="44"/>
      <c r="D66" s="44" t="s">
        <v>7706</v>
      </c>
      <c r="E66" s="5"/>
      <c r="F66" s="44"/>
      <c r="G66" s="44"/>
    </row>
    <row r="67" spans="1:7" ht="14.25" customHeight="1">
      <c r="A67" s="42"/>
      <c r="B67" s="46"/>
      <c r="C67" s="44"/>
      <c r="D67" s="44"/>
      <c r="E67" s="5"/>
      <c r="F67" s="44"/>
      <c r="G67" s="44"/>
    </row>
    <row r="68" spans="1:7" ht="14.25" customHeight="1">
      <c r="A68" s="42"/>
      <c r="B68" s="46"/>
      <c r="C68" s="44"/>
      <c r="D68" s="44" t="s">
        <v>7707</v>
      </c>
      <c r="E68" s="5"/>
      <c r="F68" s="44"/>
      <c r="G68" s="44"/>
    </row>
    <row r="69" spans="1:7" ht="14.25" customHeight="1">
      <c r="A69" s="42"/>
      <c r="B69" s="46"/>
      <c r="C69" s="44"/>
      <c r="D69" s="44"/>
      <c r="E69" s="5"/>
      <c r="F69" s="44"/>
      <c r="G69" s="44"/>
    </row>
    <row r="70" spans="1:7" ht="14.25" customHeight="1">
      <c r="A70" s="42"/>
      <c r="B70" s="46"/>
      <c r="C70" s="44"/>
      <c r="D70" s="44" t="s">
        <v>7708</v>
      </c>
      <c r="E70" s="5"/>
      <c r="F70" s="44"/>
      <c r="G70" s="44"/>
    </row>
    <row r="71" spans="1:7" ht="14.25" customHeight="1">
      <c r="A71" s="42"/>
      <c r="B71" s="46"/>
      <c r="C71" s="44"/>
      <c r="D71" s="44"/>
      <c r="E71" s="5"/>
      <c r="F71" s="44"/>
      <c r="G71" s="44"/>
    </row>
    <row r="72" spans="1:7" ht="14.25" customHeight="1">
      <c r="A72" s="42"/>
      <c r="B72" s="46"/>
      <c r="C72" s="44"/>
      <c r="D72" s="44" t="s">
        <v>7709</v>
      </c>
      <c r="E72" s="5"/>
      <c r="F72" s="44"/>
      <c r="G72" s="44"/>
    </row>
    <row r="73" spans="1:7" ht="14.25" customHeight="1">
      <c r="A73" s="42"/>
      <c r="B73" s="46"/>
      <c r="C73" s="44"/>
      <c r="D73" s="44"/>
      <c r="E73" s="5"/>
      <c r="F73" s="44"/>
      <c r="G73" s="44"/>
    </row>
    <row r="74" spans="1:7" ht="14.25" customHeight="1">
      <c r="A74" s="42"/>
      <c r="B74" s="46"/>
      <c r="C74" s="44"/>
      <c r="D74" s="44" t="s">
        <v>7710</v>
      </c>
      <c r="E74" s="5"/>
      <c r="F74" s="44"/>
      <c r="G74" s="44"/>
    </row>
    <row r="75" spans="1:7" ht="14.25" customHeight="1">
      <c r="A75" s="42"/>
      <c r="B75" s="46"/>
      <c r="C75" s="44"/>
      <c r="D75" s="44"/>
      <c r="E75" s="5"/>
      <c r="F75" s="44"/>
      <c r="G75" s="44"/>
    </row>
    <row r="76" spans="1:7" ht="14.25" customHeight="1">
      <c r="A76" s="42"/>
      <c r="B76" s="46"/>
      <c r="C76" s="44"/>
      <c r="D76" s="44" t="s">
        <v>7711</v>
      </c>
      <c r="E76" s="5"/>
      <c r="F76" s="44"/>
      <c r="G76" s="44"/>
    </row>
    <row r="77" spans="1:7" ht="14.25" customHeight="1">
      <c r="A77" s="42"/>
      <c r="B77" s="46"/>
      <c r="C77" s="44"/>
      <c r="D77" s="44"/>
      <c r="E77" s="5"/>
      <c r="F77" s="44"/>
      <c r="G77" s="44"/>
    </row>
    <row r="78" spans="1:7" ht="14.25" customHeight="1">
      <c r="A78" s="42"/>
      <c r="B78" s="46"/>
      <c r="C78" s="44"/>
      <c r="D78" s="44" t="s">
        <v>7712</v>
      </c>
      <c r="E78" s="5"/>
      <c r="F78" s="44"/>
      <c r="G78" s="44"/>
    </row>
    <row r="79" spans="1:7" ht="14.25" customHeight="1">
      <c r="A79" s="42"/>
      <c r="B79" s="46"/>
      <c r="C79" s="44"/>
      <c r="D79" s="44"/>
      <c r="E79" s="5"/>
      <c r="F79" s="44"/>
      <c r="G79" s="44"/>
    </row>
    <row r="80" spans="1:7" ht="14.25" customHeight="1">
      <c r="A80" s="42"/>
      <c r="B80" s="46"/>
      <c r="C80" s="44"/>
      <c r="D80" s="44" t="s">
        <v>7713</v>
      </c>
      <c r="E80" s="5"/>
      <c r="F80" s="44"/>
      <c r="G80" s="44"/>
    </row>
    <row r="81" spans="1:7" ht="14.25" customHeight="1">
      <c r="A81" s="42"/>
      <c r="B81" s="46"/>
      <c r="C81" s="44"/>
      <c r="D81" s="44"/>
      <c r="E81" s="5"/>
      <c r="F81" s="44"/>
      <c r="G81" s="44"/>
    </row>
    <row r="82" spans="1:7" ht="14.25" customHeight="1">
      <c r="A82" s="42"/>
      <c r="B82" s="46"/>
      <c r="C82" s="44"/>
      <c r="D82" s="44" t="s">
        <v>7714</v>
      </c>
      <c r="E82" s="5"/>
      <c r="F82" s="44"/>
      <c r="G82" s="44"/>
    </row>
    <row r="83" spans="1:7" ht="14.25" customHeight="1">
      <c r="A83" s="42"/>
      <c r="B83" s="46"/>
      <c r="C83" s="44"/>
      <c r="D83" s="44"/>
      <c r="E83" s="5"/>
      <c r="F83" s="44"/>
      <c r="G83" s="44"/>
    </row>
    <row r="84" spans="1:7" ht="14.25" customHeight="1">
      <c r="A84" s="42"/>
      <c r="B84" s="46"/>
      <c r="C84" s="44"/>
      <c r="D84" s="44" t="s">
        <v>7715</v>
      </c>
      <c r="E84" s="5"/>
      <c r="F84" s="44"/>
      <c r="G84" s="44"/>
    </row>
    <row r="85" spans="1:7" ht="14.25" customHeight="1">
      <c r="A85" s="42"/>
      <c r="B85" s="46"/>
      <c r="C85" s="44"/>
      <c r="D85" s="44"/>
      <c r="E85" s="5"/>
      <c r="F85" s="44"/>
      <c r="G85" s="44"/>
    </row>
    <row r="86" spans="1:7" ht="14.25" customHeight="1">
      <c r="A86" s="42"/>
      <c r="B86" s="46"/>
      <c r="C86" s="44"/>
      <c r="D86" s="44" t="s">
        <v>7716</v>
      </c>
      <c r="E86" s="5"/>
      <c r="F86" s="44"/>
      <c r="G86" s="44"/>
    </row>
    <row r="87" spans="1:7" ht="14.25" customHeight="1">
      <c r="A87" s="42"/>
      <c r="B87" s="46"/>
      <c r="C87" s="44"/>
      <c r="D87" s="44"/>
      <c r="E87" s="5"/>
      <c r="F87" s="44"/>
      <c r="G87" s="44"/>
    </row>
    <row r="88" spans="1:7" ht="14.25" customHeight="1">
      <c r="A88" s="42"/>
      <c r="B88" s="46"/>
      <c r="C88" s="44"/>
      <c r="D88" s="44" t="s">
        <v>7717</v>
      </c>
      <c r="E88" s="5"/>
      <c r="F88" s="44"/>
      <c r="G88" s="44"/>
    </row>
    <row r="89" spans="1:7" ht="14.25" customHeight="1">
      <c r="A89" s="42"/>
      <c r="B89" s="46"/>
      <c r="C89" s="44"/>
      <c r="D89" s="44"/>
      <c r="E89" s="5"/>
      <c r="F89" s="44"/>
      <c r="G89" s="44"/>
    </row>
    <row r="90" spans="1:7" ht="14.25" customHeight="1">
      <c r="A90" s="42"/>
      <c r="B90" s="46"/>
      <c r="C90" s="44"/>
      <c r="D90" s="44" t="s">
        <v>7718</v>
      </c>
      <c r="E90" s="5"/>
      <c r="F90" s="44"/>
      <c r="G90" s="44"/>
    </row>
    <row r="91" spans="1:7" ht="14.25" customHeight="1">
      <c r="A91" s="42"/>
      <c r="B91" s="46"/>
      <c r="C91" s="44"/>
      <c r="D91" s="44"/>
      <c r="E91" s="5"/>
      <c r="F91" s="44"/>
      <c r="G91" s="44"/>
    </row>
    <row r="92" spans="1:7" ht="14.25" customHeight="1">
      <c r="A92" s="42"/>
      <c r="B92" s="46"/>
      <c r="C92" s="44"/>
      <c r="D92" s="44" t="s">
        <v>7719</v>
      </c>
      <c r="E92" s="5"/>
      <c r="F92" s="44"/>
      <c r="G92" s="44"/>
    </row>
    <row r="93" spans="1:7" ht="14.25" customHeight="1">
      <c r="A93" s="42"/>
      <c r="B93" s="46"/>
      <c r="C93" s="44"/>
      <c r="D93" s="44"/>
      <c r="E93" s="5"/>
      <c r="F93" s="44"/>
      <c r="G93" s="44"/>
    </row>
    <row r="94" spans="1:7" ht="14.25" customHeight="1">
      <c r="A94" s="42"/>
      <c r="B94" s="46"/>
      <c r="C94" s="44"/>
      <c r="D94" s="44" t="s">
        <v>7720</v>
      </c>
      <c r="E94" s="5"/>
      <c r="F94" s="44"/>
      <c r="G94" s="44"/>
    </row>
    <row r="95" spans="1:7" ht="14.25" customHeight="1">
      <c r="A95" s="42"/>
      <c r="B95" s="46"/>
      <c r="C95" s="44"/>
      <c r="D95" s="44"/>
      <c r="E95" s="5"/>
      <c r="F95" s="44"/>
      <c r="G95" s="44"/>
    </row>
    <row r="96" spans="1:7" ht="14.25" customHeight="1">
      <c r="A96" s="42"/>
      <c r="B96" s="46"/>
      <c r="C96" s="44"/>
      <c r="D96" s="44" t="s">
        <v>7721</v>
      </c>
      <c r="E96" s="5"/>
      <c r="F96" s="44"/>
      <c r="G96" s="44"/>
    </row>
    <row r="97" spans="1:7" ht="14.25" customHeight="1">
      <c r="A97" s="42"/>
      <c r="B97" s="46"/>
      <c r="C97" s="44"/>
      <c r="D97" s="44"/>
      <c r="E97" s="5"/>
      <c r="F97" s="44"/>
      <c r="G97" s="44"/>
    </row>
    <row r="98" spans="1:7" ht="14.25" customHeight="1">
      <c r="A98" s="42"/>
      <c r="B98" s="46"/>
      <c r="C98" s="44"/>
      <c r="D98" s="44" t="s">
        <v>7722</v>
      </c>
      <c r="E98" s="5"/>
      <c r="F98" s="44"/>
      <c r="G98" s="4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chude01</vt:lpstr>
      <vt:lpstr>chude02</vt:lpstr>
      <vt:lpstr>chude03</vt:lpstr>
      <vt:lpstr>chude04</vt:lpstr>
      <vt:lpstr>chude05</vt:lpstr>
      <vt:lpstr>chude06</vt:lpstr>
      <vt:lpstr>chude07</vt:lpstr>
      <vt:lpstr>chude08</vt:lpstr>
      <vt:lpstr>chude09</vt:lpstr>
      <vt:lpstr>chude10</vt:lpstr>
      <vt:lpstr>chude11</vt:lpstr>
      <vt:lpstr>chude12</vt:lpstr>
      <vt:lpstr>chude13</vt:lpstr>
      <vt:lpstr>chude14</vt:lpstr>
      <vt:lpstr>chude15</vt:lpstr>
      <vt:lpstr>chude16</vt:lpstr>
      <vt:lpstr>chude17</vt:lpstr>
      <vt:lpstr>chude18</vt:lpstr>
      <vt:lpstr>chude19</vt:lpstr>
      <vt:lpstr>chude20</vt:lpstr>
      <vt:lpstr>chude21</vt:lpstr>
      <vt:lpstr>chude22</vt:lpstr>
      <vt:lpstr>chude23</vt:lpstr>
      <vt:lpstr>chude24</vt:lpstr>
      <vt:lpstr>chude25</vt:lpstr>
      <vt:lpstr>chude26</vt:lpstr>
      <vt:lpstr>chude27</vt:lpstr>
      <vt:lpstr>chude28</vt:lpstr>
      <vt:lpstr>chude29</vt:lpstr>
      <vt:lpstr>chude30</vt:lpstr>
      <vt:lpstr>chude31</vt:lpstr>
      <vt:lpstr>chude32</vt:lpstr>
      <vt:lpstr>chude33</vt:lpstr>
      <vt:lpstr>chude34</vt:lpstr>
      <vt:lpstr>chude35</vt:lpstr>
      <vt:lpstr>chude36</vt:lpstr>
      <vt:lpstr>chude37</vt:lpstr>
      <vt:lpstr>chude38</vt:lpstr>
      <vt:lpstr>chude39</vt:lpstr>
      <vt:lpstr>chude40</vt:lpstr>
      <vt:lpstr>chude41</vt:lpstr>
      <vt:lpstr>chude42</vt:lpstr>
      <vt:lpstr>chude43</vt:lpstr>
      <vt:lpstr>chude44</vt:lpstr>
      <vt:lpstr>chude45</vt:lpstr>
      <vt:lpstr>chude46</vt:lpstr>
      <vt:lpstr>chude47</vt:lpstr>
      <vt:lpstr>chude48</vt:lpstr>
      <vt:lpstr>chude49</vt:lpstr>
      <vt:lpstr>chude50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2026-05-08T23:43:46Z</dcterms:modified>
</cp:coreProperties>
</file>